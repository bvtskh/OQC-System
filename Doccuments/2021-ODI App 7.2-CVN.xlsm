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18.HOANHT\Phan-Mem-Cua-Cong-Ty\C#\UMC_OQC\OQC\Doccuments\"/>
    </mc:Choice>
  </mc:AlternateContent>
  <bookViews>
    <workbookView xWindow="0" yWindow="0" windowWidth="28800" windowHeight="11835"/>
  </bookViews>
  <sheets>
    <sheet name="Temp1" sheetId="1" r:id="rId1"/>
    <sheet name="Temp2" sheetId="10" r:id="rId2"/>
    <sheet name="RPT1" sheetId="9" r:id="rId3"/>
    <sheet name="Ref1" sheetId="2" r:id="rId4"/>
    <sheet name="Ref2" sheetId="3" r:id="rId5"/>
    <sheet name="Ref3" sheetId="6" r:id="rId6"/>
    <sheet name="Ref4" sheetId="7" r:id="rId7"/>
    <sheet name="Ref5" sheetId="8" r:id="rId8"/>
    <sheet name="Main" sheetId="4" r:id="rId9"/>
  </sheets>
  <definedNames>
    <definedName name="_xlnm._FilterDatabase" localSheetId="3" hidden="1">'Ref1'!$A$1:$E$17</definedName>
    <definedName name="_xlnm._FilterDatabase" localSheetId="0" hidden="1">Temp1!$A$1:$AR$13967</definedName>
    <definedName name="_xlnm._FilterDatabase" localSheetId="1" hidden="1">Temp2!$A$1:$AR$11</definedName>
    <definedName name="_xlnm.Print_Titles" localSheetId="5">'Ref3'!$1:$6</definedName>
  </definedNames>
  <calcPr calcId="152511"/>
  <pivotCaches>
    <pivotCache cacheId="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 i="9" l="1"/>
  <c r="E7" i="9"/>
  <c r="E3" i="9" l="1"/>
  <c r="E9" i="9" l="1"/>
  <c r="E14" i="9"/>
  <c r="E15" i="9" s="1"/>
  <c r="E13" i="9"/>
  <c r="E12" i="9"/>
  <c r="E11" i="9"/>
  <c r="E4" i="9"/>
  <c r="E5" i="9"/>
  <c r="E10" i="9" l="1"/>
  <c r="E6" i="9"/>
</calcChain>
</file>

<file path=xl/sharedStrings.xml><?xml version="1.0" encoding="utf-8"?>
<sst xmlns="http://schemas.openxmlformats.org/spreadsheetml/2006/main" count="31054" uniqueCount="1189">
  <si>
    <t>Date</t>
  </si>
  <si>
    <t>Shift</t>
  </si>
  <si>
    <t>Project</t>
  </si>
  <si>
    <t>WO</t>
  </si>
  <si>
    <t>WO Qty</t>
  </si>
  <si>
    <t>Checking Qty</t>
  </si>
  <si>
    <t>NG Qty</t>
  </si>
  <si>
    <t>Inspector</t>
  </si>
  <si>
    <t>Range</t>
  </si>
  <si>
    <t>Model</t>
  </si>
  <si>
    <t>Defection</t>
  </si>
  <si>
    <t>Details</t>
  </si>
  <si>
    <t>Location</t>
  </si>
  <si>
    <t>Defect_Qty</t>
  </si>
  <si>
    <t>CCD</t>
  </si>
  <si>
    <t>AOI</t>
  </si>
  <si>
    <t>NG_Photo</t>
  </si>
  <si>
    <t>OK_Photo</t>
  </si>
  <si>
    <t>Product_Serial</t>
  </si>
  <si>
    <t>4M</t>
  </si>
  <si>
    <t>Time Detect</t>
  </si>
  <si>
    <t>Occur Area</t>
  </si>
  <si>
    <t>Occur Process</t>
  </si>
  <si>
    <t>ND Area</t>
  </si>
  <si>
    <t>ND Process</t>
  </si>
  <si>
    <t>Occur Line</t>
  </si>
  <si>
    <t>Sorting</t>
  </si>
  <si>
    <t>Sorting Quantity</t>
  </si>
  <si>
    <t>Sorting Result</t>
  </si>
  <si>
    <t>Occurrence</t>
  </si>
  <si>
    <t>CountermeasureOC</t>
  </si>
  <si>
    <t>Non_Detection</t>
  </si>
  <si>
    <t>CountermeasureND</t>
  </si>
  <si>
    <t>Remark</t>
  </si>
  <si>
    <t>Statement</t>
  </si>
  <si>
    <t>ref2</t>
  </si>
  <si>
    <t>ref3</t>
  </si>
  <si>
    <t>ref4</t>
  </si>
  <si>
    <t>ref5</t>
  </si>
  <si>
    <t>Day</t>
  </si>
  <si>
    <t>PD1</t>
  </si>
  <si>
    <t>CANON</t>
  </si>
  <si>
    <t>CustomerID</t>
  </si>
  <si>
    <t>CustomerName</t>
  </si>
  <si>
    <t>Division</t>
  </si>
  <si>
    <t>PIC</t>
  </si>
  <si>
    <t>target</t>
  </si>
  <si>
    <t>CS005</t>
  </si>
  <si>
    <t>CS019</t>
  </si>
  <si>
    <t>HLDS</t>
  </si>
  <si>
    <t>CS022</t>
  </si>
  <si>
    <t>FUJIXEROX</t>
  </si>
  <si>
    <t>CS002</t>
  </si>
  <si>
    <t>TOYODENSO</t>
  </si>
  <si>
    <t>PD2-AUTO</t>
  </si>
  <si>
    <t>PD2</t>
  </si>
  <si>
    <t>CS015</t>
  </si>
  <si>
    <t>SCHNEIDER</t>
  </si>
  <si>
    <t>CS016</t>
  </si>
  <si>
    <t>KYOCERA</t>
  </si>
  <si>
    <t>CS013</t>
  </si>
  <si>
    <t>YOKOWO</t>
  </si>
  <si>
    <t>CS018</t>
  </si>
  <si>
    <t>NIHON</t>
  </si>
  <si>
    <t>CS023</t>
  </si>
  <si>
    <t>HONDALOCK</t>
  </si>
  <si>
    <t>CS034</t>
  </si>
  <si>
    <t>STANDLEY</t>
  </si>
  <si>
    <t>CS038</t>
  </si>
  <si>
    <t>VALEO</t>
  </si>
  <si>
    <t>CS048</t>
  </si>
  <si>
    <t>ICHIKOH</t>
  </si>
  <si>
    <t>FORMLABS</t>
  </si>
  <si>
    <t>CS001</t>
  </si>
  <si>
    <t>BROTHER</t>
  </si>
  <si>
    <t>PD3</t>
  </si>
  <si>
    <t>CS029</t>
  </si>
  <si>
    <t>NICHICON</t>
  </si>
  <si>
    <t>DIGITAL</t>
  </si>
  <si>
    <t>ref1</t>
  </si>
  <si>
    <t>Process</t>
  </si>
  <si>
    <t>OQC1</t>
  </si>
  <si>
    <t>Pro_Line</t>
  </si>
  <si>
    <t>OQC2</t>
  </si>
  <si>
    <t>CSL</t>
  </si>
  <si>
    <t>PPM</t>
  </si>
  <si>
    <t>FullDay</t>
  </si>
  <si>
    <t xml:space="preserve">Dính thiếc </t>
  </si>
  <si>
    <t>Bong, vỡ linh kiện</t>
  </si>
  <si>
    <t xml:space="preserve">Thiếu Thiếc </t>
  </si>
  <si>
    <t>Nứt vỡ  bản mạch</t>
  </si>
  <si>
    <t>Group</t>
  </si>
  <si>
    <t>QC Check</t>
  </si>
  <si>
    <t>No</t>
  </si>
  <si>
    <t>Type</t>
  </si>
  <si>
    <t>Eng</t>
  </si>
  <si>
    <t>ID</t>
  </si>
  <si>
    <t xml:space="preserve">Kênh linh kiện </t>
  </si>
  <si>
    <t>Nhầm lk</t>
  </si>
  <si>
    <t>Wrong Part</t>
  </si>
  <si>
    <t>Ngược linh kiên</t>
  </si>
  <si>
    <t>Peeled Off Part</t>
  </si>
  <si>
    <t>Lệch linh kiện</t>
  </si>
  <si>
    <t>Thiếu linh kiện (mất linh kiện)</t>
  </si>
  <si>
    <t>Thừa linh kiện</t>
  </si>
  <si>
    <t xml:space="preserve">NG linh kiện </t>
  </si>
  <si>
    <t xml:space="preserve">Lật linh kiện </t>
  </si>
  <si>
    <t>Thiếc phủ kín chân</t>
  </si>
  <si>
    <t>Oxi hóa,biến màu</t>
  </si>
  <si>
    <t>Oxizen</t>
  </si>
  <si>
    <t xml:space="preserve">Dài chân </t>
  </si>
  <si>
    <t>Long Pin</t>
  </si>
  <si>
    <t xml:space="preserve">Bong Pattern </t>
  </si>
  <si>
    <t>Peeled Off Pattern</t>
  </si>
  <si>
    <t>Nối chân,cực</t>
  </si>
  <si>
    <t>Connected Pole</t>
  </si>
  <si>
    <t>Hàn giả</t>
  </si>
  <si>
    <t xml:space="preserve">Thừa Thiếc </t>
  </si>
  <si>
    <t xml:space="preserve">Bi thiếc </t>
  </si>
  <si>
    <t xml:space="preserve">NG dấu ngày tháng </t>
  </si>
  <si>
    <t>NG Marking Date</t>
  </si>
  <si>
    <t>NG barcode,label</t>
  </si>
  <si>
    <t>NG Barcode/Label</t>
  </si>
  <si>
    <t>Nhầm vị trí</t>
  </si>
  <si>
    <t>Wrong Placement</t>
  </si>
  <si>
    <t>Lỏng ốc</t>
  </si>
  <si>
    <t>Cracked PCB</t>
  </si>
  <si>
    <t xml:space="preserve">Phồng bản mạch </t>
  </si>
  <si>
    <t xml:space="preserve">Không marking </t>
  </si>
  <si>
    <t>No Marking</t>
  </si>
  <si>
    <t xml:space="preserve">Nhầm Model </t>
  </si>
  <si>
    <t>Wrong Model</t>
  </si>
  <si>
    <t xml:space="preserve">Thừa số lượng </t>
  </si>
  <si>
    <t>Over Qty</t>
  </si>
  <si>
    <t xml:space="preserve">Thiếu số lượng </t>
  </si>
  <si>
    <t>Short Qty</t>
  </si>
  <si>
    <t xml:space="preserve">Dính Flux </t>
  </si>
  <si>
    <t>Flux abhisx</t>
  </si>
  <si>
    <t xml:space="preserve">Dị Vật </t>
  </si>
  <si>
    <t>Tràn keo, coating</t>
  </si>
  <si>
    <t>Over coating</t>
  </si>
  <si>
    <t xml:space="preserve">Khác </t>
  </si>
  <si>
    <t>Others</t>
  </si>
  <si>
    <t>Grand Total</t>
  </si>
  <si>
    <t>WO#</t>
  </si>
  <si>
    <t>Số lượng WO</t>
  </si>
  <si>
    <t>Serial</t>
  </si>
  <si>
    <t>Ngày phát sinh</t>
  </si>
  <si>
    <t>Thời điểm phát hiện</t>
  </si>
  <si>
    <t>Mô tả chi tiết:</t>
  </si>
  <si>
    <t>Loại lỗi:</t>
  </si>
  <si>
    <t>Nội dung lỗi #1</t>
  </si>
  <si>
    <t>Line sản xuất:</t>
  </si>
  <si>
    <t>Vị trí lỗi:</t>
  </si>
  <si>
    <t>Dự án:</t>
  </si>
  <si>
    <t>Số lượng SP lỗi:</t>
  </si>
  <si>
    <t>PPM:</t>
  </si>
  <si>
    <t>Chi tiết:</t>
  </si>
  <si>
    <t>Ngày:</t>
  </si>
  <si>
    <t>OQC REPORT</t>
  </si>
  <si>
    <t>Số lượng KT:</t>
  </si>
  <si>
    <t>Nội dung lỗi #2</t>
  </si>
  <si>
    <t>Nội dung lỗi #3</t>
  </si>
  <si>
    <t>Nội dung lỗi #4</t>
  </si>
  <si>
    <t>Nội dung lỗi #5</t>
  </si>
  <si>
    <t>Nội dung lỗi #10</t>
  </si>
  <si>
    <t>Nội dung lỗi #8</t>
  </si>
  <si>
    <t>Total NG</t>
  </si>
  <si>
    <t>U32991</t>
  </si>
  <si>
    <t>L1172/73</t>
  </si>
  <si>
    <t>L1209/10</t>
  </si>
  <si>
    <t>RM3-8252</t>
  </si>
  <si>
    <t>L1174/75</t>
  </si>
  <si>
    <t>RM3-7382</t>
  </si>
  <si>
    <t>L1188/89</t>
  </si>
  <si>
    <t>T541</t>
  </si>
  <si>
    <t>RM1-7893</t>
  </si>
  <si>
    <t>FM2-H931</t>
  </si>
  <si>
    <t>U18660</t>
  </si>
  <si>
    <t>RM3-7243</t>
  </si>
  <si>
    <t>U05944</t>
  </si>
  <si>
    <t>Night</t>
  </si>
  <si>
    <t>RM3-8253</t>
  </si>
  <si>
    <t>U27724</t>
  </si>
  <si>
    <t>U31065</t>
  </si>
  <si>
    <t>U30425</t>
  </si>
  <si>
    <t>FM2-H938</t>
  </si>
  <si>
    <t>FM2-G969</t>
  </si>
  <si>
    <t>FM2-G968</t>
  </si>
  <si>
    <t>PCB</t>
  </si>
  <si>
    <t>RM3-7225</t>
  </si>
  <si>
    <t>U15759</t>
  </si>
  <si>
    <t>L1092</t>
  </si>
  <si>
    <t>L1077</t>
  </si>
  <si>
    <t>U27687</t>
  </si>
  <si>
    <t>L1182</t>
  </si>
  <si>
    <t>L1186</t>
  </si>
  <si>
    <t>T543</t>
  </si>
  <si>
    <t>U09854</t>
  </si>
  <si>
    <t>T515</t>
  </si>
  <si>
    <t>L1112/13</t>
  </si>
  <si>
    <t>U03968</t>
  </si>
  <si>
    <t>L1105</t>
  </si>
  <si>
    <t>L1193/94</t>
  </si>
  <si>
    <t>FM2-H943</t>
  </si>
  <si>
    <t>FM2-G954</t>
  </si>
  <si>
    <t>RM3-8230</t>
  </si>
  <si>
    <t>(blank)</t>
  </si>
  <si>
    <t>L1157</t>
  </si>
  <si>
    <t>T763</t>
  </si>
  <si>
    <t>FM2-A819</t>
  </si>
  <si>
    <t>Values</t>
  </si>
  <si>
    <t>Total KTra</t>
  </si>
  <si>
    <t>KTra</t>
  </si>
  <si>
    <t>NG</t>
  </si>
  <si>
    <t>L1197/98</t>
  </si>
  <si>
    <t>L1106</t>
  </si>
  <si>
    <t>L1161/62</t>
  </si>
  <si>
    <t>T539</t>
  </si>
  <si>
    <t>FM3-5410-000</t>
  </si>
  <si>
    <t>L1033</t>
  </si>
  <si>
    <t>FM3-6142-000</t>
  </si>
  <si>
    <t>FM3-6143-000</t>
  </si>
  <si>
    <t>FM3-6144-000</t>
  </si>
  <si>
    <t>RM1-7590-000</t>
  </si>
  <si>
    <t>L-1066</t>
  </si>
  <si>
    <t>RM1-7591-000</t>
  </si>
  <si>
    <t>RM2-8094-000</t>
  </si>
  <si>
    <t>RM2-8096-000</t>
  </si>
  <si>
    <t>RM2-8088-000</t>
  </si>
  <si>
    <t>RM2-8089-000</t>
  </si>
  <si>
    <t>RM1-7592-000</t>
  </si>
  <si>
    <t>RM1-7593-000</t>
  </si>
  <si>
    <t>RM1-7594-000</t>
  </si>
  <si>
    <t>RM2-9564-000</t>
  </si>
  <si>
    <t>RM3-7337-000</t>
  </si>
  <si>
    <t>RM3-7338-000</t>
  </si>
  <si>
    <t>RM3-7339-000</t>
  </si>
  <si>
    <t>RM3-7340-000</t>
  </si>
  <si>
    <t>RM2-9565-000</t>
  </si>
  <si>
    <t>RM2-8118-000</t>
  </si>
  <si>
    <t>L1066+</t>
  </si>
  <si>
    <t>RM2-8119-000</t>
  </si>
  <si>
    <t>RM1-7595-000</t>
  </si>
  <si>
    <t>RM1-7596-000</t>
  </si>
  <si>
    <t>RM1-7597-000</t>
  </si>
  <si>
    <t>RM1-7598-000</t>
  </si>
  <si>
    <t>RM1-7599-000</t>
  </si>
  <si>
    <t>RM2-9566-000</t>
  </si>
  <si>
    <t>RM2-9567-000</t>
  </si>
  <si>
    <t>RM1-7892-000</t>
  </si>
  <si>
    <t>RM1-7893-000</t>
  </si>
  <si>
    <t>RM1-7894-000</t>
  </si>
  <si>
    <t>RM1-7895-000</t>
  </si>
  <si>
    <t>RM1-7896-000</t>
  </si>
  <si>
    <t>RM1-7902-000</t>
  </si>
  <si>
    <t>FM4-6845-000</t>
  </si>
  <si>
    <t>L1085</t>
  </si>
  <si>
    <t>FM4-6846-000</t>
  </si>
  <si>
    <t>FM4-6847-000</t>
  </si>
  <si>
    <t>FM4-6848-000</t>
  </si>
  <si>
    <t>FM4-6849-000</t>
  </si>
  <si>
    <t>FM4-5731-000</t>
  </si>
  <si>
    <t>L1085-Capt</t>
  </si>
  <si>
    <t>RM1-7440-000</t>
  </si>
  <si>
    <t>L1067</t>
  </si>
  <si>
    <t>RM1-7615-000</t>
  </si>
  <si>
    <t>RM1-7616-000</t>
  </si>
  <si>
    <t>RM1-7617-000</t>
  </si>
  <si>
    <t>RM1-7618-000</t>
  </si>
  <si>
    <t>RM1-7619-000</t>
  </si>
  <si>
    <t>RM1-6344-000</t>
  </si>
  <si>
    <t>L1052</t>
  </si>
  <si>
    <t>RM1-6345-000</t>
  </si>
  <si>
    <t>RM1-6346-000</t>
  </si>
  <si>
    <t>RM1-6347-000</t>
  </si>
  <si>
    <t>RM1-6348-000</t>
  </si>
  <si>
    <t>RM1-6349-000</t>
  </si>
  <si>
    <t>RM1-6350-000</t>
  </si>
  <si>
    <t>RM1-6351-000</t>
  </si>
  <si>
    <t>RM1-6352-000</t>
  </si>
  <si>
    <t>RM1-6353-000</t>
  </si>
  <si>
    <t>RM1-6356-000</t>
  </si>
  <si>
    <t>RM1-6357-000</t>
  </si>
  <si>
    <t>RM1-6358-000</t>
  </si>
  <si>
    <t>FM4-7181-000</t>
  </si>
  <si>
    <t>L1086</t>
  </si>
  <si>
    <t>FM4-7182-000</t>
  </si>
  <si>
    <t>FM4-7183-000</t>
  </si>
  <si>
    <t>FM4-7184-000</t>
  </si>
  <si>
    <t>RM1-7629-000</t>
  </si>
  <si>
    <t>L-1068</t>
  </si>
  <si>
    <t>RM1-7630-000</t>
  </si>
  <si>
    <t>RM1-7631-000</t>
  </si>
  <si>
    <t>RM1-7632-000</t>
  </si>
  <si>
    <t>RM1-7633-000</t>
  </si>
  <si>
    <t>RM1-7634-000</t>
  </si>
  <si>
    <t>FM4-6143-000</t>
  </si>
  <si>
    <t>L1072/1088</t>
  </si>
  <si>
    <t>FM4-6144-000</t>
  </si>
  <si>
    <t>FM4-6145-000</t>
  </si>
  <si>
    <t>RM1-8514-000</t>
  </si>
  <si>
    <t>RM1-8616-000</t>
  </si>
  <si>
    <t>RM1-8617-000</t>
  </si>
  <si>
    <t>RM1-8618-000</t>
  </si>
  <si>
    <t>RM1-8619-000</t>
  </si>
  <si>
    <t>RM1-8620-000</t>
  </si>
  <si>
    <t>RM1-8621-000</t>
  </si>
  <si>
    <t>RM1-8622-000</t>
  </si>
  <si>
    <t>RM1-8623-000</t>
  </si>
  <si>
    <t>RM1-9225-000</t>
  </si>
  <si>
    <t>L1087</t>
  </si>
  <si>
    <t>RM1-9226-000</t>
  </si>
  <si>
    <t>RM1-9227-000</t>
  </si>
  <si>
    <t>RM1-9297-000</t>
  </si>
  <si>
    <t>RM1-9037-000</t>
  </si>
  <si>
    <t>RM1-9038-000</t>
  </si>
  <si>
    <t>RM2-8200-000</t>
  </si>
  <si>
    <t>RM2-7752-000</t>
  </si>
  <si>
    <t>RM2-7753-000</t>
  </si>
  <si>
    <t>RM2-7754-000</t>
  </si>
  <si>
    <t>RM2-0675-000</t>
  </si>
  <si>
    <t>RM1-9040-000</t>
  </si>
  <si>
    <t>RM1-9041-000</t>
  </si>
  <si>
    <t>RM1-9046-000</t>
  </si>
  <si>
    <t>RM1-9047-000</t>
  </si>
  <si>
    <t>RM1-9048-000</t>
  </si>
  <si>
    <t>RM1-9112-000</t>
  </si>
  <si>
    <t>L-1099</t>
  </si>
  <si>
    <t>RM1-9113-000</t>
  </si>
  <si>
    <t>RM2-7782-000</t>
  </si>
  <si>
    <t>RM2-7783-000</t>
  </si>
  <si>
    <t>RM2-7784-000</t>
  </si>
  <si>
    <t>RM1-9114-000</t>
  </si>
  <si>
    <t>RM1-9115-000</t>
  </si>
  <si>
    <t>RM1-1267-000</t>
  </si>
  <si>
    <t>L1087/99 SMALL</t>
  </si>
  <si>
    <t>FM0-4095-000</t>
  </si>
  <si>
    <t>L-1133</t>
  </si>
  <si>
    <t>FM0-4623-000</t>
  </si>
  <si>
    <t>L-1132</t>
  </si>
  <si>
    <t>FM0-4638-000</t>
  </si>
  <si>
    <t>FM0-4639-000</t>
  </si>
  <si>
    <t>FM1-R880-000</t>
  </si>
  <si>
    <t>FM1-R881-000</t>
  </si>
  <si>
    <t>RM2-7605-000</t>
  </si>
  <si>
    <t>RM2-7606-000</t>
  </si>
  <si>
    <t>RM2-8079-000</t>
  </si>
  <si>
    <t>RM2-7607-000</t>
  </si>
  <si>
    <t>RM2-7609-000</t>
  </si>
  <si>
    <t>RM2-7618-000</t>
  </si>
  <si>
    <t>RM2-7629-000</t>
  </si>
  <si>
    <t>Service</t>
  </si>
  <si>
    <t>RM2-7632-000</t>
  </si>
  <si>
    <t>RM2-7633-000</t>
  </si>
  <si>
    <t>RM2-8080-000</t>
  </si>
  <si>
    <t>RM2-7634-000</t>
  </si>
  <si>
    <t>RM2-7635-000</t>
  </si>
  <si>
    <t>RM1-6480-000</t>
  </si>
  <si>
    <t>L1059</t>
  </si>
  <si>
    <t>RM1-6481-000</t>
  </si>
  <si>
    <t>RM1-6487-000</t>
  </si>
  <si>
    <t>RM1-6488-000</t>
  </si>
  <si>
    <t>RM1-6510-000</t>
  </si>
  <si>
    <t>RM1-6511-000</t>
  </si>
  <si>
    <t>RM1-6512-000</t>
  </si>
  <si>
    <t>RM1-6513-000</t>
  </si>
  <si>
    <t>RM1-6514-000</t>
  </si>
  <si>
    <t>RM1-6515-000</t>
  </si>
  <si>
    <t>RM2-7920-000</t>
  </si>
  <si>
    <t>L1092DCU</t>
  </si>
  <si>
    <t>RM1-8615-000</t>
  </si>
  <si>
    <t>RM1-8705-000</t>
  </si>
  <si>
    <t>L1101HVT</t>
  </si>
  <si>
    <t>RM1-8716-000</t>
  </si>
  <si>
    <t>RM2-8034-000</t>
  </si>
  <si>
    <t>L1102DC-C</t>
  </si>
  <si>
    <t>RM2-7405-000</t>
  </si>
  <si>
    <t>RM2-7406-000</t>
  </si>
  <si>
    <t>RM2-5874-000</t>
  </si>
  <si>
    <t>RM2-8053-000</t>
  </si>
  <si>
    <t>RM2-8050-000</t>
  </si>
  <si>
    <t>RM2-8051-000</t>
  </si>
  <si>
    <t>RM2-8052-000</t>
  </si>
  <si>
    <t>RM2-7372-000</t>
  </si>
  <si>
    <t>L1128/1129</t>
  </si>
  <si>
    <t>RM2-7373-000</t>
  </si>
  <si>
    <t>RM2-7376-000</t>
  </si>
  <si>
    <t>RM2-7906-000</t>
  </si>
  <si>
    <t>RM2-7905-000</t>
  </si>
  <si>
    <t>RM2-7399-000</t>
  </si>
  <si>
    <t>RM2-7911-000</t>
  </si>
  <si>
    <t>RM2-7912-000</t>
  </si>
  <si>
    <t>RM2-9100-000</t>
  </si>
  <si>
    <t>L1145/1147</t>
  </si>
  <si>
    <t>FM1-R859-000</t>
  </si>
  <si>
    <t>FM1-R860-000</t>
  </si>
  <si>
    <t>FM1-R861-000</t>
  </si>
  <si>
    <t>FM1-R870-000</t>
  </si>
  <si>
    <t>FM1-N805-000</t>
  </si>
  <si>
    <t>TS575sp</t>
  </si>
  <si>
    <t>RM2-8211-000</t>
  </si>
  <si>
    <t>L1144-1147</t>
  </si>
  <si>
    <t>RM2-8212-000</t>
  </si>
  <si>
    <t>RM2-8213-000</t>
  </si>
  <si>
    <t>RM2-8214-000</t>
  </si>
  <si>
    <t>RM2-8215-000</t>
  </si>
  <si>
    <t>RM2-8216-000</t>
  </si>
  <si>
    <t>RM2-8311-000</t>
  </si>
  <si>
    <t>RM2-8312-000</t>
  </si>
  <si>
    <t>RM2-8313-000</t>
  </si>
  <si>
    <t>RM2-8314-000</t>
  </si>
  <si>
    <t>RM2-8315-000</t>
  </si>
  <si>
    <t>RM2-8316-000</t>
  </si>
  <si>
    <t>RM2-8231-000</t>
  </si>
  <si>
    <t>RM2-8232-000</t>
  </si>
  <si>
    <t>RM2-8331-000</t>
  </si>
  <si>
    <t>RM2-8276-000</t>
  </si>
  <si>
    <t>RM2-8277-000</t>
  </si>
  <si>
    <t>RM2-8278-000</t>
  </si>
  <si>
    <t>RM2-8376-000</t>
  </si>
  <si>
    <t>RM2-8377-000</t>
  </si>
  <si>
    <t>RM2-8378-000</t>
  </si>
  <si>
    <t>RM2-8306-000</t>
  </si>
  <si>
    <t>RM2-8301-000</t>
  </si>
  <si>
    <t>RM2-8273-000</t>
  </si>
  <si>
    <t>RM2-8274-000</t>
  </si>
  <si>
    <t>RM2-8275-000</t>
  </si>
  <si>
    <t>RM2-8284-000</t>
  </si>
  <si>
    <t>RM2-8285-000</t>
  </si>
  <si>
    <t>RM2-8374-000</t>
  </si>
  <si>
    <t>RM2-8384-000</t>
  </si>
  <si>
    <t>RM2-8375-000</t>
  </si>
  <si>
    <t>RM2-8385-000</t>
  </si>
  <si>
    <t>RM2-8279-000</t>
  </si>
  <si>
    <t>FM1-X973-000</t>
  </si>
  <si>
    <t>T767</t>
  </si>
  <si>
    <t>FM1-X974-000</t>
  </si>
  <si>
    <t>FM1-X946-000</t>
  </si>
  <si>
    <t>FM1-X947-000</t>
  </si>
  <si>
    <t>FM1-X948-000</t>
  </si>
  <si>
    <t>FM1-X949-000</t>
  </si>
  <si>
    <t>FM1-V804-000</t>
  </si>
  <si>
    <t>T765/T767</t>
  </si>
  <si>
    <t>FM1-X985-000</t>
  </si>
  <si>
    <t>L1169</t>
  </si>
  <si>
    <t>FM1-X995-000</t>
  </si>
  <si>
    <t>L1168</t>
  </si>
  <si>
    <t>FM1-X994-000</t>
  </si>
  <si>
    <t>FM1-X990-000</t>
  </si>
  <si>
    <t>FM1-Y853-000</t>
  </si>
  <si>
    <t>FM1-X988-000</t>
  </si>
  <si>
    <t>FM1-X989-000</t>
  </si>
  <si>
    <t>FM1-Y835-000</t>
  </si>
  <si>
    <t>FM1-Y836-000</t>
  </si>
  <si>
    <t>FM1-Y839-000</t>
  </si>
  <si>
    <t>FM1-Y850-000</t>
  </si>
  <si>
    <t>T765</t>
  </si>
  <si>
    <t>FM1-Y848-000</t>
  </si>
  <si>
    <t>FM1-Y847-000</t>
  </si>
  <si>
    <t>FM1-Y837-000</t>
  </si>
  <si>
    <t>FM1-Y838-000</t>
  </si>
  <si>
    <t>FM1-Y840-000</t>
  </si>
  <si>
    <t>FM1-Y967-000</t>
  </si>
  <si>
    <t>L1168/L1169/T765/T767</t>
  </si>
  <si>
    <t>FM1-X987-000</t>
  </si>
  <si>
    <t>FM1-Y849-000</t>
  </si>
  <si>
    <t>FM1-Y851-000</t>
  </si>
  <si>
    <t>FM1-Y952-000</t>
  </si>
  <si>
    <t>RM2-8439-000</t>
  </si>
  <si>
    <t>L1151/1152</t>
  </si>
  <si>
    <t>RM2-8640-000</t>
  </si>
  <si>
    <t>RM2-8427-000</t>
  </si>
  <si>
    <t>RM2-8420-000</t>
  </si>
  <si>
    <t>RM2-8419-000</t>
  </si>
  <si>
    <t>RM3-7046-000</t>
  </si>
  <si>
    <t>RM3-7047-000</t>
  </si>
  <si>
    <t>RM2-9571-000</t>
  </si>
  <si>
    <t>L1170/1171</t>
  </si>
  <si>
    <t>RM2-9572-000</t>
  </si>
  <si>
    <t>RM2-9573-000</t>
  </si>
  <si>
    <t>FM2-A856-000</t>
  </si>
  <si>
    <t>L1182/T541</t>
  </si>
  <si>
    <t>FM2-A857-000</t>
  </si>
  <si>
    <t>FM2-A858-000</t>
  </si>
  <si>
    <t>L1182P</t>
  </si>
  <si>
    <t>FM2-A859-000</t>
  </si>
  <si>
    <t>FM2-A860-000</t>
  </si>
  <si>
    <t>FM2-A819-000</t>
  </si>
  <si>
    <t>FM2-A820-000</t>
  </si>
  <si>
    <t>RM3-7177-000</t>
  </si>
  <si>
    <t>L1174/1175</t>
  </si>
  <si>
    <t>RM3-7178-000</t>
  </si>
  <si>
    <t>RM3-7179-000</t>
  </si>
  <si>
    <t>RM3-7180-000</t>
  </si>
  <si>
    <t>RM3-7381-000</t>
  </si>
  <si>
    <t>RM3-7382-000</t>
  </si>
  <si>
    <t>RM3-7383-000</t>
  </si>
  <si>
    <t>RM3-7384-000</t>
  </si>
  <si>
    <t>RM3-7385-000</t>
  </si>
  <si>
    <t>RM3-7386-000</t>
  </si>
  <si>
    <t>RM3-7169-000</t>
  </si>
  <si>
    <t>FM2-B919-000</t>
  </si>
  <si>
    <t>L1186/T543</t>
  </si>
  <si>
    <t>FM2-B921-000</t>
  </si>
  <si>
    <t>FM2-B922-000</t>
  </si>
  <si>
    <t>FM2-B920-000</t>
  </si>
  <si>
    <t>FM2-D857-000</t>
  </si>
  <si>
    <t>RM2-8311-000ASV</t>
  </si>
  <si>
    <t>RM2-8312-000ASV</t>
  </si>
  <si>
    <t>FM2-D940-000</t>
  </si>
  <si>
    <t>FM2-K854-000</t>
  </si>
  <si>
    <t>RM2-9629-000</t>
  </si>
  <si>
    <t>L1184</t>
  </si>
  <si>
    <t>RM2-9610-000</t>
  </si>
  <si>
    <t>L1161</t>
  </si>
  <si>
    <t>FM2-C980-000</t>
  </si>
  <si>
    <t>FM2-C981-000</t>
  </si>
  <si>
    <t>FM2-C982-000</t>
  </si>
  <si>
    <t>FM2-L869-000</t>
  </si>
  <si>
    <t>RM2-9151-000</t>
  </si>
  <si>
    <t xml:space="preserve">L1144SV </t>
  </si>
  <si>
    <t>RM2-9251-000</t>
  </si>
  <si>
    <t>RM2-9152-000</t>
  </si>
  <si>
    <t>RM2-9924-000</t>
  </si>
  <si>
    <t>L1165</t>
  </si>
  <si>
    <t>RM2-9929-000</t>
  </si>
  <si>
    <t>RM3-7245-000</t>
  </si>
  <si>
    <t>RM3-7225-000</t>
  </si>
  <si>
    <t>RM3-7224-000</t>
  </si>
  <si>
    <t>RM3-7243-000</t>
  </si>
  <si>
    <t>RM3-7244-000</t>
  </si>
  <si>
    <t>RM3-7221-000</t>
  </si>
  <si>
    <t>RM3-7280-000</t>
  </si>
  <si>
    <t>RM3-7281-000</t>
  </si>
  <si>
    <t>RM3-7271-000</t>
  </si>
  <si>
    <t>RM3-7269-000</t>
  </si>
  <si>
    <t>RM3-7268-000</t>
  </si>
  <si>
    <t>RM3-7288-000</t>
  </si>
  <si>
    <t>RM3-7290-000</t>
  </si>
  <si>
    <t>FM2-G954-000</t>
  </si>
  <si>
    <t>FM2-G989-000</t>
  </si>
  <si>
    <t>FM2-G969-000</t>
  </si>
  <si>
    <t>T765SB_L1188/89</t>
  </si>
  <si>
    <t>FM2-G968-000</t>
  </si>
  <si>
    <t>FM2-G972-000</t>
  </si>
  <si>
    <t>FM2-H931-000</t>
  </si>
  <si>
    <t>FM2-H938-000</t>
  </si>
  <si>
    <t>FM2-G960-000</t>
  </si>
  <si>
    <t>FM2-H936-000</t>
  </si>
  <si>
    <t>T765MB_L1188/89</t>
  </si>
  <si>
    <t>FM2-H937-000</t>
  </si>
  <si>
    <t>FM2-H940-000</t>
  </si>
  <si>
    <t>T765SD_L1188/89</t>
  </si>
  <si>
    <t>FM2-H941-000</t>
  </si>
  <si>
    <t>T767MC_L1188/89</t>
  </si>
  <si>
    <t>FM2-H954-000</t>
  </si>
  <si>
    <t>FM2-H944-000</t>
  </si>
  <si>
    <t>FM2-H951-000</t>
  </si>
  <si>
    <t>FM2-H950-000</t>
  </si>
  <si>
    <t>FM2-H943-000</t>
  </si>
  <si>
    <t>FM2-G971-000</t>
  </si>
  <si>
    <t>FM2-G993-000</t>
  </si>
  <si>
    <t>T767SE_L1188/89</t>
  </si>
  <si>
    <t>FM2-G994-000</t>
  </si>
  <si>
    <t>FM2-G995-000</t>
  </si>
  <si>
    <t>FM2-J802-000</t>
  </si>
  <si>
    <t>RM3-8252-000</t>
  </si>
  <si>
    <t>ECU-SU-L1209/1210</t>
  </si>
  <si>
    <t>RM3-8253-000</t>
  </si>
  <si>
    <t>RM3-8230-000</t>
  </si>
  <si>
    <t>RM3-7820-000</t>
  </si>
  <si>
    <t>RM3-7850-000</t>
  </si>
  <si>
    <t>RM3-7851-000</t>
  </si>
  <si>
    <t>RM3-7852-000</t>
  </si>
  <si>
    <t>RM3-7853-000</t>
  </si>
  <si>
    <t>RM3-7854-000</t>
  </si>
  <si>
    <t>RM3-7855-000</t>
  </si>
  <si>
    <t>RM3-7856-000</t>
  </si>
  <si>
    <t>RM3-7857-000</t>
  </si>
  <si>
    <t>RM3-7858-000</t>
  </si>
  <si>
    <t>RM3-7859-000</t>
  </si>
  <si>
    <t>RM3-7860-000</t>
  </si>
  <si>
    <t>RM3-7861-000</t>
  </si>
  <si>
    <t>RM3-7862-000</t>
  </si>
  <si>
    <t>RM3-7863-000</t>
  </si>
  <si>
    <t>RM3-7864-000</t>
  </si>
  <si>
    <t>FM2-Q920-000</t>
  </si>
  <si>
    <t>L1189-T767X</t>
  </si>
  <si>
    <t>FM2-Q922-000</t>
  </si>
  <si>
    <t>RM3-8491-000</t>
  </si>
  <si>
    <t>L1211/1212</t>
  </si>
  <si>
    <t xml:space="preserve">RM3-8492-000
</t>
  </si>
  <si>
    <t>RM3-8495-000</t>
  </si>
  <si>
    <t>RM3-7870-000</t>
  </si>
  <si>
    <t>L1195/96</t>
  </si>
  <si>
    <t>RM3-7871-000</t>
  </si>
  <si>
    <t>RM3-7872-000</t>
  </si>
  <si>
    <t>RM3-7873-000</t>
  </si>
  <si>
    <t>RM3-7874-000</t>
  </si>
  <si>
    <t>RM3-7875-000</t>
  </si>
  <si>
    <t>RM3-7876-000</t>
  </si>
  <si>
    <t>RM3-7879-000</t>
  </si>
  <si>
    <t>RM3-7880-000</t>
  </si>
  <si>
    <t>RM3-7881-000</t>
  </si>
  <si>
    <t>RM3-7886-000</t>
  </si>
  <si>
    <t>RM3-7885-000</t>
  </si>
  <si>
    <t>RM3-7821-000</t>
  </si>
  <si>
    <t>RM3-7884-000</t>
  </si>
  <si>
    <t>RM3-7569-000</t>
  </si>
  <si>
    <t>L1197.98</t>
  </si>
  <si>
    <t>RM3-7560-000</t>
  </si>
  <si>
    <t>RM3-7568-000</t>
  </si>
  <si>
    <t>RM2-8481-000</t>
  </si>
  <si>
    <t>L1151</t>
  </si>
  <si>
    <t>RM2-8483-000</t>
  </si>
  <si>
    <t>FM2-H830-000</t>
  </si>
  <si>
    <t>RM2-8807-000</t>
  </si>
  <si>
    <t>RM2-8827-000</t>
  </si>
  <si>
    <t>RM2-8917-000</t>
  </si>
  <si>
    <t>L1156</t>
  </si>
  <si>
    <t>RM2-8482-000</t>
  </si>
  <si>
    <t>RM2-9020-000</t>
  </si>
  <si>
    <t>FM2-G878-000</t>
  </si>
  <si>
    <t>FM2-G879-000</t>
  </si>
  <si>
    <t>FM2-H831-000</t>
  </si>
  <si>
    <t>RM2-8767-000</t>
  </si>
  <si>
    <t>RM2-8785-000</t>
  </si>
  <si>
    <t>RM2-8867-000</t>
  </si>
  <si>
    <t>RM2-8885-000</t>
  </si>
  <si>
    <t>FM2-G880-000</t>
  </si>
  <si>
    <t>FM2-G881-000</t>
  </si>
  <si>
    <t>RM3-7825-000</t>
  </si>
  <si>
    <t>RM3-7575-000</t>
  </si>
  <si>
    <t>RM3-7530-000</t>
  </si>
  <si>
    <t>RM3-7531-000</t>
  </si>
  <si>
    <t>RM3-7010-000</t>
  </si>
  <si>
    <t>RM3-7271</t>
  </si>
  <si>
    <t>RM3-7822</t>
  </si>
  <si>
    <t>RM3-7823</t>
  </si>
  <si>
    <t>RM3-7864</t>
  </si>
  <si>
    <t xml:space="preserve">L1188/89	</t>
  </si>
  <si>
    <t>U36206</t>
  </si>
  <si>
    <t xml:space="preserve">L1172/73	</t>
  </si>
  <si>
    <t>FM2-H937</t>
  </si>
  <si>
    <t>L1144/47</t>
  </si>
  <si>
    <t>RM2-8312</t>
  </si>
  <si>
    <t>RM1-7902</t>
  </si>
  <si>
    <t>FM2-D940</t>
  </si>
  <si>
    <t>RM2-8315</t>
  </si>
  <si>
    <t>RM1-7895</t>
  </si>
  <si>
    <t>L1172</t>
  </si>
  <si>
    <t>RM3-7245</t>
  </si>
  <si>
    <t>RM2-5874</t>
  </si>
  <si>
    <t>RM2-7628</t>
  </si>
  <si>
    <t>L1128/29</t>
  </si>
  <si>
    <t>RM2-7399</t>
  </si>
  <si>
    <t>RM3-*716</t>
  </si>
  <si>
    <t>RM2-8378</t>
  </si>
  <si>
    <t>RM2-9100</t>
  </si>
  <si>
    <t>FM1-R870</t>
  </si>
  <si>
    <t>U29686</t>
  </si>
  <si>
    <t>FM2-H940</t>
  </si>
  <si>
    <t>RM3-7224</t>
  </si>
  <si>
    <t>RM3-7244</t>
  </si>
  <si>
    <t>U30840</t>
  </si>
  <si>
    <t>U27723</t>
  </si>
  <si>
    <t>SHANKS</t>
  </si>
  <si>
    <t>960K87214</t>
  </si>
  <si>
    <t>PSLV</t>
  </si>
  <si>
    <t>105K34280</t>
  </si>
  <si>
    <t>960K90691</t>
  </si>
  <si>
    <t>105K32606</t>
  </si>
  <si>
    <t>PSHV</t>
  </si>
  <si>
    <t>105K32184</t>
  </si>
  <si>
    <t>105K33355</t>
  </si>
  <si>
    <t>FLORA</t>
  </si>
  <si>
    <t>105K34850</t>
  </si>
  <si>
    <t>LVHV</t>
  </si>
  <si>
    <t>961K08230</t>
  </si>
  <si>
    <t>U26613</t>
  </si>
  <si>
    <t xml:space="preserve">RM2-7405	</t>
  </si>
  <si>
    <t>FM2-B921</t>
  </si>
  <si>
    <t>RM1-7894</t>
  </si>
  <si>
    <t>FM2-B920</t>
  </si>
  <si>
    <t>FM2-B922</t>
  </si>
  <si>
    <t>RM1-7896</t>
  </si>
  <si>
    <t>L1168/69</t>
  </si>
  <si>
    <t>FM1-X949</t>
  </si>
  <si>
    <t>FM2-K854</t>
  </si>
  <si>
    <t>RM2-8216</t>
  </si>
  <si>
    <t>RM3-738</t>
  </si>
  <si>
    <t>RM3-7385</t>
  </si>
  <si>
    <t>U23987</t>
  </si>
  <si>
    <t>RM2-9151</t>
  </si>
  <si>
    <t>FM2-H941</t>
  </si>
  <si>
    <t>U36008</t>
  </si>
  <si>
    <t>RM3-8547</t>
  </si>
  <si>
    <t>L1170/71</t>
  </si>
  <si>
    <t>RM2-9573</t>
  </si>
  <si>
    <t>RM2-9572</t>
  </si>
  <si>
    <t>IC54</t>
  </si>
  <si>
    <t>\\vn-file\QC Department\4.OQC\00. OQC Performance\03. Images\01. NG\20210105-NG-0934705992.jpg</t>
  </si>
  <si>
    <t>\\vn-file\QC Department\4.OQC\00. OQC Performance\03. Images\02. OK\20210105-OK-0934705992.jpg</t>
  </si>
  <si>
    <t>349F7BA4C1EC</t>
  </si>
  <si>
    <t>FM1-X948</t>
  </si>
  <si>
    <t>U30119</t>
  </si>
  <si>
    <t>105K34450</t>
  </si>
  <si>
    <t>105K34310</t>
  </si>
  <si>
    <t>FRANKY</t>
  </si>
  <si>
    <t>960K90970</t>
  </si>
  <si>
    <t>960K84370</t>
  </si>
  <si>
    <t>105K34810</t>
  </si>
  <si>
    <t>J910</t>
  </si>
  <si>
    <t>\\vn-file\QC Department\4.OQC\00. OQC Performance\03. Images\01. NG\20210105-NG-0150706277.jpg</t>
  </si>
  <si>
    <t>\\vn-file\QC Department\4.OQC\00. OQC Performance\03. Images\02. OK\20210105-OK-0150706277.jpg</t>
  </si>
  <si>
    <t>349F7BA4CA98</t>
  </si>
  <si>
    <t>FM2-H944</t>
  </si>
  <si>
    <t>RM2-8314</t>
  </si>
  <si>
    <t>RM2-8212</t>
  </si>
  <si>
    <t>RM2-8211</t>
  </si>
  <si>
    <t>RM2-9251</t>
  </si>
  <si>
    <t>FM2-G993</t>
  </si>
  <si>
    <t xml:space="preserve">_x000D_
</t>
  </si>
  <si>
    <t>RM3-7381</t>
  </si>
  <si>
    <t>RM3-7169</t>
  </si>
  <si>
    <t>RM2-8277</t>
  </si>
  <si>
    <t>RM2-8276</t>
  </si>
  <si>
    <t>RM3-7894</t>
  </si>
  <si>
    <t>RM3-7179</t>
  </si>
  <si>
    <t>960K79011</t>
  </si>
  <si>
    <t>L193/94</t>
  </si>
  <si>
    <t>RM3-8546</t>
  </si>
  <si>
    <t>RM2-8080</t>
  </si>
  <si>
    <t>RM2-8214</t>
  </si>
  <si>
    <t>FM2-G989</t>
  </si>
  <si>
    <t>RM2-8278</t>
  </si>
  <si>
    <t>RM2-7405</t>
  </si>
  <si>
    <t>FM2-D857</t>
  </si>
  <si>
    <t>RM2-8377</t>
  </si>
  <si>
    <t>RM2-8279</t>
  </si>
  <si>
    <t>105K33363</t>
  </si>
  <si>
    <t>105K33122</t>
  </si>
  <si>
    <t>960K78314</t>
  </si>
  <si>
    <t>105K31096</t>
  </si>
  <si>
    <t>L1151/52</t>
  </si>
  <si>
    <t>RM3-7046</t>
  </si>
  <si>
    <t>RM2-836</t>
  </si>
  <si>
    <t>RM3-864</t>
  </si>
  <si>
    <t>J421</t>
  </si>
  <si>
    <t>\\vn-file\QC Department\4.OQC\00. OQC Performance\03. Images\01. NG\20210106-NG-0615706916.jpg</t>
  </si>
  <si>
    <t>\\vn-file\QC Department\4.OQC\00. OQC Performance\03. Images\02. OK\20210106-OK-0615706916.jpg</t>
  </si>
  <si>
    <t>RM2-8215</t>
  </si>
  <si>
    <t>RM2-8311</t>
  </si>
  <si>
    <t>105L34810</t>
  </si>
  <si>
    <t>105K34460</t>
  </si>
  <si>
    <t>RM2-8376</t>
  </si>
  <si>
    <t>FM1-X947</t>
  </si>
  <si>
    <t>FM2-C982</t>
  </si>
  <si>
    <t>U09749</t>
  </si>
  <si>
    <t>105K32622</t>
  </si>
  <si>
    <t xml:space="preserve">L1144/47	</t>
  </si>
  <si>
    <t>RM3-8378</t>
  </si>
  <si>
    <t>FM2-H936</t>
  </si>
  <si>
    <t>FM2-L869</t>
  </si>
  <si>
    <t>RM2-8313</t>
  </si>
  <si>
    <t>RM2-814</t>
  </si>
  <si>
    <t>RM3-7290</t>
  </si>
  <si>
    <t>RM3-7825</t>
  </si>
  <si>
    <t>960K87226</t>
  </si>
  <si>
    <t>BORUTO</t>
  </si>
  <si>
    <t>960K94381</t>
  </si>
  <si>
    <t>960K88445</t>
  </si>
  <si>
    <t>105K31086</t>
  </si>
  <si>
    <t>FM2-G960</t>
  </si>
  <si>
    <t xml:space="preserve">_x000D_
_x000D_
</t>
  </si>
  <si>
    <t>FM2-H954</t>
  </si>
  <si>
    <t>960K94951</t>
  </si>
  <si>
    <t>105K33345</t>
  </si>
  <si>
    <t>SHIBUKI</t>
  </si>
  <si>
    <t>105K34223</t>
  </si>
  <si>
    <t>ZAKURO</t>
  </si>
  <si>
    <t>960K69289</t>
  </si>
  <si>
    <t xml:space="preserve">L1077	</t>
  </si>
  <si>
    <t>RM2-7634</t>
  </si>
  <si>
    <t>RM3-7826</t>
  </si>
  <si>
    <t>RM2-9571</t>
  </si>
  <si>
    <t xml:space="preserve">RM3-7822	</t>
  </si>
  <si>
    <t>RM3-7820</t>
  </si>
  <si>
    <t>U07492</t>
  </si>
  <si>
    <t>RM2-8316</t>
  </si>
  <si>
    <t>105K34390</t>
  </si>
  <si>
    <t>FM2-H950</t>
  </si>
  <si>
    <t>RM3-7824</t>
  </si>
  <si>
    <t>RM2-8252</t>
  </si>
  <si>
    <t>RM3-825</t>
  </si>
  <si>
    <t>L1105/06</t>
  </si>
  <si>
    <t>RM2-8079</t>
  </si>
  <si>
    <t>JP301</t>
  </si>
  <si>
    <t>\\vn-file\QC Department\4.OQC\00. OQC Performance\03. Images\01. NG\20210109-NG-0730708562.jpg</t>
  </si>
  <si>
    <t>\\vn-file\QC Department\4.OQC\00. OQC Performance\03. Images\02. OK\20210109-OK-0730708562.jpg</t>
  </si>
  <si>
    <t>105K34300</t>
  </si>
  <si>
    <t>105K34500</t>
  </si>
  <si>
    <t>\\vn-file\QC Department\4.OQC\00. OQC Performance\03. Images\01. NG\20210111-NG-1530708562.jpg</t>
  </si>
  <si>
    <t>\\vn-file\QC Department\4.OQC\00. OQC Performance\03. Images\02. OK\20210111-OK-1530708562.jpg</t>
  </si>
  <si>
    <t>FM2-G971</t>
  </si>
  <si>
    <t>RM3-7530</t>
  </si>
  <si>
    <t>FM1-X9446</t>
  </si>
  <si>
    <t>FM2-C980</t>
  </si>
  <si>
    <t>105K34212</t>
  </si>
  <si>
    <t>105K34270</t>
  </si>
  <si>
    <t>FM2-J802</t>
  </si>
  <si>
    <t>FM2-A857</t>
  </si>
  <si>
    <t>RM2-8375</t>
  </si>
  <si>
    <t>RM3-7177</t>
  </si>
  <si>
    <t xml:space="preserve">RM3-7823	</t>
  </si>
  <si>
    <t>L1161/65</t>
  </si>
  <si>
    <t>RM3-010</t>
  </si>
  <si>
    <t>FM2-A859</t>
  </si>
  <si>
    <t>FM2-A860</t>
  </si>
  <si>
    <t>FM2-A858</t>
  </si>
  <si>
    <t xml:space="preserve">_x000D_
_x000D_
_x000D_
</t>
  </si>
  <si>
    <t>không bẻ bavia</t>
  </si>
  <si>
    <t>JPP21, JP22</t>
  </si>
  <si>
    <t>\\vn-file\QC Department\4.OQC\00. OQC Performance\03. Images\01. NG\20210112-NG-1030707972.jpg</t>
  </si>
  <si>
    <t>\\vn-file\QC Department\4.OQC\00. OQC Performance\03. Images\02. OK\20210112-OK-1030707972.jpg</t>
  </si>
  <si>
    <t>RM3-7281</t>
  </si>
  <si>
    <t>960K88435</t>
  </si>
  <si>
    <t xml:space="preserve">L1193/94	</t>
  </si>
  <si>
    <t>EM2-7635</t>
  </si>
  <si>
    <t>RM2-7607</t>
  </si>
  <si>
    <t>RM2-7609</t>
  </si>
  <si>
    <t>RM2-7618</t>
  </si>
  <si>
    <t>RM3-7010</t>
  </si>
  <si>
    <t>105K33005</t>
  </si>
  <si>
    <t xml:space="preserve">L1209/10 </t>
  </si>
  <si>
    <t>RM2-8419</t>
  </si>
  <si>
    <t>RM3-7531</t>
  </si>
  <si>
    <t>RM3-7575</t>
  </si>
  <si>
    <t>RM2-7635</t>
  </si>
  <si>
    <t>RM3-7856</t>
  </si>
  <si>
    <t>RM3-7857</t>
  </si>
  <si>
    <t>RM3-7858</t>
  </si>
  <si>
    <t>RM3-7859</t>
  </si>
  <si>
    <t>RM3-786</t>
  </si>
  <si>
    <t>RM3-7860</t>
  </si>
  <si>
    <t>RM3-7861</t>
  </si>
  <si>
    <t>RM3-7268</t>
  </si>
  <si>
    <t>105K33015</t>
  </si>
  <si>
    <t>RM2-8427</t>
  </si>
  <si>
    <t>Q410</t>
  </si>
  <si>
    <t>\\vn-file\QC Department\4.OQC\00. OQC Performance\03. Images\01. NG\20210113-NG-0450708706.jpg</t>
  </si>
  <si>
    <t>RM3-7280</t>
  </si>
  <si>
    <t>RM2-8213</t>
  </si>
  <si>
    <t>RM3-7383</t>
  </si>
  <si>
    <t>ZAKUZO</t>
  </si>
  <si>
    <t>960K87314</t>
  </si>
  <si>
    <t>RM2-8640</t>
  </si>
  <si>
    <t>RM2-7629</t>
  </si>
  <si>
    <t>U26987</t>
  </si>
  <si>
    <t>NF2762</t>
  </si>
  <si>
    <t>\\vn-file\QC Department\4.OQC\00. OQC Performance\03. Images\01. NG\20210114-NG-2035708960.jpg</t>
  </si>
  <si>
    <t>\\vn-file\QC Department\4.OQC\00. OQC Performance\03. Images\02. OK\20210114-OK-2035708960.jpg</t>
  </si>
  <si>
    <t xml:space="preserve">L1209/10	</t>
  </si>
  <si>
    <t>OCB</t>
  </si>
  <si>
    <t>\\vn-file\QC Department\4.OQC\00. OQC Performance\03. Images\01. NG\20210114-NG-0745709662.jpg</t>
  </si>
  <si>
    <t>\\vn-file\QC Department\4.OQC\00. OQC Performance\03. Images\02. OK\20210114-OK-0745709662.jpg</t>
  </si>
  <si>
    <t>RM3-7269</t>
  </si>
  <si>
    <t>RM3-8640</t>
  </si>
  <si>
    <t>RM2-574</t>
  </si>
  <si>
    <t>FM2-H951</t>
  </si>
  <si>
    <t>J442</t>
  </si>
  <si>
    <t>RM3-7546</t>
  </si>
  <si>
    <t>FROLA</t>
  </si>
  <si>
    <t>105K34840</t>
  </si>
  <si>
    <t>RM3-7863</t>
  </si>
  <si>
    <t>RM2-8610</t>
  </si>
  <si>
    <t>FM2-G994</t>
  </si>
  <si>
    <t xml:space="preserve">105K34280	</t>
  </si>
  <si>
    <t>RM3-7047</t>
  </si>
  <si>
    <t>LVHV BOM</t>
  </si>
  <si>
    <t>105K33374</t>
  </si>
  <si>
    <t>960K87374</t>
  </si>
  <si>
    <t>HS202</t>
  </si>
  <si>
    <t>\\vn-file\QC Department\4.OQC\00. OQC Performance\03. Images\01. NG\20210118-NG-1340710518.jpg</t>
  </si>
  <si>
    <t>\\vn-file\QC Department\4.OQC\00. OQC Performance\03. Images\02. OK\20210118-OK-1340710518.jpg</t>
  </si>
  <si>
    <t>FM2-C981</t>
  </si>
  <si>
    <t>FM2-A856</t>
  </si>
  <si>
    <t>L1174/5</t>
  </si>
  <si>
    <t>RM2-571</t>
  </si>
  <si>
    <t>FM1-T870</t>
  </si>
  <si>
    <t>RM3-7827</t>
  </si>
  <si>
    <t>RM3-7288</t>
  </si>
  <si>
    <t>FM2-G995</t>
  </si>
  <si>
    <t>Q601</t>
  </si>
  <si>
    <t>\\vn-file\QC Department\4.OQC\00. OQC Performance\03. Images\01. NG\20210118-NG-2100709967.jpg</t>
  </si>
  <si>
    <t>\\vn-file\QC Department\4.OQC\00. OQC Performance\03. Images\02. OK\20210118-OK-2100709967.jpg</t>
  </si>
  <si>
    <t>x11e0356stf0</t>
  </si>
  <si>
    <t>FM1-X946</t>
  </si>
  <si>
    <t>RM3-8545</t>
  </si>
  <si>
    <t xml:space="preserve">105K34500	</t>
  </si>
  <si>
    <t xml:space="preserve">105K34270	</t>
  </si>
  <si>
    <t xml:space="preserve">105K34300	</t>
  </si>
  <si>
    <t>105K34290</t>
  </si>
  <si>
    <t>T575SP</t>
  </si>
  <si>
    <t>FM1-N805</t>
  </si>
  <si>
    <t>RM2-9929</t>
  </si>
  <si>
    <t>L101</t>
  </si>
  <si>
    <t>\\vn-file\QC Department\4.OQC\00. OQC Performance\03. Images\01. NG\20210119-NG-0114710876.jpg</t>
  </si>
  <si>
    <t>\\vn-file\QC Department\4.OQC\00. OQC Performance\03. Images\02. OK\20210119-OK-0114710876.jpg</t>
  </si>
  <si>
    <t>RM2-8306</t>
  </si>
  <si>
    <t xml:space="preserve">0	</t>
  </si>
  <si>
    <t>hàng rework</t>
  </si>
  <si>
    <t>HÀNG REWORK</t>
  </si>
  <si>
    <t xml:space="preserve">RM3-7823		</t>
  </si>
  <si>
    <t xml:space="preserve">RM3-7864	</t>
  </si>
  <si>
    <t>RM2-9924</t>
  </si>
  <si>
    <t xml:space="preserve">L1168/69	</t>
  </si>
  <si>
    <t>T575</t>
  </si>
  <si>
    <t>RM27609</t>
  </si>
  <si>
    <t>RM27618</t>
  </si>
  <si>
    <t>IC2</t>
  </si>
  <si>
    <t>\\vn-file\QC Department\4.OQC\00. OQC Performance\03. Images\01. NG\20210121-NG-1235711361.jpg</t>
  </si>
  <si>
    <t>\\vn-file\QC Department\4.OQC\00. OQC Performance\03. Images\02. OK\20210121-OK-1235711361.jpg</t>
  </si>
  <si>
    <t>NỐI ĐƯỜNG ĐIỆN</t>
  </si>
  <si>
    <t>\\vn-file\QC Department\4.OQC\00. OQC Performance\03. Images\01. NG\20210121-NG-1630711361.jpg</t>
  </si>
  <si>
    <t>\\vn-file\QC Department\4.OQC\00. OQC Performance\03. Images\02. OK\20210121-OK-1630711361.jpg</t>
  </si>
  <si>
    <t>RM2-9610</t>
  </si>
  <si>
    <t>L116/65</t>
  </si>
  <si>
    <t>RM3-7406</t>
  </si>
  <si>
    <t>RM3-7407</t>
  </si>
  <si>
    <t>FM2-G972</t>
  </si>
  <si>
    <t>FN2-H931</t>
  </si>
  <si>
    <t>R2722</t>
  </si>
  <si>
    <t>\\vn-file\QC Department\4.OQC\00. OQC Performance\03. Images\01. NG\20210123-NG-1900712032.jpg</t>
  </si>
  <si>
    <t>\\vn-file\QC Department\4.OQC\00. OQC Performance\03. Images\02. OK\20210123-OK-1900712032.jpg</t>
  </si>
  <si>
    <t>FM2-0H943</t>
  </si>
  <si>
    <t>HVPS</t>
  </si>
  <si>
    <t>U09544</t>
  </si>
  <si>
    <t>FM2-7399</t>
  </si>
  <si>
    <t>RM1-795</t>
  </si>
  <si>
    <t>960K9069</t>
  </si>
  <si>
    <t xml:space="preserve">FM2-G972	</t>
  </si>
  <si>
    <t xml:space="preserve">FM2-G971	</t>
  </si>
  <si>
    <t>EM2-9100</t>
  </si>
  <si>
    <t>RM2-7281</t>
  </si>
  <si>
    <t>SCC</t>
  </si>
  <si>
    <t>PT321</t>
  </si>
  <si>
    <t>\\vn-file\QC Department\4.OQC\00. OQC Performance\03. Images\01. NG\20210128-NG-1930713664.jpg</t>
  </si>
  <si>
    <t>\\vn-file\QC Department\4.OQC\00. OQC Performance\03. Images\02. OK\20210128-OK-1930713664.jpg</t>
  </si>
  <si>
    <t>X11T0254STCIO</t>
  </si>
  <si>
    <t>105K32185</t>
  </si>
  <si>
    <t>IC3 HÀN CAO</t>
  </si>
  <si>
    <t>IC3</t>
  </si>
  <si>
    <t>\\vn-file\QC Department\4.OQC\00. OQC Performance\03. Images\01. NG\20210128-NG-0300713488.jpg</t>
  </si>
  <si>
    <t>\\vn-file\QC Department\4.OQC\00. OQC Performance\03. Images\02. OK\20210128-OK-0300713488.jpg</t>
  </si>
  <si>
    <t>C114</t>
  </si>
  <si>
    <t>\\vn-file\QC Department\4.OQC\00. OQC Performance\03. Images\01. NG\20210129-NG-0754713699.jpg</t>
  </si>
  <si>
    <t>\\vn-file\QC Department\4.OQC\00. OQC Performance\03. Images\02. OK\20210129-OK-0754713699.jpg</t>
  </si>
  <si>
    <t>Q1101</t>
  </si>
  <si>
    <t>\\vn-file\QC Department\4.OQC\00. OQC Performance\03. Images\01. NG\20210130-NG-1800713129.jpg</t>
  </si>
  <si>
    <t>\\vn-file\QC Department\4.OQC\00. OQC Performance\03. Images\02. OK\20210130-OK-1800713129.jpg</t>
  </si>
  <si>
    <t>L1194/95</t>
  </si>
  <si>
    <t>RM3-8314</t>
  </si>
  <si>
    <t>961K10680</t>
  </si>
  <si>
    <t>PSGV</t>
  </si>
  <si>
    <t>RM3-7373</t>
  </si>
  <si>
    <t>LPSHV</t>
  </si>
  <si>
    <t>\\vn-file\QC Department\4.OQC\00. OQC Performance\03. Images\01. NG\20210201-NG-1655714119.jpg</t>
  </si>
  <si>
    <t>\\vn-file\QC Department\4.OQC\00. OQC Performance\03. Images\02. OK\20210201-OK-1655714119.jpg</t>
  </si>
  <si>
    <t>THÙNG HÀNG</t>
  </si>
  <si>
    <t>\\vn-file\QC Department\4.OQC\00. OQC Performance\03. Images\01. NG\20210201-NG-0835713178.jpg</t>
  </si>
  <si>
    <t xml:space="preserve">THỪA SỐ LƯỢNG </t>
  </si>
  <si>
    <t>IC401</t>
  </si>
  <si>
    <t>\\vn-file\QC Department\4.OQC\00. OQC Performance\03. Images\01. NG\20210201-NG-0200713482.jpg</t>
  </si>
  <si>
    <t>960K9091</t>
  </si>
  <si>
    <t>C50</t>
  </si>
  <si>
    <t>\\vn-file\QC Department\4.OQC\00. OQC Performance\03. Images\01. NG\20210202-NG-1232714730.jpg</t>
  </si>
  <si>
    <t>\\vn-file\QC Department\4.OQC\00. OQC Performance\03. Images\02. OK\20210202-OK-1232714730.jpg</t>
  </si>
  <si>
    <t>349F76A53E7E</t>
  </si>
  <si>
    <t>T301</t>
  </si>
  <si>
    <t>\\vn-file\QC Department\4.OQC\00. OQC Performance\03. Images\01. NG\20210202-NG-2115715082.jpg</t>
  </si>
  <si>
    <t>\\vn-file\QC Department\4.OQC\00. OQC Performance\03. Images\02. OK\20210202-OK-2115715082.jpg</t>
  </si>
  <si>
    <t>RM2-7382</t>
  </si>
  <si>
    <t>RM2-7378</t>
  </si>
  <si>
    <t>205K32606</t>
  </si>
  <si>
    <t>SHENKS</t>
  </si>
  <si>
    <t>L1145</t>
  </si>
  <si>
    <t>L1145/47</t>
  </si>
  <si>
    <t>RM1-8617</t>
  </si>
  <si>
    <t>L1193</t>
  </si>
  <si>
    <t>L1188</t>
  </si>
  <si>
    <t>L1146/47</t>
  </si>
  <si>
    <t>L1209</t>
  </si>
  <si>
    <t>L1209/1210</t>
  </si>
  <si>
    <t>L1112/113</t>
  </si>
  <si>
    <t>SHAKS</t>
  </si>
  <si>
    <t>L1144</t>
  </si>
  <si>
    <t>L1147</t>
  </si>
  <si>
    <t>L1172-73</t>
  </si>
  <si>
    <t>L1177</t>
  </si>
  <si>
    <t>L1107</t>
  </si>
  <si>
    <t>L1112</t>
  </si>
  <si>
    <t>C2332 BONG LINH KIỆN</t>
  </si>
  <si>
    <t>C2332</t>
  </si>
  <si>
    <t>\\vn-file\QC Department\4.OQC\00. OQC Performance\03. Images\01. NG\20210302-NG-1310714722.jpg</t>
  </si>
  <si>
    <t>L1193-94</t>
  </si>
  <si>
    <t>L1146</t>
  </si>
  <si>
    <t>BOIUTO</t>
  </si>
  <si>
    <t>SHNKS</t>
  </si>
  <si>
    <t>L1194</t>
  </si>
  <si>
    <t>RM2-7243</t>
  </si>
  <si>
    <t>R418</t>
  </si>
  <si>
    <t>\\vn-file\QC Department\4.OQC\00. OQC Performance\03. Images\01. NG\20210303-NG-0950715419.jpg</t>
  </si>
  <si>
    <t>DAU NGÀY THÁNG</t>
  </si>
  <si>
    <t>\\vn-file\QC Department\4.OQC\00. OQC Performance\03. Images\01. NG\20210303-NG-1600715419.jpg</t>
  </si>
  <si>
    <t>FU1102</t>
  </si>
  <si>
    <t>\\vn-file\QC Department\4.OQC\00. OQC Performance\03. Images\01. NG\20210303-NG-0940715712.jpg</t>
  </si>
  <si>
    <t>U9854</t>
  </si>
  <si>
    <t>U35262</t>
  </si>
  <si>
    <t>FM-G993</t>
  </si>
  <si>
    <t>U36387</t>
  </si>
  <si>
    <t>L1174</t>
  </si>
  <si>
    <t>RM1-7440</t>
  </si>
  <si>
    <t>J903</t>
  </si>
  <si>
    <t>\\vn-file\QC Department\4.OQC\00. OQC Performance\03. Images\01. NG\20210305-NG-1746715234.jpg</t>
  </si>
  <si>
    <t>\\vn-file\QC Department\4.OQC\00. OQC Performance\03. Images\02. OK\20210305-OK-1746715234.jpg</t>
  </si>
  <si>
    <t>FM2-Y832</t>
  </si>
  <si>
    <t>type a</t>
  </si>
  <si>
    <t>type b</t>
  </si>
  <si>
    <t>type c</t>
  </si>
  <si>
    <t>T575SL</t>
  </si>
  <si>
    <t>TYPE A</t>
  </si>
  <si>
    <t>TYPE B</t>
  </si>
  <si>
    <t>TYPE C</t>
  </si>
  <si>
    <t>RM3-8377</t>
  </si>
  <si>
    <t>RM3-747</t>
  </si>
  <si>
    <t>105K90691</t>
  </si>
  <si>
    <t>RM2-8374</t>
  </si>
  <si>
    <t>U36073</t>
  </si>
  <si>
    <t>U24426</t>
  </si>
  <si>
    <t>L117/75</t>
  </si>
  <si>
    <t>\\vn-file\QC Department\4.OQC\00. OQC Performance\03. Images\01. NG\20210309-NG-1320714219.jpg</t>
  </si>
  <si>
    <t>\\vn-file\QC Department\4.OQC\00. OQC Performance\03. Images\02. OK\20210309-OK-1320714219.jpg</t>
  </si>
  <si>
    <t xml:space="preserve">_x000D_
_x000D_
_x000D_
_x000D_
</t>
  </si>
  <si>
    <t>PS770</t>
  </si>
  <si>
    <t>\\vn-file\QC Department\4.OQC\00. OQC Performance\03. Images\01. NG\20210309-NG-1245716821.jpg</t>
  </si>
  <si>
    <t>TB201</t>
  </si>
  <si>
    <t>\\vn-file\QC Department\4.OQC\00. OQC Performance\03. Images\01. NG\20210309-NG-2244716427.jpg</t>
  </si>
  <si>
    <t>\\vn-file\QC Department\4.OQC\00. OQC Performance\03. Images\02. OK\20210309-OK-2244716427.jpg</t>
  </si>
  <si>
    <t>U29868</t>
  </si>
  <si>
    <t>RM3-7890</t>
  </si>
  <si>
    <t>ZD202</t>
  </si>
  <si>
    <t>\\vn-file\QC Department\4.OQC\00. OQC Performance\03. Images\01. NG\20210311-NG-1300715189.jpg</t>
  </si>
  <si>
    <t>\\vn-file\QC Department\4.OQC\00. OQC Performance\03. Images\02. OK\20210311-OK-1300715189.jpg</t>
  </si>
  <si>
    <t>RM4-8230</t>
  </si>
  <si>
    <t>C312</t>
  </si>
  <si>
    <t>\\vn-file\QC Department\4.OQC\00. OQC Performance\03. Images\01. NG\20210311-NG-0435717257.jpg</t>
  </si>
  <si>
    <t>\\vn-file\QC Department\4.OQC\00. OQC Performance\03. Images\02. OK\20210311-OK-0435717257.jpg</t>
  </si>
  <si>
    <t>\\vn-file\QC Department\4.OQC\00. OQC Performance\03. Images\01. NG\20210311-NG-2114716666.jpg</t>
  </si>
  <si>
    <t>RM3-8313</t>
  </si>
  <si>
    <t>RM3-7230</t>
  </si>
  <si>
    <t>RM2-8629</t>
  </si>
  <si>
    <t>RM2-9629</t>
  </si>
  <si>
    <t>RM2-7314</t>
  </si>
  <si>
    <t>U30500</t>
  </si>
  <si>
    <t>J908</t>
  </si>
  <si>
    <t>\\vn-file\QC Department\4.OQC\00. OQC Performance\03. Images\01. NG\20210313-NG-0622717645.jpg</t>
  </si>
  <si>
    <t>\\vn-file\QC Department\4.OQC\00. OQC Performance\03. Images\02. OK\20210313-OK-0622717645.jpg</t>
  </si>
  <si>
    <t>349f7ba586c0</t>
  </si>
  <si>
    <t>C447</t>
  </si>
  <si>
    <t>\\vn-file\QC Department\4.OQC\00. OQC Performance\03. Images\01. NG\20210314-NG-0640718328.jpg</t>
  </si>
  <si>
    <t>\\vn-file\QC Department\4.OQC\00. OQC Performance\03. Images\02. OK\20210314-OK-0640718328.jpg</t>
  </si>
  <si>
    <t>349f7ba5a246</t>
  </si>
  <si>
    <t>BẢN MẠCH</t>
  </si>
  <si>
    <t>\\vn-file\QC Department\4.OQC\00. OQC Performance\03. Images\01. NG\20210314-NG-0700718171.jpg</t>
  </si>
  <si>
    <t>\\vn-file\QC Department\4.OQC\00. OQC Performance\03. Images\02. OK\20210314-OK-0700718171.jpg</t>
  </si>
  <si>
    <t>D5522</t>
  </si>
  <si>
    <t>\\vn-file\QC Department\4.OQC\00. OQC Performance\03. Images\01. NG\20210315-NG-1330718458.jpg</t>
  </si>
  <si>
    <t>\\vn-file\QC Department\4.OQC\00. OQC Performance\03. Images\02. OK\20210315-OK-1330718458.jpg</t>
  </si>
  <si>
    <t>960K90391</t>
  </si>
  <si>
    <t>\\vn-file\QC Department\4.OQC\00. OQC Performance\03. Images\01. NG\20210315-NG-0455718462.jpg</t>
  </si>
  <si>
    <t>\\vn-file\QC Department\4.OQC\00. OQC Performance\03. Images\02. OK\20210315-OK-0455718462.jpg</t>
  </si>
  <si>
    <t>\\vn-file\QC Department\4.OQC\00. OQC Performance\03. Images\01. NG\20210315-NG-0107718328.jpg</t>
  </si>
  <si>
    <t>349F7BA5A3FF</t>
  </si>
  <si>
    <t>\\vn-file\QC Department\4.OQC\00. OQC Performance\03. Images\01. NG\20210316-NG-718464.jpg</t>
  </si>
  <si>
    <t>\\vn-file\QC Department\4.OQC\00. OQC Performance\03. Images\02. OK\20210316-OK-718464.jpg</t>
  </si>
  <si>
    <t>RM3--7864</t>
  </si>
  <si>
    <t>RRM3-8546</t>
  </si>
  <si>
    <t>RM2-837</t>
  </si>
  <si>
    <t>FM2-B931</t>
  </si>
  <si>
    <t>FM2-A820</t>
  </si>
  <si>
    <t>VZ102</t>
  </si>
  <si>
    <t>\\vn-file\QC Department\4.OQC\00. OQC Performance\03. Images\01. NG\20210317-NG-0344718765.jpg</t>
  </si>
  <si>
    <t>\\vn-file\QC Department\4.OQC\00. OQC Performance\03. Images\02. OK\20210317-OK-0344718765.jpg</t>
  </si>
  <si>
    <t>J919</t>
  </si>
  <si>
    <t>\\vn-file\QC Department\4.OQC\00. OQC Performance\03. Images\01. NG\20210317-NG-0759719022.jpg</t>
  </si>
  <si>
    <t>\\vn-file\QC Department\4.OQC\00. OQC Performance\03. Images\02. OK\20210317-OK-0759719022.jpg</t>
  </si>
  <si>
    <t>349F7BA5C0D1</t>
  </si>
  <si>
    <t>FM2-H91</t>
  </si>
  <si>
    <t>RK3-7826</t>
  </si>
  <si>
    <t>RT101</t>
  </si>
  <si>
    <t>\\vn-file\QC Department\4.OQC\00. OQC Performance\03. Images\01. NG\20210318-NG-1300718798.jpg</t>
  </si>
  <si>
    <t>\\vn-file\QC Department\4.OQC\00. OQC Performance\03. Images\02. OK\20210318-OK-1300718798.jpg</t>
  </si>
  <si>
    <t>X13E0080TE20</t>
  </si>
  <si>
    <t>\\vn-file\QC Department\4.OQC\00. OQC Performance\03. Images\01. NG\20210318-NG-0630719518.jpg</t>
  </si>
  <si>
    <t>\\vn-file\QC Department\4.OQC\00. OQC Performance\03. Images\02. OK\20210318-OK-0630719518.jpg</t>
  </si>
  <si>
    <t>x13h0718rgh2</t>
  </si>
  <si>
    <t>T201</t>
  </si>
  <si>
    <t>fh1102 biến dạng</t>
  </si>
  <si>
    <t>FH1102</t>
  </si>
  <si>
    <t>\\vn-file\QC Department\4.OQC\00. OQC Performance\03. Images\01. NG\20210318-NG-0125719293.jpg</t>
  </si>
  <si>
    <t>\\vn-file\QC Department\4.OQC\00. OQC Performance\03. Images\02. OK\20210318-OK-0125719293.jpg</t>
  </si>
  <si>
    <t>IC1</t>
  </si>
  <si>
    <t>\\vn-file\QC Department\4.OQC\00. OQC Performance\03. Images\01. NG\20210319-NG-0232719271.jpg</t>
  </si>
  <si>
    <t>\\vn-file\QC Department\4.OQC\00. OQC Performance\03. Images\02. OK\20210319-OK-0232719271.jpg</t>
  </si>
  <si>
    <t>TH201</t>
  </si>
  <si>
    <t>\\vn-file\QC Department\4.OQC\00. OQC Performance\03. Images\01. NG\20210320-NG-2137719550.jpg</t>
  </si>
  <si>
    <t>\\vn-file\QC Department\4.OQC\00. OQC Performance\03. Images\02. OK\20210320-OK-2137719550.jpg</t>
  </si>
  <si>
    <t>\\vn-file\QC Department\4.OQC\00. OQC Performance\03. Images\01. NG\20210320-NG-2150720021.jpg</t>
  </si>
  <si>
    <t>\\vn-file\QC Department\4.OQC\00. OQC Performance\03. Images\02. OK\20210320-OK-2150720021.jpg</t>
  </si>
  <si>
    <t>349F7BA5DF8C</t>
  </si>
  <si>
    <t>J920</t>
  </si>
  <si>
    <t>105L34280</t>
  </si>
  <si>
    <t>RM2-8439</t>
  </si>
  <si>
    <t>FM2-X948</t>
  </si>
  <si>
    <t>R806</t>
  </si>
  <si>
    <t>\\vn-file\QC Department\4.OQC\00. OQC Performance\03. Images\01. NG\20210325-NG-1905720860.jpg</t>
  </si>
  <si>
    <t>\\vn-file\QC Department\4.OQC\00. OQC Performance\03. Images\02. OK\20210325-OK-1905720860.jpg</t>
  </si>
  <si>
    <t>J12</t>
  </si>
  <si>
    <t>\\vn-file\QC Department\4.OQC\00. OQC Performance\03. Images\01. NG\20210325-NG-1350720186.jpg</t>
  </si>
  <si>
    <t>\\vn-file\QC Department\4.OQC\00. OQC Performance\03. Images\02. OK\20210325-OK-1350720186.jpg</t>
  </si>
  <si>
    <t>KHÔNG ĐÓNG DẤU NT</t>
  </si>
  <si>
    <t>DẤU NT</t>
  </si>
  <si>
    <t>\\vn-file\QC Department\4.OQC\00. OQC Performance\03. Images\01. NG\20210325-NG-1018720184.jpg</t>
  </si>
  <si>
    <t>\\vn-file\QC Department\4.OQC\00. OQC Performance\03. Images\02. OK\20210325-OK-1018720184.jpg</t>
  </si>
  <si>
    <t>CR103</t>
  </si>
  <si>
    <t>\\vn-file\QC Department\4.OQC\00. OQC Performance\03. Images\01. NG\20210325-NG-2120721071.jpg</t>
  </si>
  <si>
    <t>\\vn-file\QC Department\4.OQC\00. OQC Performance\03. Images\02. OK\20210325-OK-2120721071.jpg</t>
  </si>
  <si>
    <t>X13N0524TEZ0</t>
  </si>
  <si>
    <t>RM3-7821</t>
  </si>
  <si>
    <t>RM2-8247</t>
  </si>
  <si>
    <t>RV410</t>
  </si>
  <si>
    <t>\\vn-file\QC Department\4.OQC\00. OQC Performance\03. Images\01. NG\20210326-NG-0150721068.jpg</t>
  </si>
  <si>
    <t>\\vn-file\QC Department\4.OQC\00. OQC Performance\03. Images\02. OK\20210326-OK-0150721068.jpg</t>
  </si>
  <si>
    <t>X13R0824SFA5</t>
  </si>
  <si>
    <t>L1195</t>
  </si>
  <si>
    <t>C2</t>
  </si>
  <si>
    <t>\\vn-file\QC Department\4.OQC\00. OQC Performance\03. Images\01. NG\20210327-NG-2125720812.jpg</t>
  </si>
  <si>
    <t>\\vn-file\QC Department\4.OQC\00. OQC Performance\03. Images\02. OK\20210327-OK-2125720812.jpg</t>
  </si>
  <si>
    <t>U31036</t>
  </si>
  <si>
    <t>U33613</t>
  </si>
  <si>
    <t>U15766</t>
  </si>
  <si>
    <t>L188/89</t>
  </si>
  <si>
    <t>L1170-71</t>
  </si>
  <si>
    <t>U36209</t>
  </si>
  <si>
    <t>U32866</t>
  </si>
  <si>
    <t>U36029</t>
  </si>
  <si>
    <t>RM2-876</t>
  </si>
  <si>
    <t>U401</t>
  </si>
  <si>
    <t>\\vn-file\QC Department\4.OQC\00. OQC Performance\03. Images\01. NG\20210402-NG-1045721874.jpg</t>
  </si>
  <si>
    <t>\\vn-file\QC Department\4.OQC\00. OQC Performance\03. Images\02. OK\20210402-OK-1045721874.jpg</t>
  </si>
  <si>
    <t>X13X0321SFA5</t>
  </si>
  <si>
    <t>L4</t>
  </si>
  <si>
    <t>\\vn-file\QC Department\4.OQC\00. OQC Performance\03. Images\01. NG\20210402-NG-0800723233.jpg</t>
  </si>
  <si>
    <t>\\vn-file\QC Department\4.OQC\00. OQC Performance\03. Images\02. OK\20210402-OK-0800723233.jpg</t>
  </si>
  <si>
    <t>349F7BA6A3B5</t>
  </si>
  <si>
    <t>RM-7826</t>
  </si>
  <si>
    <t>RM2-7179</t>
  </si>
  <si>
    <t>FM2-R870</t>
  </si>
  <si>
    <t>hàng rw</t>
  </si>
  <si>
    <t>HÀNG RW</t>
  </si>
  <si>
    <t>U30106</t>
  </si>
  <si>
    <t>biến dạng chân pin</t>
  </si>
  <si>
    <t>J872</t>
  </si>
  <si>
    <t>\\vn-file\QC Department\4.OQC\00. OQC Performance\03. Images\01. NG\20210403-NG-0210722256.jpg</t>
  </si>
  <si>
    <t>\\vn-file\QC Department\4.OQC\00. OQC Performance\03. Images\02. OK\20210403-OK-0210722256.jpg</t>
  </si>
  <si>
    <t>PDHV</t>
  </si>
  <si>
    <t>U24575</t>
  </si>
  <si>
    <t>M3-7280</t>
  </si>
  <si>
    <t>DÍNH MỰC</t>
  </si>
  <si>
    <t>BACRCODE</t>
  </si>
  <si>
    <t>\\vn-file\QC Department\4.OQC\00. OQC Performance\03. Images\01. NG\20210405-NG-1600723232.jpg</t>
  </si>
  <si>
    <t>\\vn-file\QC Department\4.OQC\00. OQC Performance\03. Images\02. OK\20210405-OK-1600723232.jpg</t>
  </si>
  <si>
    <t>349F7BA63812</t>
  </si>
  <si>
    <t>HHH</t>
  </si>
  <si>
    <t>HHHH</t>
  </si>
  <si>
    <t>U34811</t>
  </si>
  <si>
    <t>EEE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</si>
</sst>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dd\-mmm\-yyyy"/>
    <numFmt numFmtId="165" formatCode="_(* #,##0_);_(* \(#,##0\);_(* &quot;-&quot;??_);_(@_)"/>
    <numFmt numFmtId="166" formatCode="_(* #,##0.0_);_(* \(#,##0.0\);_(* &quot;-&quot;??_);_(@_)"/>
    <numFmt numFmtId="167" formatCode="hh:mm"/>
    <numFmt numFmtId="168" formatCode="dd\.mm"/>
  </numFmts>
  <fonts count="10"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Arial"/>
      <family val="2"/>
    </font>
    <font>
      <sz val="11"/>
      <color theme="1"/>
      <name val="Arial"/>
      <family val="2"/>
    </font>
    <font>
      <b/>
      <sz val="11"/>
      <color theme="1"/>
      <name val="Calibri"/>
      <family val="2"/>
      <scheme val="minor"/>
    </font>
    <font>
      <b/>
      <sz val="11"/>
      <color theme="4" tint="-0.499984740745262"/>
      <name val="Calibri"/>
      <family val="2"/>
      <scheme val="minor"/>
    </font>
    <font>
      <b/>
      <sz val="18"/>
      <color theme="3" tint="-0.499984740745262"/>
      <name val="Calibri"/>
      <family val="2"/>
      <charset val="163"/>
      <scheme val="minor"/>
    </font>
    <font>
      <i/>
      <sz val="11"/>
      <color theme="1"/>
      <name val="Calibri"/>
      <family val="2"/>
      <charset val="163"/>
      <scheme val="minor"/>
    </font>
  </fonts>
  <fills count="11">
    <fill>
      <patternFill patternType="none"/>
    </fill>
    <fill>
      <patternFill patternType="gray125"/>
    </fill>
    <fill>
      <patternFill patternType="solid">
        <fgColor theme="8"/>
        <bgColor theme="8"/>
      </patternFill>
    </fill>
    <fill>
      <patternFill patternType="solid">
        <fgColor theme="1"/>
        <bgColor theme="1"/>
      </patternFill>
    </fill>
    <fill>
      <patternFill patternType="solid">
        <fgColor theme="5" tint="-0.249977111117893"/>
        <bgColor theme="5" tint="-0.249977111117893"/>
      </patternFill>
    </fill>
    <fill>
      <patternFill patternType="solid">
        <fgColor theme="5"/>
        <bgColor theme="5"/>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B9B9"/>
        <bgColor indexed="64"/>
      </patternFill>
    </fill>
    <fill>
      <patternFill patternType="solid">
        <fgColor rgb="FF66CCFF"/>
        <bgColor indexed="64"/>
      </patternFill>
    </fill>
  </fills>
  <borders count="18">
    <border>
      <left/>
      <right/>
      <top/>
      <bottom/>
      <diagonal/>
    </border>
    <border>
      <left/>
      <right/>
      <top style="medium">
        <color theme="1"/>
      </top>
      <bottom style="medium">
        <color theme="1"/>
      </bottom>
      <diagonal/>
    </border>
    <border>
      <left/>
      <right/>
      <top style="medium">
        <color theme="0"/>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bottom/>
      <diagonal/>
    </border>
  </borders>
  <cellStyleXfs count="2">
    <xf numFmtId="0" fontId="0" fillId="0" borderId="0"/>
    <xf numFmtId="43" fontId="3" fillId="0" borderId="0" applyFont="0" applyFill="0" applyBorder="0" applyAlignment="0" applyProtection="0"/>
  </cellStyleXfs>
  <cellXfs count="74">
    <xf numFmtId="0" fontId="0" fillId="0" borderId="0" xfId="0"/>
    <xf numFmtId="0" fontId="1" fillId="2" borderId="1" xfId="0" applyFont="1" applyFill="1" applyBorder="1"/>
    <xf numFmtId="0" fontId="2" fillId="4" borderId="0" xfId="0" applyFont="1" applyFill="1"/>
    <xf numFmtId="0" fontId="2" fillId="4" borderId="0" xfId="0" applyFont="1" applyFill="1" applyAlignment="1">
      <alignment vertical="center"/>
    </xf>
    <xf numFmtId="0" fontId="2" fillId="5" borderId="0" xfId="0" applyFont="1" applyFill="1"/>
    <xf numFmtId="0" fontId="2" fillId="5" borderId="0" xfId="0" applyFont="1" applyFill="1" applyAlignment="1">
      <alignment vertical="center"/>
    </xf>
    <xf numFmtId="49" fontId="2" fillId="5" borderId="0" xfId="0" applyNumberFormat="1" applyFont="1" applyFill="1"/>
    <xf numFmtId="0" fontId="1" fillId="3" borderId="0" xfId="0" applyFont="1" applyFill="1" applyBorder="1"/>
    <xf numFmtId="0" fontId="2" fillId="4" borderId="2" xfId="0" applyFont="1" applyFill="1" applyBorder="1"/>
    <xf numFmtId="0" fontId="2" fillId="4" borderId="2" xfId="0" applyFont="1" applyFill="1" applyBorder="1" applyAlignment="1">
      <alignment vertical="center"/>
    </xf>
    <xf numFmtId="0" fontId="4" fillId="0" borderId="0" xfId="0" applyFont="1"/>
    <xf numFmtId="0" fontId="5" fillId="0" borderId="0" xfId="0" applyFont="1"/>
    <xf numFmtId="0" fontId="5" fillId="6" borderId="0" xfId="0" applyFont="1" applyFill="1"/>
    <xf numFmtId="0" fontId="5" fillId="7" borderId="0" xfId="0" applyFont="1" applyFill="1" applyAlignment="1">
      <alignment horizontal="right"/>
    </xf>
    <xf numFmtId="0" fontId="4" fillId="6" borderId="0" xfId="0" applyFont="1" applyFill="1"/>
    <xf numFmtId="14" fontId="4" fillId="6" borderId="0" xfId="0" applyNumberFormat="1" applyFont="1" applyFill="1"/>
    <xf numFmtId="0" fontId="4" fillId="0" borderId="3" xfId="0" applyFont="1" applyBorder="1"/>
    <xf numFmtId="0" fontId="5" fillId="0" borderId="3" xfId="0" applyFont="1" applyBorder="1" applyAlignment="1">
      <alignment horizontal="right"/>
    </xf>
    <xf numFmtId="0" fontId="4" fillId="7" borderId="4" xfId="0" applyFont="1" applyFill="1" applyBorder="1"/>
    <xf numFmtId="0" fontId="4" fillId="7" borderId="5" xfId="0" applyFont="1" applyFill="1" applyBorder="1"/>
    <xf numFmtId="0" fontId="5" fillId="7" borderId="5" xfId="0" applyFont="1" applyFill="1" applyBorder="1" applyAlignment="1">
      <alignment horizontal="right"/>
    </xf>
    <xf numFmtId="0" fontId="4" fillId="7" borderId="3" xfId="0" applyFont="1" applyFill="1" applyBorder="1"/>
    <xf numFmtId="0" fontId="5" fillId="7" borderId="3" xfId="0" applyFont="1" applyFill="1" applyBorder="1" applyAlignment="1">
      <alignment horizontal="right"/>
    </xf>
    <xf numFmtId="164" fontId="1" fillId="2" borderId="1" xfId="0" applyNumberFormat="1" applyFont="1" applyFill="1" applyBorder="1"/>
    <xf numFmtId="164" fontId="0" fillId="0" borderId="0" xfId="0" applyNumberFormat="1"/>
    <xf numFmtId="165" fontId="4" fillId="0" borderId="3" xfId="1" applyNumberFormat="1" applyFont="1" applyBorder="1"/>
    <xf numFmtId="165" fontId="5" fillId="7" borderId="4" xfId="1" applyNumberFormat="1" applyFont="1" applyFill="1" applyBorder="1"/>
    <xf numFmtId="165" fontId="5" fillId="0" borderId="3" xfId="1" applyNumberFormat="1" applyFont="1" applyBorder="1"/>
    <xf numFmtId="165" fontId="5" fillId="7" borderId="5" xfId="1" applyNumberFormat="1" applyFont="1" applyFill="1" applyBorder="1"/>
    <xf numFmtId="165" fontId="5" fillId="7" borderId="0" xfId="1" applyNumberFormat="1" applyFont="1" applyFill="1"/>
    <xf numFmtId="165" fontId="5" fillId="7" borderId="3" xfId="1" applyNumberFormat="1" applyFont="1" applyFill="1" applyBorder="1"/>
    <xf numFmtId="0" fontId="6" fillId="0" borderId="0" xfId="0" applyFont="1"/>
    <xf numFmtId="0" fontId="0" fillId="0" borderId="0" xfId="0" pivotButton="1"/>
    <xf numFmtId="0" fontId="0" fillId="0" borderId="0" xfId="0" applyNumberFormat="1"/>
    <xf numFmtId="166" fontId="4" fillId="7" borderId="3" xfId="1" applyNumberFormat="1" applyFont="1" applyFill="1" applyBorder="1"/>
    <xf numFmtId="167" fontId="1" fillId="2" borderId="1" xfId="0" applyNumberFormat="1" applyFont="1" applyFill="1" applyBorder="1"/>
    <xf numFmtId="167" fontId="0" fillId="0" borderId="0" xfId="0" applyNumberFormat="1"/>
    <xf numFmtId="14" fontId="0" fillId="0" borderId="0" xfId="0" applyNumberFormat="1"/>
    <xf numFmtId="0" fontId="0" fillId="10" borderId="0" xfId="0" applyFont="1" applyFill="1"/>
    <xf numFmtId="0" fontId="0" fillId="0" borderId="0" xfId="0" applyFont="1"/>
    <xf numFmtId="0" fontId="0" fillId="0" borderId="6" xfId="0" applyFont="1" applyBorder="1"/>
    <xf numFmtId="0" fontId="0" fillId="0" borderId="7" xfId="0" applyFont="1" applyBorder="1"/>
    <xf numFmtId="0" fontId="0" fillId="9" borderId="7" xfId="0" applyFont="1" applyFill="1" applyBorder="1"/>
    <xf numFmtId="0" fontId="0" fillId="9" borderId="8" xfId="0" applyFont="1" applyFill="1" applyBorder="1"/>
    <xf numFmtId="0" fontId="7" fillId="7" borderId="9" xfId="0" applyFont="1" applyFill="1" applyBorder="1" applyAlignment="1">
      <alignment horizontal="left" indent="1"/>
    </xf>
    <xf numFmtId="0" fontId="7" fillId="7" borderId="0" xfId="0" applyFont="1" applyFill="1" applyBorder="1"/>
    <xf numFmtId="0" fontId="0" fillId="0" borderId="0" xfId="0" applyFont="1" applyBorder="1"/>
    <xf numFmtId="0" fontId="0" fillId="9" borderId="0" xfId="0" applyFont="1" applyFill="1" applyBorder="1"/>
    <xf numFmtId="0" fontId="0" fillId="9" borderId="10" xfId="0" applyFont="1" applyFill="1" applyBorder="1"/>
    <xf numFmtId="0" fontId="0" fillId="0" borderId="9" xfId="0" applyFont="1" applyBorder="1"/>
    <xf numFmtId="0" fontId="0" fillId="0" borderId="0" xfId="0" applyFont="1" applyAlignment="1">
      <alignment horizontal="right"/>
    </xf>
    <xf numFmtId="0" fontId="0" fillId="0" borderId="0" xfId="0" applyFont="1" applyBorder="1" applyAlignment="1">
      <alignment horizontal="left"/>
    </xf>
    <xf numFmtId="0" fontId="0" fillId="0" borderId="0" xfId="0" applyFont="1" applyFill="1" applyBorder="1"/>
    <xf numFmtId="0" fontId="0" fillId="0" borderId="0" xfId="0" applyFont="1" applyBorder="1" applyAlignment="1">
      <alignment horizontal="right" indent="1"/>
    </xf>
    <xf numFmtId="0" fontId="0" fillId="0" borderId="0" xfId="0" applyFont="1" applyFill="1" applyBorder="1" applyAlignment="1">
      <alignment horizontal="right" indent="1"/>
    </xf>
    <xf numFmtId="0" fontId="0" fillId="0" borderId="11" xfId="0" applyFont="1" applyBorder="1"/>
    <xf numFmtId="0" fontId="0" fillId="0" borderId="12" xfId="0" applyFont="1" applyBorder="1"/>
    <xf numFmtId="0" fontId="0" fillId="9" borderId="12" xfId="0" applyFont="1" applyFill="1" applyBorder="1"/>
    <xf numFmtId="0" fontId="0" fillId="9" borderId="13" xfId="0" applyFont="1" applyFill="1" applyBorder="1"/>
    <xf numFmtId="0" fontId="9" fillId="10" borderId="0" xfId="0" applyFont="1" applyFill="1" applyAlignment="1">
      <alignment horizontal="right"/>
    </xf>
    <xf numFmtId="0" fontId="0" fillId="10" borderId="17" xfId="0" applyFont="1" applyFill="1" applyBorder="1"/>
    <xf numFmtId="0" fontId="1" fillId="2" borderId="1" xfId="0" applyNumberFormat="1" applyFont="1" applyFill="1" applyBorder="1"/>
    <xf numFmtId="0" fontId="0" fillId="0" borderId="0" xfId="0" applyAlignment="1">
      <alignment wrapText="1"/>
    </xf>
    <xf numFmtId="168" fontId="0" fillId="0" borderId="0" xfId="0" applyNumberFormat="1"/>
    <xf numFmtId="16" fontId="5" fillId="7" borderId="4" xfId="0" applyNumberFormat="1" applyFont="1" applyFill="1" applyBorder="1" applyAlignment="1">
      <alignment horizontal="center"/>
    </xf>
    <xf numFmtId="17" fontId="0" fillId="0" borderId="0" xfId="0" applyNumberFormat="1"/>
    <xf numFmtId="0" fontId="0" fillId="8" borderId="0" xfId="0" applyFont="1" applyFill="1" applyBorder="1" applyAlignment="1">
      <alignment horizontal="left"/>
    </xf>
    <xf numFmtId="0" fontId="0" fillId="0" borderId="14" xfId="0" applyFont="1" applyBorder="1" applyAlignment="1">
      <alignment horizontal="left"/>
    </xf>
    <xf numFmtId="0" fontId="0" fillId="0" borderId="15" xfId="0" applyFont="1" applyBorder="1" applyAlignment="1">
      <alignment horizontal="left"/>
    </xf>
    <xf numFmtId="0" fontId="0" fillId="0" borderId="16" xfId="0" applyFont="1" applyBorder="1" applyAlignment="1">
      <alignment horizontal="left"/>
    </xf>
    <xf numFmtId="0" fontId="0" fillId="10" borderId="0" xfId="0" applyFont="1" applyFill="1" applyAlignment="1">
      <alignment horizontal="center"/>
    </xf>
    <xf numFmtId="0" fontId="0" fillId="10" borderId="0" xfId="0" applyFont="1" applyFill="1" applyAlignment="1">
      <alignment horizontal="right"/>
    </xf>
    <xf numFmtId="0" fontId="8" fillId="10" borderId="0" xfId="0" applyFont="1" applyFill="1" applyAlignment="1">
      <alignment horizontal="center" vertical="center"/>
    </xf>
    <xf numFmtId="0" fontId="9" fillId="10" borderId="0" xfId="0" applyFont="1" applyFill="1" applyAlignment="1">
      <alignment horizontal="left"/>
    </xf>
  </cellXfs>
  <cellStyles count="2">
    <cellStyle name="Comma" xfId="1" builtinId="3"/>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66CCFF"/>
      <color rgb="FFFF99FF"/>
      <color rgb="FFFFB9B9"/>
      <color rgb="FFFF9F9F"/>
      <color rgb="FFF20E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19</xdr:col>
      <xdr:colOff>171450</xdr:colOff>
      <xdr:row>8</xdr:row>
      <xdr:rowOff>19050</xdr:rowOff>
    </xdr:from>
    <xdr:to>
      <xdr:col>27</xdr:col>
      <xdr:colOff>95250</xdr:colOff>
      <xdr:row>22</xdr:row>
      <xdr:rowOff>104775</xdr:rowOff>
    </xdr:to>
    <xdr:sp macro="" textlink="">
      <xdr:nvSpPr>
        <xdr:cNvPr id="10" name="Rounded Rectangle 9"/>
        <xdr:cNvSpPr/>
      </xdr:nvSpPr>
      <xdr:spPr>
        <a:xfrm>
          <a:off x="5762625" y="1371600"/>
          <a:ext cx="2286000" cy="2286000"/>
        </a:xfrm>
        <a:prstGeom prst="roundRect">
          <a:avLst>
            <a:gd name="adj" fmla="val 3031"/>
          </a:avLst>
        </a:prstGeom>
        <a:blipFill>
          <a:blip xmlns:r="http://schemas.openxmlformats.org/officeDocument/2006/relationships" r:embed="rId1"/>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25</xdr:row>
      <xdr:rowOff>19050</xdr:rowOff>
    </xdr:from>
    <xdr:to>
      <xdr:col>27</xdr:col>
      <xdr:colOff>95250</xdr:colOff>
      <xdr:row>39</xdr:row>
      <xdr:rowOff>104775</xdr:rowOff>
    </xdr:to>
    <xdr:sp macro="" textlink="">
      <xdr:nvSpPr>
        <xdr:cNvPr id="11" name="Rounded Rectangle 10"/>
        <xdr:cNvSpPr/>
      </xdr:nvSpPr>
      <xdr:spPr>
        <a:xfrm>
          <a:off x="5762625" y="3914775"/>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42</xdr:row>
      <xdr:rowOff>19050</xdr:rowOff>
    </xdr:from>
    <xdr:to>
      <xdr:col>27</xdr:col>
      <xdr:colOff>95250</xdr:colOff>
      <xdr:row>56</xdr:row>
      <xdr:rowOff>104775</xdr:rowOff>
    </xdr:to>
    <xdr:sp macro="" textlink="">
      <xdr:nvSpPr>
        <xdr:cNvPr id="12" name="Rounded Rectangle 11"/>
        <xdr:cNvSpPr/>
      </xdr:nvSpPr>
      <xdr:spPr>
        <a:xfrm>
          <a:off x="5762625" y="6457950"/>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59</xdr:row>
      <xdr:rowOff>19050</xdr:rowOff>
    </xdr:from>
    <xdr:to>
      <xdr:col>27</xdr:col>
      <xdr:colOff>95250</xdr:colOff>
      <xdr:row>73</xdr:row>
      <xdr:rowOff>104775</xdr:rowOff>
    </xdr:to>
    <xdr:sp macro="" textlink="">
      <xdr:nvSpPr>
        <xdr:cNvPr id="13" name="Rounded Rectangle 12"/>
        <xdr:cNvSpPr/>
      </xdr:nvSpPr>
      <xdr:spPr>
        <a:xfrm>
          <a:off x="5762625" y="9001125"/>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76</xdr:row>
      <xdr:rowOff>19050</xdr:rowOff>
    </xdr:from>
    <xdr:to>
      <xdr:col>27</xdr:col>
      <xdr:colOff>95250</xdr:colOff>
      <xdr:row>90</xdr:row>
      <xdr:rowOff>104775</xdr:rowOff>
    </xdr:to>
    <xdr:sp macro="" textlink="">
      <xdr:nvSpPr>
        <xdr:cNvPr id="14" name="Rounded Rectangle 13"/>
        <xdr:cNvSpPr/>
      </xdr:nvSpPr>
      <xdr:spPr>
        <a:xfrm>
          <a:off x="5762625" y="11544300"/>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93</xdr:row>
      <xdr:rowOff>19050</xdr:rowOff>
    </xdr:from>
    <xdr:to>
      <xdr:col>27</xdr:col>
      <xdr:colOff>95250</xdr:colOff>
      <xdr:row>107</xdr:row>
      <xdr:rowOff>104775</xdr:rowOff>
    </xdr:to>
    <xdr:sp macro="" textlink="">
      <xdr:nvSpPr>
        <xdr:cNvPr id="21" name="Rounded Rectangle 20"/>
        <xdr:cNvSpPr/>
      </xdr:nvSpPr>
      <xdr:spPr>
        <a:xfrm>
          <a:off x="5743575" y="1276350"/>
          <a:ext cx="2286000" cy="2286000"/>
        </a:xfrm>
        <a:prstGeom prst="roundRect">
          <a:avLst>
            <a:gd name="adj" fmla="val 3031"/>
          </a:avLst>
        </a:prstGeom>
        <a:blipFill>
          <a:blip xmlns:r="http://schemas.openxmlformats.org/officeDocument/2006/relationships" r:embed="rId1"/>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110</xdr:row>
      <xdr:rowOff>19050</xdr:rowOff>
    </xdr:from>
    <xdr:to>
      <xdr:col>27</xdr:col>
      <xdr:colOff>95250</xdr:colOff>
      <xdr:row>124</xdr:row>
      <xdr:rowOff>104775</xdr:rowOff>
    </xdr:to>
    <xdr:sp macro="" textlink="">
      <xdr:nvSpPr>
        <xdr:cNvPr id="22" name="Rounded Rectangle 21"/>
        <xdr:cNvSpPr/>
      </xdr:nvSpPr>
      <xdr:spPr>
        <a:xfrm>
          <a:off x="5743575" y="3819525"/>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127</xdr:row>
      <xdr:rowOff>19050</xdr:rowOff>
    </xdr:from>
    <xdr:to>
      <xdr:col>27</xdr:col>
      <xdr:colOff>95250</xdr:colOff>
      <xdr:row>141</xdr:row>
      <xdr:rowOff>104775</xdr:rowOff>
    </xdr:to>
    <xdr:sp macro="" textlink="">
      <xdr:nvSpPr>
        <xdr:cNvPr id="23" name="Rounded Rectangle 22"/>
        <xdr:cNvSpPr/>
      </xdr:nvSpPr>
      <xdr:spPr>
        <a:xfrm>
          <a:off x="5743575" y="6362700"/>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144</xdr:row>
      <xdr:rowOff>19050</xdr:rowOff>
    </xdr:from>
    <xdr:to>
      <xdr:col>27</xdr:col>
      <xdr:colOff>95250</xdr:colOff>
      <xdr:row>158</xdr:row>
      <xdr:rowOff>104775</xdr:rowOff>
    </xdr:to>
    <xdr:sp macro="" textlink="">
      <xdr:nvSpPr>
        <xdr:cNvPr id="24" name="Rounded Rectangle 23"/>
        <xdr:cNvSpPr/>
      </xdr:nvSpPr>
      <xdr:spPr>
        <a:xfrm>
          <a:off x="5743575" y="8905875"/>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161</xdr:row>
      <xdr:rowOff>19050</xdr:rowOff>
    </xdr:from>
    <xdr:to>
      <xdr:col>27</xdr:col>
      <xdr:colOff>95250</xdr:colOff>
      <xdr:row>175</xdr:row>
      <xdr:rowOff>104775</xdr:rowOff>
    </xdr:to>
    <xdr:sp macro="" textlink="">
      <xdr:nvSpPr>
        <xdr:cNvPr id="25" name="Rounded Rectangle 24"/>
        <xdr:cNvSpPr/>
      </xdr:nvSpPr>
      <xdr:spPr>
        <a:xfrm>
          <a:off x="5743575" y="11449050"/>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571500</xdr:colOff>
      <xdr:row>5</xdr:row>
      <xdr:rowOff>95250</xdr:rowOff>
    </xdr:from>
    <xdr:to>
      <xdr:col>8</xdr:col>
      <xdr:colOff>123825</xdr:colOff>
      <xdr:row>15</xdr:row>
      <xdr:rowOff>0</xdr:rowOff>
    </xdr:to>
    <xdr:sp macro="[0]!Show_Form" textlink="">
      <xdr:nvSpPr>
        <xdr:cNvPr id="2" name="Rounded Rectangle 1"/>
        <xdr:cNvSpPr/>
      </xdr:nvSpPr>
      <xdr:spPr>
        <a:xfrm>
          <a:off x="2362200" y="2952750"/>
          <a:ext cx="7639050" cy="1809750"/>
        </a:xfrm>
        <a:prstGeom prst="roundRect">
          <a:avLst/>
        </a:prstGeom>
        <a:ln w="57150">
          <a:solidFill>
            <a:srgbClr val="7030A0"/>
          </a:solidFill>
        </a:ln>
        <a:effectLst>
          <a:softEdge rad="6350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2400" b="1"/>
            <a:t>ODI Portal rev7.2</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 Thi Hoan" refreshedDate="44419.602935532406" createdVersion="6" refreshedVersion="5" minRefreshableVersion="3" recordCount="7856">
  <cacheSource type="worksheet">
    <worksheetSource ref="A1:Q1048576" sheet="Temp1"/>
  </cacheSource>
  <cacheFields count="17">
    <cacheField name="No" numFmtId="0">
      <sharedItems containsString="0" containsBlank="1" containsNumber="1" containsInteger="1" minValue="1" maxValue="4922"/>
    </cacheField>
    <cacheField name="Date" numFmtId="164">
      <sharedItems containsNonDate="0" containsDate="1" containsString="0" containsBlank="1" minDate="2020-07-01T00:00:00" maxDate="2021-06-02T00:00:00" count="211">
        <d v="2021-01-04T00:00:00"/>
        <d v="2021-01-05T00:00:00"/>
        <d v="2021-01-06T00:00:00"/>
        <d v="2021-01-07T00:00:00"/>
        <d v="2021-01-08T00:00:00"/>
        <d v="2021-01-09T00:00:00"/>
        <d v="2021-01-11T00:00:00"/>
        <d v="2021-01-12T00:00:00"/>
        <d v="2021-01-13T00:00:00"/>
        <d v="2021-01-14T00:00:00"/>
        <d v="2021-01-15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4-01T00:00:00"/>
        <d v="2021-04-02T00:00:00"/>
        <d v="2021-04-03T00:00:00"/>
        <d v="2021-04-04T00:00:00"/>
        <d v="2021-04-05T00:00:00"/>
        <d v="2021-06-01T00:00:00"/>
        <m/>
        <d v="2020-10-28T00:00:00" u="1"/>
        <d v="2020-08-07T00:00:00" u="1"/>
        <d v="2020-11-09T00:00:00" u="1"/>
        <d v="2020-07-22T00:00:00" u="1"/>
        <d v="2020-10-24T00:00:00" u="1"/>
        <d v="2020-08-03T00:00:00" u="1"/>
        <d v="2020-11-05T00:00:00" u="1"/>
        <d v="2020-07-18T00:00:00" u="1"/>
        <d v="2020-10-20T00:00:00" u="1"/>
        <d v="2020-11-01T00:00:00" u="1"/>
        <d v="2020-07-14T00:00:00" u="1"/>
        <d v="2020-10-16T00:00:00" u="1"/>
        <d v="2020-07-10T00:00:00" u="1"/>
        <d v="2020-10-12T00:00:00" u="1"/>
        <d v="2020-09-27T00:00:00" u="1"/>
        <d v="2020-07-06T00:00:00" u="1"/>
        <d v="2020-10-08T00:00:00" u="1"/>
        <d v="2020-09-23T00:00:00" u="1"/>
        <d v="2020-07-02T00:00:00" u="1"/>
        <d v="2020-09-19T00:00:00" u="1"/>
        <d v="2020-09-15T00:00:00" u="1"/>
        <d v="2020-12-17T00:00:00" u="1"/>
        <d v="2020-09-11T00:00:00" u="1"/>
        <d v="2020-08-26T00:00:00" u="1"/>
        <d v="2020-09-07T00:00:00" u="1"/>
        <d v="2020-12-09T00:00:00" u="1"/>
        <d v="2020-11-24T00:00:00" u="1"/>
        <d v="2020-09-03T00:00:00" u="1"/>
        <d v="2020-12-05T00:00:00" u="1"/>
        <d v="2020-08-18T00:00:00" u="1"/>
        <d v="2020-11-20T00:00:00" u="1"/>
        <d v="2020-12-01T00:00:00" u="1"/>
        <d v="2020-08-14T00:00:00" u="1"/>
        <d v="2020-11-16T00:00:00" u="1"/>
        <d v="2020-07-29T00:00:00" u="1"/>
        <d v="2020-08-10T00:00:00" u="1"/>
        <d v="2020-11-12T00:00:00" u="1"/>
        <d v="2020-10-27T00:00:00" u="1"/>
        <d v="2020-08-06T00:00:00" u="1"/>
        <d v="2020-11-08T00:00:00" u="1"/>
        <d v="2020-07-21T00:00:00" u="1"/>
        <d v="2020-10-23T00:00:00" u="1"/>
        <d v="2020-11-04T00:00:00" u="1"/>
        <d v="2020-07-17T00:00:00" u="1"/>
        <d v="2020-10-19T00:00:00" u="1"/>
        <d v="2020-07-13T00:00:00" u="1"/>
        <d v="2020-10-15T00:00:00" u="1"/>
        <d v="2020-07-09T00:00:00" u="1"/>
        <d v="2020-09-26T00:00:00" u="1"/>
        <d v="2020-10-07T00:00:00" u="1"/>
        <d v="2020-09-22T00:00:00" u="1"/>
        <d v="2020-07-01T00:00:00" u="1"/>
        <d v="2020-10-03T00:00:00" u="1"/>
        <d v="2020-09-18T00:00:00" u="1"/>
        <d v="2020-09-14T00:00:00" u="1"/>
        <d v="2020-12-16T00:00:00" u="1"/>
        <d v="2020-08-29T00:00:00" u="1"/>
        <d v="2020-09-10T00:00:00" u="1"/>
        <d v="2020-12-12T00:00:00" u="1"/>
        <d v="2020-08-25T00:00:00" u="1"/>
        <d v="2020-11-27T00:00:00" u="1"/>
        <d v="2020-12-08T00:00:00" u="1"/>
        <d v="2020-08-21T00:00:00" u="1"/>
        <d v="2020-11-23T00:00:00" u="1"/>
        <d v="2020-12-04T00:00:00" u="1"/>
        <d v="2020-08-17T00:00:00" u="1"/>
        <d v="2020-11-19T00:00:00" u="1"/>
        <d v="2020-08-13T00:00:00" u="1"/>
        <d v="2020-07-28T00:00:00" u="1"/>
        <d v="2020-10-30T00:00:00" u="1"/>
        <d v="2020-11-11T00:00:00" u="1"/>
        <d v="2020-07-24T00:00:00" u="1"/>
        <d v="2020-10-26T00:00:00" u="1"/>
        <d v="2020-08-05T00:00:00" u="1"/>
        <d v="2020-11-07T00:00:00" u="1"/>
        <d v="2020-07-20T00:00:00" u="1"/>
        <d v="2020-10-22T00:00:00" u="1"/>
        <d v="2020-08-01T00:00:00" u="1"/>
        <d v="2020-11-03T00:00:00" u="1"/>
        <d v="2020-07-16T00:00:00" u="1"/>
        <d v="2020-10-18T00:00:00" u="1"/>
        <d v="2020-07-12T00:00:00" u="1"/>
        <d v="2020-10-14T00:00:00" u="1"/>
        <d v="2020-07-08T00:00:00" u="1"/>
        <d v="2020-10-10T00:00:00" u="1"/>
        <d v="2020-09-25T00:00:00" u="1"/>
        <d v="2020-07-04T00:00:00" u="1"/>
        <d v="2020-10-06T00:00:00" u="1"/>
        <d v="2020-09-21T00:00:00" u="1"/>
        <d v="2020-10-02T00:00:00" u="1"/>
        <d v="2020-09-17T00:00:00" u="1"/>
        <d v="2020-12-19T00:00:00" u="1"/>
        <d v="2020-12-15T00:00:00" u="1"/>
        <d v="2020-08-28T00:00:00" u="1"/>
        <d v="2020-11-30T00:00:00" u="1"/>
        <d v="2020-09-09T00:00:00" u="1"/>
        <d v="2020-12-11T00:00:00" u="1"/>
        <d v="2020-08-24T00:00:00" u="1"/>
        <d v="2020-11-26T00:00:00" u="1"/>
        <d v="2020-09-05T00:00:00" u="1"/>
        <d v="2020-12-07T00:00:00" u="1"/>
        <d v="2020-08-20T00:00:00" u="1"/>
        <d v="2020-09-01T00:00:00" u="1"/>
        <d v="2020-12-03T00:00:00" u="1"/>
        <d v="2020-08-16T00:00:00" u="1"/>
        <d v="2020-11-18T00:00:00" u="1"/>
        <d v="2020-07-31T00:00:00" u="1"/>
        <d v="2020-08-12T00:00:00" u="1"/>
        <d v="2020-07-27T00:00:00" u="1"/>
        <d v="2020-10-29T00:00:00" u="1"/>
        <d v="2020-11-10T00:00:00" u="1"/>
        <d v="2020-07-23T00:00:00" u="1"/>
        <d v="2020-08-04T00:00:00" u="1"/>
        <d v="2020-11-06T00:00:00" u="1"/>
        <d v="2020-07-19T00:00:00" u="1"/>
        <d v="2020-10-21T00:00:00" u="1"/>
        <d v="2020-11-02T00:00:00" u="1"/>
        <d v="2020-07-15T00:00:00" u="1"/>
        <d v="2020-10-17T00:00:00" u="1"/>
        <d v="2020-10-13T00:00:00" u="1"/>
        <d v="2021-01-03T00:00:00" u="1"/>
        <d v="2020-09-28T00:00:00" u="1"/>
        <d v="2020-07-07T00:00:00" u="1"/>
        <d v="2020-10-09T00:00:00" u="1"/>
        <d v="2020-09-24T00:00:00" u="1"/>
        <d v="2020-07-03T00:00:00" u="1"/>
        <d v="2020-10-05T00:00:00" u="1"/>
        <d v="2020-09-20T00:00:00" u="1"/>
        <d v="2020-10-01T00:00:00" u="1"/>
        <d v="2020-09-16T00:00:00" u="1"/>
        <d v="2020-12-18T00:00:00" u="1"/>
        <d v="2020-08-31T00:00:00" u="1"/>
        <d v="2020-09-12T00:00:00" u="1"/>
        <d v="2020-12-14T00:00:00" u="1"/>
        <d v="2020-08-27T00:00:00" u="1"/>
        <d v="2020-09-08T00:00:00" u="1"/>
        <d v="2020-12-10T00:00:00" u="1"/>
        <d v="2020-11-25T00:00:00" u="1"/>
        <d v="2020-09-04T00:00:00" u="1"/>
        <d v="2020-08-19T00:00:00" u="1"/>
        <d v="2020-11-21T00:00:00" u="1"/>
        <d v="2020-12-02T00:00:00" u="1"/>
        <d v="2020-08-15T00:00:00" u="1"/>
        <d v="2020-11-17T00:00:00" u="1"/>
        <d v="2020-07-30T00:00:00" u="1"/>
        <d v="2020-08-11T00:00:00" u="1"/>
        <d v="2020-11-13T00:00:00" u="1"/>
      </sharedItems>
    </cacheField>
    <cacheField name="Shift" numFmtId="0">
      <sharedItems containsBlank="1"/>
    </cacheField>
    <cacheField name="Project" numFmtId="0">
      <sharedItems containsBlank="1" count="4">
        <s v="CANON"/>
        <s v="FUJIXEROX"/>
        <m/>
        <s v="HLDS" u="1"/>
      </sharedItems>
    </cacheField>
    <cacheField name="WO" numFmtId="0">
      <sharedItems containsString="0" containsBlank="1" containsNumber="1" containsInteger="1" minValue="2000200012" maxValue="2000793344"/>
    </cacheField>
    <cacheField name="WO Qty" numFmtId="0">
      <sharedItems containsString="0" containsBlank="1" containsNumber="1" containsInteger="1" minValue="4" maxValue="7890"/>
    </cacheField>
    <cacheField name="Checking Qty" numFmtId="0">
      <sharedItems containsString="0" containsBlank="1" containsNumber="1" containsInteger="1" minValue="1" maxValue="2400"/>
    </cacheField>
    <cacheField name="NG Qty" numFmtId="0">
      <sharedItems containsBlank="1" containsMixedTypes="1" containsNumber="1" containsInteger="1" minValue="0" maxValue="12"/>
    </cacheField>
    <cacheField name="Inspector" numFmtId="0">
      <sharedItems containsBlank="1"/>
    </cacheField>
    <cacheField name="Range" numFmtId="0">
      <sharedItems containsBlank="1"/>
    </cacheField>
    <cacheField name="Model" numFmtId="0">
      <sharedItems containsBlank="1" containsMixedTypes="1" containsNumber="1" containsInteger="1" minValue="33122" maxValue="96079011" count="272">
        <s v="FM2-H937"/>
        <s v="RM2-8312"/>
        <s v="RM1-7902"/>
        <s v="RM3-7382"/>
        <s v="FM2-D940"/>
        <s v="RM2-8315"/>
        <s v="RM1-7895"/>
        <s v="RM3-7245"/>
        <s v="RM2-5874"/>
        <s v="RM2-7628"/>
        <s v="RM1-7893"/>
        <s v="RM2-7399"/>
        <s v="RM3-*716"/>
        <s v="RM2-8378"/>
        <s v="RM2-9100"/>
        <s v="FM1-R870"/>
        <s v="FM2-H940"/>
        <s v="FM2-H931"/>
        <s v="RM3-7243"/>
        <s v="RM3-7224"/>
        <s v="RM3-7244"/>
        <s v="RM3-7822"/>
        <s v="960K87214"/>
        <s v="105K34280"/>
        <s v="960K90691"/>
        <s v="105K32606"/>
        <s v="105K32184"/>
        <s v="105K33355"/>
        <s v="105K34850"/>
        <s v="961K08230"/>
        <s v="RM3-7864"/>
        <s v="RM2-7405_x0009_"/>
        <s v="FM2-B921"/>
        <s v="RM1-7894"/>
        <s v="FM2-B920"/>
        <s v="FM2-B922"/>
        <s v="RM1-7896"/>
        <s v="FM1-X949"/>
        <s v="FM2-K854"/>
        <s v="RM2-8216"/>
        <s v="RM3-7385"/>
        <s v="RM3-738"/>
        <s v="RM2-9151"/>
        <s v="FM2-H941"/>
        <s v="RM3-8547"/>
        <s v="RM2-9573"/>
        <s v="RM2-9572"/>
        <s v="FM2-G969"/>
        <s v="FM1-X948"/>
        <s v="105K34450"/>
        <s v="105K34310"/>
        <s v="960K90970"/>
        <s v="960K84370"/>
        <s v="105K34810"/>
        <s v="FM2-H944"/>
        <s v="RM3-8252"/>
        <s v="RM2-8314"/>
        <s v="RM2-8212"/>
        <s v="RM2-8211"/>
        <s v="RM2-9251"/>
        <s v="FM2-G993"/>
        <s v="RM3-7381"/>
        <s v="RM3-7169"/>
        <s v="RM2-8277"/>
        <s v="RM2-8276"/>
        <s v="RM3-7894"/>
        <s v="RM3-7179"/>
        <s v="960K79011"/>
        <s v="RM3-8546"/>
        <s v="RM3-8230"/>
        <s v="RM2-8080"/>
        <s v="RM2-8214"/>
        <s v="FM2-H938"/>
        <s v="FM2-G989"/>
        <s v="RM2-8278"/>
        <s v="RM2-7405"/>
        <s v="FM2-D857"/>
        <s v="RM2-8377"/>
        <s v="RM2-8279"/>
        <s v="105K33363"/>
        <s v="105K33122"/>
        <s v="960K78314"/>
        <s v="105K31096"/>
        <s v="RM3-7225"/>
        <s v="FM2-G954"/>
        <s v="RM3-7046"/>
        <s v="RM2-836"/>
        <s v="RM3-864"/>
        <s v="RM2-8215"/>
        <s v="RM2-8311"/>
        <s v="105L34810"/>
        <s v="105K34460"/>
        <s v="RM2-8376"/>
        <s v="FM1-X947"/>
        <s v="FM2-C982"/>
        <s v="FM2-G968"/>
        <s v="105K32622"/>
        <s v="RM3-8378"/>
        <s v="FM2-H936"/>
        <s v="RM3-7271"/>
        <s v="FM2-L869"/>
        <s v="RM2-8313"/>
        <s v="RM2-814"/>
        <s v="RM3-7290"/>
        <s v="RM3-7825"/>
        <s v="105K31086"/>
        <s v="960K87226"/>
        <s v="960K94381"/>
        <s v="960K88445"/>
        <s v="FM2-G960"/>
        <s v="FM2-H954"/>
        <s v="960K94951"/>
        <s v="105K33345"/>
        <s v="105K34223"/>
        <s v="960K69289"/>
        <s v="RM2-7634"/>
        <s v="RM3-7826"/>
        <s v="RM2-9571"/>
        <s v="RM3-7822_x0009_"/>
        <s v="RM3-7820"/>
        <s v="RM2-8316"/>
        <s v="105K34390"/>
        <s v="FM2-H950"/>
        <s v="RM3-7824"/>
        <s v="FM2-A819"/>
        <s v="RM2-8252"/>
        <s v="RM2-8079"/>
        <s v="RM3-825"/>
        <s v="105K34300"/>
        <s v="105K34500"/>
        <s v="FM2-G971"/>
        <s v="RM3-7530"/>
        <s v="FM1-X9446"/>
        <s v="FM2-C980"/>
        <s v="105K34212"/>
        <s v="105K34270"/>
        <s v="FM2-J802"/>
        <s v="FM2-A857"/>
        <s v="RM2-8375"/>
        <s v="RM3-7177"/>
        <s v="RM3-7823_x0009_"/>
        <s v="RM3-010"/>
        <s v="FM2-A859"/>
        <s v="FM2-A860"/>
        <s v="FM2-A858"/>
        <s v="RM3-7281"/>
        <s v="RM3-7823"/>
        <s v="960K88435"/>
        <s v="EM2-7635"/>
        <s v="RM2-7607"/>
        <s v="RM2-7609"/>
        <s v="RM2-7618"/>
        <s v="RM3-7010"/>
        <s v="105K33005"/>
        <s v="RM2-8419"/>
        <s v="RM3-7531"/>
        <s v="RM3-7575"/>
        <s v="RM2-7635"/>
        <s v="RM3-7856"/>
        <s v="RM3-7857"/>
        <s v="RM3-7858"/>
        <s v="RM3-7859"/>
        <s v="RM3-7860"/>
        <s v="RM3-7861"/>
        <s v="RM3-786"/>
        <s v="RM3-7268"/>
        <s v="105K33015"/>
        <s v="RM2-8427"/>
        <s v="FM2-H943"/>
        <s v="RM3-7280"/>
        <s v="RM2-8213"/>
        <s v="RM3-7383"/>
        <s v="960K87314"/>
        <s v="RM2-8640"/>
        <s v="RM2-7629"/>
        <s v="RM3-7269"/>
        <s v="RM3-8640"/>
        <s v="RM2-574"/>
        <s v="FM2-H951"/>
        <s v="RM3-7546"/>
        <s v="105K34840"/>
        <s v="RM3-7863"/>
        <s v="RM2-8610"/>
        <s v="FM2-G994"/>
        <s v="105K34280_x0009_"/>
        <s v="RM3-7047"/>
        <s v="105K33374"/>
        <s v="960K87374"/>
        <s v="FM2-C981"/>
        <s v="FM2-A856"/>
        <s v="RM2-571"/>
        <s v="FM1-T870"/>
        <s v="RM3-7827"/>
        <s v="RM3-7288"/>
        <s v="FM2-G995"/>
        <s v="FM1-X946"/>
        <s v="RM3-8545"/>
        <s v="105K34500_x0009_"/>
        <s v="105K34270_x0009_"/>
        <s v="105K34300_x0009_"/>
        <s v="105K34290"/>
        <s v="FM1-N805"/>
        <s v="RM2-9929"/>
        <s v="RM2-8306"/>
        <s v="RM3-7823_x0009__x0009_"/>
        <s v="RM3-7864_x0009_"/>
        <s v="RM2-9924"/>
        <s v="RM27609"/>
        <s v="RM27618"/>
        <s v="RM2-9610"/>
        <s v="RM3-7406"/>
        <s v="RM3-7407"/>
        <s v="FM2-G972"/>
        <s v="FN2-H931"/>
        <s v="FM2-0H943"/>
        <s v="FM2-7399"/>
        <s v="RM3-8253"/>
        <s v="RM1-795"/>
        <s v="960K9069"/>
        <s v="FM2-G972_x0009_"/>
        <s v="FM2-G971_x0009_"/>
        <s v="EM2-9100"/>
        <s v="RM2-7281"/>
        <s v="105K32185"/>
        <s v="RM3-8314"/>
        <s v="961K10680"/>
        <s v="RM3-7373"/>
        <s v="960K9091"/>
        <s v="RM2-7382"/>
        <s v="RM2-7378"/>
        <s v="205K32606"/>
        <s v="RM1-8617"/>
        <s v="RM2-7243"/>
        <s v="FM-G993"/>
        <s v="RM1-7440"/>
        <s v="FM2-Y832"/>
        <s v="RM3-8377"/>
        <s v="RM3-747"/>
        <s v="105K90691"/>
        <s v="RM2-8374"/>
        <s v="RM3-7890"/>
        <s v="RM4-8230"/>
        <s v="RM3-8313"/>
        <s v="RM3-7230"/>
        <s v="RM2-8629"/>
        <s v="RM2-9629"/>
        <s v="RM2-7314"/>
        <s v="960K90391"/>
        <s v="RM3--7864"/>
        <s v="RRM3-8546"/>
        <s v="RM2-837"/>
        <s v="FM2-B931"/>
        <s v="FM2-A820"/>
        <s v="FM2-H91"/>
        <s v="RK3-7826"/>
        <s v="105L34280"/>
        <s v="RM2-8439"/>
        <s v="FM2-X948"/>
        <s v="RM3-7821"/>
        <s v="RM2-8247"/>
        <s v="RM2-876"/>
        <s v="RM-7826"/>
        <s v="RM2-7179"/>
        <s v="FM2-R870"/>
        <s v="M3-7280"/>
        <s v="HHHH"/>
        <s v="EEE"/>
        <m/>
        <n v="84370" u="1"/>
        <n v="96079011" u="1"/>
        <n v="33122" u="1"/>
        <n v="96078314" u="1"/>
      </sharedItems>
    </cacheField>
    <cacheField name="Defection" numFmtId="0">
      <sharedItems containsBlank="1"/>
    </cacheField>
    <cacheField name="Details" numFmtId="0">
      <sharedItems containsBlank="1"/>
    </cacheField>
    <cacheField name="Location" numFmtId="0">
      <sharedItems containsBlank="1"/>
    </cacheField>
    <cacheField name="Defect_Qty" numFmtId="0">
      <sharedItems containsBlank="1" containsMixedTypes="1" containsNumber="1" containsInteger="1" minValue="0" maxValue="12"/>
    </cacheField>
    <cacheField name="NG_Photo" numFmtId="0">
      <sharedItems containsBlank="1"/>
    </cacheField>
    <cacheField name="OK_Photo"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856">
  <r>
    <n v="1"/>
    <x v="0"/>
    <s v="Night"/>
    <x v="0"/>
    <n v="2000705992"/>
    <n v="200"/>
    <n v="340"/>
    <n v="0"/>
    <s v="U05944"/>
    <s v="L1188/89"/>
    <x v="0"/>
    <m/>
    <m/>
    <m/>
    <n v="0"/>
    <m/>
    <m/>
  </r>
  <r>
    <n v="2"/>
    <x v="0"/>
    <s v="Night"/>
    <x v="0"/>
    <n v="2000706893"/>
    <n v="1840"/>
    <n v="80"/>
    <n v="0"/>
    <s v="U36206"/>
    <s v="L1144/47"/>
    <x v="1"/>
    <m/>
    <m/>
    <m/>
    <n v="0"/>
    <m/>
    <m/>
  </r>
  <r>
    <n v="3"/>
    <x v="0"/>
    <s v="Night"/>
    <x v="0"/>
    <n v="2000705730"/>
    <n v="2000"/>
    <n v="140"/>
    <n v="0"/>
    <s v="U36206"/>
    <s v="L1077"/>
    <x v="2"/>
    <m/>
    <m/>
    <m/>
    <n v="0"/>
    <m/>
    <m/>
  </r>
  <r>
    <n v="4"/>
    <x v="0"/>
    <s v="Night"/>
    <x v="0"/>
    <n v="2000706285"/>
    <n v="2000"/>
    <n v="80"/>
    <n v="0"/>
    <s v="U36206"/>
    <s v="L1077"/>
    <x v="2"/>
    <m/>
    <m/>
    <m/>
    <n v="0"/>
    <m/>
    <m/>
  </r>
  <r>
    <n v="5"/>
    <x v="0"/>
    <s v="Night"/>
    <x v="0"/>
    <n v="2000706019"/>
    <n v="3700"/>
    <n v="80"/>
    <n v="0"/>
    <s v="U36206"/>
    <s v="L1174/75"/>
    <x v="3"/>
    <m/>
    <m/>
    <m/>
    <n v="0"/>
    <m/>
    <m/>
  </r>
  <r>
    <n v="6"/>
    <x v="0"/>
    <s v="Night"/>
    <x v="0"/>
    <n v="2000706773"/>
    <n v="1000"/>
    <n v="120"/>
    <n v="0"/>
    <s v="U36206"/>
    <s v="L1186"/>
    <x v="4"/>
    <m/>
    <m/>
    <m/>
    <n v="0"/>
    <m/>
    <m/>
  </r>
  <r>
    <n v="7"/>
    <x v="0"/>
    <s v="Night"/>
    <x v="0"/>
    <n v="2000706782"/>
    <n v="420"/>
    <n v="100"/>
    <n v="0"/>
    <s v="U36206"/>
    <s v="L1144/47"/>
    <x v="5"/>
    <m/>
    <m/>
    <m/>
    <n v="0"/>
    <m/>
    <m/>
  </r>
  <r>
    <n v="8"/>
    <x v="0"/>
    <s v="Night"/>
    <x v="0"/>
    <n v="2000705728"/>
    <n v="2000"/>
    <n v="200"/>
    <n v="0"/>
    <s v="U03968"/>
    <s v="L1077"/>
    <x v="6"/>
    <m/>
    <m/>
    <m/>
    <n v="0"/>
    <m/>
    <m/>
  </r>
  <r>
    <n v="9"/>
    <x v="0"/>
    <s v="Night"/>
    <x v="0"/>
    <n v="2000705368"/>
    <n v="4239"/>
    <n v="300"/>
    <n v="0"/>
    <s v="U03968"/>
    <s v="L1172"/>
    <x v="7"/>
    <m/>
    <m/>
    <m/>
    <n v="0"/>
    <m/>
    <m/>
  </r>
  <r>
    <n v="10"/>
    <x v="0"/>
    <s v="Night"/>
    <x v="0"/>
    <n v="2000704714"/>
    <n v="3200"/>
    <n v="160"/>
    <n v="0"/>
    <s v="U03968"/>
    <s v="L1112/13"/>
    <x v="8"/>
    <m/>
    <m/>
    <m/>
    <n v="0"/>
    <m/>
    <m/>
  </r>
  <r>
    <n v="11"/>
    <x v="0"/>
    <s v="Night"/>
    <x v="0"/>
    <n v="2000706150"/>
    <n v="896"/>
    <n v="200"/>
    <n v="0"/>
    <s v="U03968"/>
    <s v="L1105"/>
    <x v="9"/>
    <m/>
    <m/>
    <m/>
    <n v="0"/>
    <m/>
    <m/>
  </r>
  <r>
    <n v="12"/>
    <x v="0"/>
    <s v="Night"/>
    <x v="0"/>
    <n v="2000705726"/>
    <n v="2000"/>
    <n v="200"/>
    <n v="0"/>
    <s v="U03968"/>
    <s v="L1077"/>
    <x v="10"/>
    <m/>
    <m/>
    <m/>
    <n v="0"/>
    <m/>
    <m/>
  </r>
  <r>
    <n v="13"/>
    <x v="0"/>
    <s v="Night"/>
    <x v="0"/>
    <n v="2000705521"/>
    <n v="1328"/>
    <n v="160"/>
    <n v="0"/>
    <s v="U03968"/>
    <s v="L1128/29"/>
    <x v="11"/>
    <m/>
    <m/>
    <m/>
    <n v="0"/>
    <m/>
    <m/>
  </r>
  <r>
    <n v="14"/>
    <x v="0"/>
    <s v="Night"/>
    <x v="0"/>
    <n v="2000706017"/>
    <n v="3700"/>
    <n v="300"/>
    <n v="0"/>
    <s v="U03968"/>
    <s v="L1174/75"/>
    <x v="12"/>
    <m/>
    <m/>
    <m/>
    <n v="0"/>
    <m/>
    <m/>
  </r>
  <r>
    <n v="15"/>
    <x v="0"/>
    <s v="Night"/>
    <x v="0"/>
    <n v="2000706305"/>
    <n v="1600"/>
    <n v="300"/>
    <n v="0"/>
    <s v="U03968"/>
    <s v="L1144/47"/>
    <x v="13"/>
    <m/>
    <m/>
    <m/>
    <n v="0"/>
    <m/>
    <m/>
  </r>
  <r>
    <n v="16"/>
    <x v="0"/>
    <s v="Night"/>
    <x v="0"/>
    <n v="2000706434"/>
    <n v="4158"/>
    <n v="200"/>
    <n v="0"/>
    <s v="U03968"/>
    <s v="L1144/47"/>
    <x v="14"/>
    <m/>
    <m/>
    <m/>
    <n v="0"/>
    <m/>
    <m/>
  </r>
  <r>
    <n v="17"/>
    <x v="0"/>
    <s v="Night"/>
    <x v="0"/>
    <n v="2000706148"/>
    <n v="4200"/>
    <n v="240"/>
    <n v="0"/>
    <s v="U03968"/>
    <s v="T515"/>
    <x v="15"/>
    <m/>
    <m/>
    <m/>
    <n v="0"/>
    <m/>
    <m/>
  </r>
  <r>
    <n v="18"/>
    <x v="0"/>
    <s v="Night"/>
    <x v="0"/>
    <n v="2000705992"/>
    <n v="2800"/>
    <n v="240"/>
    <n v="0"/>
    <s v="U29686"/>
    <s v="L1188/89"/>
    <x v="0"/>
    <m/>
    <m/>
    <m/>
    <n v="0"/>
    <m/>
    <m/>
  </r>
  <r>
    <n v="19"/>
    <x v="0"/>
    <s v="Night"/>
    <x v="0"/>
    <n v="2000705993"/>
    <n v="640"/>
    <n v="70"/>
    <n v="0"/>
    <s v="U29686"/>
    <s v="L1188/89"/>
    <x v="16"/>
    <m/>
    <m/>
    <m/>
    <n v="0"/>
    <m/>
    <m/>
  </r>
  <r>
    <n v="20"/>
    <x v="0"/>
    <s v="Night"/>
    <x v="0"/>
    <n v="2000704680"/>
    <n v="1080"/>
    <n v="12"/>
    <n v="0"/>
    <s v="U18660"/>
    <s v="L1188/89"/>
    <x v="17"/>
    <m/>
    <m/>
    <m/>
    <n v="0"/>
    <m/>
    <m/>
  </r>
  <r>
    <n v="21"/>
    <x v="0"/>
    <s v="Night"/>
    <x v="0"/>
    <n v="2000705986"/>
    <n v="670"/>
    <n v="119"/>
    <n v="0"/>
    <s v="U18660"/>
    <s v="L1188/89"/>
    <x v="17"/>
    <m/>
    <m/>
    <m/>
    <n v="0"/>
    <m/>
    <m/>
  </r>
  <r>
    <n v="22"/>
    <x v="0"/>
    <s v="Night"/>
    <x v="0"/>
    <n v="2000705992"/>
    <n v="2800"/>
    <n v="200"/>
    <n v="0"/>
    <s v="U18660"/>
    <s v="L1188/89"/>
    <x v="0"/>
    <m/>
    <m/>
    <m/>
    <n v="0"/>
    <m/>
    <m/>
  </r>
  <r>
    <n v="23"/>
    <x v="0"/>
    <s v="Night"/>
    <x v="0"/>
    <n v="2000705528"/>
    <n v="1200"/>
    <n v="30"/>
    <n v="0"/>
    <s v="U18660"/>
    <s v="L1172/73"/>
    <x v="18"/>
    <m/>
    <m/>
    <m/>
    <n v="0"/>
    <m/>
    <m/>
  </r>
  <r>
    <n v="24"/>
    <x v="0"/>
    <s v="Night"/>
    <x v="0"/>
    <n v="2000705700"/>
    <n v="1790"/>
    <n v="20"/>
    <n v="0"/>
    <s v="U18660"/>
    <s v="L1172/73"/>
    <x v="19"/>
    <m/>
    <m/>
    <m/>
    <n v="0"/>
    <m/>
    <m/>
  </r>
  <r>
    <n v="25"/>
    <x v="0"/>
    <s v="Night"/>
    <x v="0"/>
    <n v="2000705529"/>
    <n v="722"/>
    <n v="90"/>
    <n v="0"/>
    <s v="U18660"/>
    <s v="L1172/73"/>
    <x v="20"/>
    <m/>
    <m/>
    <m/>
    <n v="0"/>
    <m/>
    <m/>
  </r>
  <r>
    <n v="26"/>
    <x v="0"/>
    <s v="Night"/>
    <x v="0"/>
    <n v="2000705992"/>
    <n v="2800"/>
    <n v="120"/>
    <n v="0"/>
    <s v="U30840"/>
    <s v="L1188/89"/>
    <x v="0"/>
    <m/>
    <m/>
    <m/>
    <n v="0"/>
    <m/>
    <m/>
  </r>
  <r>
    <n v="27"/>
    <x v="0"/>
    <s v="Night"/>
    <x v="0"/>
    <n v="2000705986"/>
    <n v="670"/>
    <n v="80"/>
    <n v="0"/>
    <s v="U30840"/>
    <s v="L1188/89"/>
    <x v="17"/>
    <m/>
    <m/>
    <m/>
    <n v="0"/>
    <m/>
    <m/>
  </r>
  <r>
    <n v="28"/>
    <x v="0"/>
    <s v="Night"/>
    <x v="0"/>
    <n v="2000698521"/>
    <n v="1240"/>
    <n v="1"/>
    <n v="0"/>
    <s v="U30840"/>
    <s v="L1188/89"/>
    <x v="17"/>
    <m/>
    <m/>
    <m/>
    <n v="0"/>
    <m/>
    <m/>
  </r>
  <r>
    <n v="29"/>
    <x v="0"/>
    <s v="Night"/>
    <x v="0"/>
    <n v="2000705986"/>
    <n v="670"/>
    <n v="12"/>
    <n v="0"/>
    <s v="U27723"/>
    <s v="L1188/89"/>
    <x v="17"/>
    <m/>
    <m/>
    <m/>
    <n v="0"/>
    <m/>
    <m/>
  </r>
  <r>
    <n v="30"/>
    <x v="0"/>
    <s v="Night"/>
    <x v="0"/>
    <n v="2000705992"/>
    <n v="2800"/>
    <n v="320"/>
    <n v="0"/>
    <s v="U27723"/>
    <s v="L1188/89"/>
    <x v="0"/>
    <m/>
    <m/>
    <m/>
    <n v="0"/>
    <m/>
    <m/>
  </r>
  <r>
    <n v="31"/>
    <x v="0"/>
    <s v="Night"/>
    <x v="0"/>
    <n v="2000705992"/>
    <n v="2800"/>
    <n v="140"/>
    <n v="0"/>
    <s v="U27723"/>
    <s v="L1188/89"/>
    <x v="0"/>
    <m/>
    <m/>
    <m/>
    <n v="0"/>
    <m/>
    <m/>
  </r>
  <r>
    <n v="32"/>
    <x v="0"/>
    <s v="Night"/>
    <x v="0"/>
    <n v="2000705992"/>
    <n v="2800"/>
    <n v="40"/>
    <n v="0"/>
    <s v="U27687"/>
    <s v="L1188/89"/>
    <x v="0"/>
    <m/>
    <m/>
    <m/>
    <n v="0"/>
    <m/>
    <m/>
  </r>
  <r>
    <n v="33"/>
    <x v="0"/>
    <s v="Night"/>
    <x v="0"/>
    <n v="2000706490"/>
    <n v="490"/>
    <n v="300"/>
    <n v="0"/>
    <s v="U27687"/>
    <s v="L1193/94"/>
    <x v="21"/>
    <m/>
    <m/>
    <m/>
    <n v="0"/>
    <m/>
    <m/>
  </r>
  <r>
    <n v="34"/>
    <x v="0"/>
    <s v="Night"/>
    <x v="0"/>
    <n v="2000705992"/>
    <n v="2800"/>
    <n v="80"/>
    <n v="0"/>
    <s v="U27687"/>
    <s v="L1188/89"/>
    <x v="0"/>
    <m/>
    <m/>
    <m/>
    <n v="0"/>
    <m/>
    <m/>
  </r>
  <r>
    <n v="35"/>
    <x v="0"/>
    <s v="Night"/>
    <x v="0"/>
    <n v="2000705700"/>
    <n v="1790"/>
    <n v="20"/>
    <n v="0"/>
    <s v="U32991"/>
    <s v="L1172/73"/>
    <x v="19"/>
    <m/>
    <m/>
    <m/>
    <n v="0"/>
    <m/>
    <m/>
  </r>
  <r>
    <n v="36"/>
    <x v="0"/>
    <s v="Night"/>
    <x v="1"/>
    <n v="2000705151"/>
    <n v="729"/>
    <n v="150"/>
    <n v="0"/>
    <s v="U32991"/>
    <s v="SHANKS"/>
    <x v="22"/>
    <m/>
    <m/>
    <m/>
    <n v="0"/>
    <m/>
    <m/>
  </r>
  <r>
    <n v="37"/>
    <x v="0"/>
    <s v="Night"/>
    <x v="1"/>
    <n v="2000705150"/>
    <n v="350"/>
    <n v="10"/>
    <n v="0"/>
    <s v="U32991"/>
    <s v="PSLV"/>
    <x v="23"/>
    <m/>
    <m/>
    <m/>
    <n v="0"/>
    <m/>
    <m/>
  </r>
  <r>
    <n v="38"/>
    <x v="0"/>
    <s v="Night"/>
    <x v="1"/>
    <n v="2000705153"/>
    <n v="650"/>
    <n v="35"/>
    <n v="0"/>
    <s v="U32991"/>
    <s v="SHANKS"/>
    <x v="24"/>
    <m/>
    <m/>
    <m/>
    <n v="0"/>
    <m/>
    <m/>
  </r>
  <r>
    <n v="39"/>
    <x v="0"/>
    <s v="Night"/>
    <x v="1"/>
    <n v="2000705152"/>
    <n v="1000"/>
    <n v="110"/>
    <n v="0"/>
    <s v="U32991"/>
    <s v="SHANKS"/>
    <x v="25"/>
    <m/>
    <m/>
    <m/>
    <n v="0"/>
    <m/>
    <m/>
  </r>
  <r>
    <n v="40"/>
    <x v="0"/>
    <s v="Night"/>
    <x v="1"/>
    <n v="2000705148"/>
    <n v="500"/>
    <n v="80"/>
    <n v="0"/>
    <s v="U32991"/>
    <s v="PSHV"/>
    <x v="26"/>
    <m/>
    <m/>
    <m/>
    <n v="0"/>
    <m/>
    <m/>
  </r>
  <r>
    <n v="41"/>
    <x v="0"/>
    <s v="Night"/>
    <x v="1"/>
    <n v="2000705144"/>
    <n v="10"/>
    <n v="10"/>
    <n v="0"/>
    <s v="U32991"/>
    <s v="PSLV"/>
    <x v="27"/>
    <m/>
    <m/>
    <m/>
    <n v="0"/>
    <m/>
    <m/>
  </r>
  <r>
    <n v="42"/>
    <x v="0"/>
    <s v="Night"/>
    <x v="1"/>
    <n v="2000704657"/>
    <n v="400"/>
    <n v="10"/>
    <n v="0"/>
    <s v="U32991"/>
    <s v="FLORA"/>
    <x v="28"/>
    <m/>
    <m/>
    <m/>
    <n v="0"/>
    <m/>
    <m/>
  </r>
  <r>
    <n v="43"/>
    <x v="0"/>
    <s v="Night"/>
    <x v="1"/>
    <n v="2000706950"/>
    <n v="10"/>
    <n v="8"/>
    <n v="0"/>
    <s v="U32991"/>
    <s v="FLORA"/>
    <x v="28"/>
    <m/>
    <m/>
    <m/>
    <n v="0"/>
    <m/>
    <m/>
  </r>
  <r>
    <n v="44"/>
    <x v="0"/>
    <s v="Night"/>
    <x v="1"/>
    <n v="2000704736"/>
    <n v="424"/>
    <n v="424"/>
    <n v="0"/>
    <s v="U32991"/>
    <s v="LVHV"/>
    <x v="29"/>
    <m/>
    <m/>
    <m/>
    <n v="0"/>
    <m/>
    <m/>
  </r>
  <r>
    <n v="45"/>
    <x v="1"/>
    <s v="Day"/>
    <x v="0"/>
    <n v="2000705735"/>
    <n v="2160"/>
    <n v="150"/>
    <n v="0"/>
    <s v="U26613"/>
    <s v="L1193/94"/>
    <x v="30"/>
    <m/>
    <m/>
    <m/>
    <n v="0"/>
    <m/>
    <m/>
  </r>
  <r>
    <n v="46"/>
    <x v="1"/>
    <s v="Day"/>
    <x v="0"/>
    <n v="2000706152"/>
    <n v="7830"/>
    <n v="300"/>
    <n v="0"/>
    <s v="U26613"/>
    <s v="L1112/13"/>
    <x v="31"/>
    <m/>
    <m/>
    <m/>
    <n v="0"/>
    <m/>
    <m/>
  </r>
  <r>
    <n v="47"/>
    <x v="1"/>
    <s v="Day"/>
    <x v="0"/>
    <n v="2000706771"/>
    <n v="1000"/>
    <n v="200"/>
    <n v="0"/>
    <s v="U26613"/>
    <s v="L1186"/>
    <x v="32"/>
    <m/>
    <m/>
    <m/>
    <n v="0"/>
    <m/>
    <m/>
  </r>
  <r>
    <n v="48"/>
    <x v="1"/>
    <s v="Day"/>
    <x v="0"/>
    <n v="2000705726"/>
    <n v="2000"/>
    <n v="200"/>
    <n v="0"/>
    <s v="U26613"/>
    <s v="L1077"/>
    <x v="10"/>
    <m/>
    <m/>
    <m/>
    <n v="0"/>
    <m/>
    <m/>
  </r>
  <r>
    <n v="49"/>
    <x v="1"/>
    <s v="Day"/>
    <x v="0"/>
    <n v="2000705727"/>
    <n v="2000"/>
    <n v="300"/>
    <n v="0"/>
    <s v="U26613"/>
    <s v="L1077"/>
    <x v="33"/>
    <m/>
    <m/>
    <m/>
    <n v="0"/>
    <m/>
    <m/>
  </r>
  <r>
    <n v="50"/>
    <x v="1"/>
    <s v="Day"/>
    <x v="0"/>
    <n v="2000705368"/>
    <n v="4239"/>
    <n v="120"/>
    <n v="0"/>
    <s v="U26613"/>
    <s v="L1172/73"/>
    <x v="7"/>
    <m/>
    <m/>
    <m/>
    <n v="0"/>
    <m/>
    <m/>
  </r>
  <r>
    <n v="51"/>
    <x v="1"/>
    <s v="Day"/>
    <x v="0"/>
    <n v="2000706770"/>
    <n v="1000"/>
    <n v="300"/>
    <n v="0"/>
    <s v="U26613"/>
    <s v="L1186"/>
    <x v="34"/>
    <m/>
    <m/>
    <m/>
    <n v="0"/>
    <m/>
    <m/>
  </r>
  <r>
    <n v="52"/>
    <x v="1"/>
    <s v="Day"/>
    <x v="0"/>
    <n v="2000706772"/>
    <n v="1000"/>
    <n v="150"/>
    <n v="0"/>
    <s v="U26613"/>
    <s v="L1186"/>
    <x v="35"/>
    <m/>
    <m/>
    <m/>
    <n v="0"/>
    <m/>
    <m/>
  </r>
  <r>
    <n v="53"/>
    <x v="1"/>
    <s v="Day"/>
    <x v="0"/>
    <n v="2000706284"/>
    <n v="2000"/>
    <n v="200"/>
    <n v="0"/>
    <s v="U26613"/>
    <s v="L1077"/>
    <x v="36"/>
    <m/>
    <m/>
    <m/>
    <n v="0"/>
    <m/>
    <m/>
  </r>
  <r>
    <n v="54"/>
    <x v="1"/>
    <s v="Day"/>
    <x v="0"/>
    <n v="2000705993"/>
    <n v="640"/>
    <n v="10"/>
    <n v="0"/>
    <s v="U31065"/>
    <s v="L1188/89"/>
    <x v="16"/>
    <m/>
    <m/>
    <m/>
    <n v="0"/>
    <m/>
    <m/>
  </r>
  <r>
    <n v="55"/>
    <x v="1"/>
    <s v="Day"/>
    <x v="0"/>
    <n v="2000706490"/>
    <n v="490"/>
    <n v="190"/>
    <n v="0"/>
    <s v="U31065"/>
    <s v="L1193/94"/>
    <x v="21"/>
    <m/>
    <m/>
    <m/>
    <n v="0"/>
    <m/>
    <m/>
  </r>
  <r>
    <n v="56"/>
    <x v="1"/>
    <s v="Day"/>
    <x v="0"/>
    <n v="2000706492"/>
    <n v="1050"/>
    <n v="360"/>
    <n v="0"/>
    <s v="U31065"/>
    <s v="L1193/94"/>
    <x v="21"/>
    <m/>
    <m/>
    <m/>
    <n v="0"/>
    <m/>
    <m/>
  </r>
  <r>
    <n v="57"/>
    <x v="1"/>
    <s v="Day"/>
    <x v="0"/>
    <n v="2000705699"/>
    <n v="3900"/>
    <n v="240"/>
    <n v="0"/>
    <s v="U30425"/>
    <s v="L1168/69"/>
    <x v="37"/>
    <m/>
    <m/>
    <m/>
    <n v="0"/>
    <m/>
    <m/>
  </r>
  <r>
    <n v="58"/>
    <x v="1"/>
    <s v="Day"/>
    <x v="0"/>
    <n v="2000706892"/>
    <n v="340"/>
    <n v="80"/>
    <n v="0"/>
    <s v="U30425"/>
    <s v="L1186"/>
    <x v="38"/>
    <m/>
    <m/>
    <m/>
    <n v="0"/>
    <m/>
    <m/>
  </r>
  <r>
    <n v="59"/>
    <x v="1"/>
    <s v="Day"/>
    <x v="0"/>
    <n v="2000706285"/>
    <n v="2000"/>
    <n v="40"/>
    <n v="0"/>
    <s v="U30425"/>
    <s v="L1077"/>
    <x v="2"/>
    <m/>
    <m/>
    <m/>
    <n v="0"/>
    <m/>
    <m/>
  </r>
  <r>
    <n v="60"/>
    <x v="1"/>
    <s v="Day"/>
    <x v="0"/>
    <n v="2000705823"/>
    <n v="2000"/>
    <n v="60"/>
    <n v="0"/>
    <s v="U30425"/>
    <s v="L1172/73"/>
    <x v="18"/>
    <m/>
    <m/>
    <m/>
    <n v="0"/>
    <m/>
    <m/>
  </r>
  <r>
    <n v="61"/>
    <x v="1"/>
    <s v="Day"/>
    <x v="0"/>
    <n v="2000706923"/>
    <n v="680"/>
    <n v="80"/>
    <n v="0"/>
    <s v="U30425"/>
    <s v="L1144/47"/>
    <x v="39"/>
    <m/>
    <m/>
    <m/>
    <n v="0"/>
    <m/>
    <m/>
  </r>
  <r>
    <n v="62"/>
    <x v="1"/>
    <s v="Day"/>
    <x v="0"/>
    <n v="2000706022"/>
    <n v="1672"/>
    <n v="110"/>
    <n v="0"/>
    <s v="U30425"/>
    <s v="L1174/75"/>
    <x v="40"/>
    <m/>
    <m/>
    <m/>
    <n v="0"/>
    <m/>
    <m/>
  </r>
  <r>
    <n v="63"/>
    <x v="1"/>
    <s v="Day"/>
    <x v="0"/>
    <n v="2000706773"/>
    <n v="1000"/>
    <n v="40"/>
    <n v="0"/>
    <s v="U23987"/>
    <s v="L1186"/>
    <x v="4"/>
    <m/>
    <m/>
    <m/>
    <n v="0"/>
    <m/>
    <m/>
  </r>
  <r>
    <n v="64"/>
    <x v="1"/>
    <s v="Day"/>
    <x v="0"/>
    <n v="2000706021"/>
    <n v="2100"/>
    <n v="280"/>
    <n v="0"/>
    <s v="U23987"/>
    <s v="L1174/75"/>
    <x v="41"/>
    <m/>
    <m/>
    <m/>
    <n v="0"/>
    <m/>
    <m/>
  </r>
  <r>
    <n v="65"/>
    <x v="1"/>
    <s v="Day"/>
    <x v="0"/>
    <n v="2000707325"/>
    <n v="1120"/>
    <n v="80"/>
    <n v="0"/>
    <s v="U23987"/>
    <s v="L1144/47"/>
    <x v="42"/>
    <m/>
    <m/>
    <m/>
    <n v="0"/>
    <m/>
    <m/>
  </r>
  <r>
    <n v="66"/>
    <x v="1"/>
    <s v="Day"/>
    <x v="0"/>
    <n v="2000705735"/>
    <n v="2160"/>
    <n v="120"/>
    <n v="0"/>
    <s v="U27724"/>
    <s v="L1193/94"/>
    <x v="30"/>
    <m/>
    <m/>
    <m/>
    <n v="0"/>
    <m/>
    <m/>
  </r>
  <r>
    <n v="67"/>
    <x v="1"/>
    <s v="Day"/>
    <x v="0"/>
    <n v="2000705993"/>
    <n v="640"/>
    <n v="120"/>
    <n v="0"/>
    <s v="U27724"/>
    <s v="L1188/89"/>
    <x v="16"/>
    <m/>
    <m/>
    <m/>
    <n v="0"/>
    <m/>
    <m/>
  </r>
  <r>
    <n v="68"/>
    <x v="1"/>
    <s v="Day"/>
    <x v="0"/>
    <n v="2000706276"/>
    <n v="520"/>
    <n v="464"/>
    <n v="0"/>
    <s v="U27724"/>
    <s v="L1188/89"/>
    <x v="17"/>
    <m/>
    <m/>
    <m/>
    <n v="0"/>
    <m/>
    <m/>
  </r>
  <r>
    <n v="69"/>
    <x v="1"/>
    <s v="Day"/>
    <x v="0"/>
    <n v="2000706277"/>
    <n v="560"/>
    <n v="40"/>
    <n v="0"/>
    <s v="U27724"/>
    <s v="L1188/89"/>
    <x v="43"/>
    <m/>
    <m/>
    <m/>
    <n v="0"/>
    <m/>
    <m/>
  </r>
  <r>
    <n v="70"/>
    <x v="1"/>
    <s v="Day"/>
    <x v="0"/>
    <n v="2000706583"/>
    <n v="3050"/>
    <n v="45"/>
    <n v="0"/>
    <s v="U36008"/>
    <s v="L1209/10"/>
    <x v="44"/>
    <m/>
    <m/>
    <m/>
    <n v="0"/>
    <m/>
    <m/>
  </r>
  <r>
    <n v="71"/>
    <x v="1"/>
    <s v="Day"/>
    <x v="0"/>
    <n v="2000705993"/>
    <n v="640"/>
    <n v="280"/>
    <n v="0"/>
    <s v="U36008"/>
    <s v="L1188/89"/>
    <x v="16"/>
    <m/>
    <m/>
    <m/>
    <n v="0"/>
    <m/>
    <m/>
  </r>
  <r>
    <n v="72"/>
    <x v="1"/>
    <s v="Day"/>
    <x v="0"/>
    <n v="2000705323"/>
    <n v="2240"/>
    <n v="2"/>
    <n v="0"/>
    <s v="U36008"/>
    <s v="L1188/89"/>
    <x v="16"/>
    <m/>
    <m/>
    <m/>
    <n v="0"/>
    <m/>
    <m/>
  </r>
  <r>
    <n v="73"/>
    <x v="1"/>
    <s v="Day"/>
    <x v="0"/>
    <n v="2000703335"/>
    <n v="3690"/>
    <n v="8"/>
    <n v="0"/>
    <s v="U36008"/>
    <s v="L1170/71"/>
    <x v="45"/>
    <m/>
    <m/>
    <m/>
    <n v="0"/>
    <m/>
    <m/>
  </r>
  <r>
    <n v="74"/>
    <x v="1"/>
    <s v="Day"/>
    <x v="0"/>
    <n v="2000705683"/>
    <n v="270"/>
    <n v="45"/>
    <n v="0"/>
    <s v="U36008"/>
    <s v="L1170/71"/>
    <x v="45"/>
    <m/>
    <m/>
    <m/>
    <n v="0"/>
    <m/>
    <m/>
  </r>
  <r>
    <n v="75"/>
    <x v="1"/>
    <s v="Day"/>
    <x v="0"/>
    <n v="2000705330"/>
    <n v="540"/>
    <n v="4"/>
    <n v="0"/>
    <s v="U36008"/>
    <s v="L1170/71"/>
    <x v="46"/>
    <m/>
    <m/>
    <m/>
    <n v="0"/>
    <m/>
    <m/>
  </r>
  <r>
    <n v="76"/>
    <x v="1"/>
    <s v="Day"/>
    <x v="0"/>
    <n v="2000706275"/>
    <n v="688"/>
    <n v="40"/>
    <n v="0"/>
    <s v="U36008"/>
    <s v="L1188/89"/>
    <x v="47"/>
    <m/>
    <m/>
    <m/>
    <n v="0"/>
    <m/>
    <m/>
  </r>
  <r>
    <n v="77"/>
    <x v="1"/>
    <s v="Day"/>
    <x v="0"/>
    <n v="2000705735"/>
    <n v="2160"/>
    <n v="60"/>
    <n v="0"/>
    <s v="U09854"/>
    <s v="L1193/94"/>
    <x v="30"/>
    <m/>
    <m/>
    <m/>
    <n v="0"/>
    <m/>
    <m/>
  </r>
  <r>
    <n v="78"/>
    <x v="1"/>
    <s v="Day"/>
    <x v="0"/>
    <n v="2000706277"/>
    <n v="560"/>
    <n v="60"/>
    <n v="0"/>
    <s v="U09854"/>
    <s v="L1188/89"/>
    <x v="43"/>
    <m/>
    <m/>
    <m/>
    <n v="0"/>
    <m/>
    <m/>
  </r>
  <r>
    <n v="79"/>
    <x v="1"/>
    <s v="Day"/>
    <x v="0"/>
    <n v="2000705992"/>
    <n v="2800"/>
    <n v="159"/>
    <n v="1"/>
    <s v="U09854"/>
    <s v="L1188/89"/>
    <x v="0"/>
    <s v="Bong, vỡ linh kiện"/>
    <m/>
    <s v="IC54"/>
    <n v="1"/>
    <s v="\\vn-file\QC Department\4.OQC\00. OQC Performance\03. Images\01. NG\20210105-NG-0934705992.jpg"/>
    <s v="\\vn-file\QC Department\4.OQC\00. OQC Performance\03. Images\02. OK\20210105-OK-0934705992.jpg"/>
  </r>
  <r>
    <n v="80"/>
    <x v="1"/>
    <s v="Day"/>
    <x v="0"/>
    <n v="2000706276"/>
    <n v="520"/>
    <n v="72"/>
    <n v="0"/>
    <s v="U09854"/>
    <s v="L1188/89"/>
    <x v="17"/>
    <m/>
    <m/>
    <m/>
    <n v="0"/>
    <m/>
    <m/>
  </r>
  <r>
    <n v="81"/>
    <x v="1"/>
    <s v="Day"/>
    <x v="0"/>
    <n v="2000706644"/>
    <n v="1200"/>
    <n v="80"/>
    <n v="0"/>
    <s v="U09854"/>
    <s v="L1168/69"/>
    <x v="48"/>
    <m/>
    <m/>
    <m/>
    <n v="0"/>
    <m/>
    <m/>
  </r>
  <r>
    <n v="82"/>
    <x v="1"/>
    <s v="Day"/>
    <x v="0"/>
    <n v="2000706446"/>
    <n v="1800"/>
    <n v="60"/>
    <n v="0"/>
    <s v="U09854"/>
    <s v="L1172/73"/>
    <x v="19"/>
    <m/>
    <m/>
    <m/>
    <n v="0"/>
    <m/>
    <m/>
  </r>
  <r>
    <n v="83"/>
    <x v="1"/>
    <s v="Day"/>
    <x v="0"/>
    <n v="2000705819"/>
    <n v="2640"/>
    <n v="120"/>
    <n v="0"/>
    <s v="U09854"/>
    <s v="L1128/29"/>
    <x v="11"/>
    <m/>
    <m/>
    <m/>
    <n v="0"/>
    <m/>
    <m/>
  </r>
  <r>
    <n v="84"/>
    <x v="1"/>
    <s v="Day"/>
    <x v="0"/>
    <n v="2000705993"/>
    <n v="640"/>
    <n v="160"/>
    <n v="0"/>
    <s v="U09854"/>
    <s v="L1188/89"/>
    <x v="16"/>
    <m/>
    <m/>
    <m/>
    <n v="0"/>
    <m/>
    <m/>
  </r>
  <r>
    <n v="85"/>
    <x v="1"/>
    <s v="Day"/>
    <x v="1"/>
    <n v="2000705150"/>
    <n v="350"/>
    <n v="99"/>
    <n v="0"/>
    <s v="U30119"/>
    <s v="PSLV"/>
    <x v="23"/>
    <m/>
    <m/>
    <m/>
    <n v="0"/>
    <m/>
    <m/>
  </r>
  <r>
    <n v="86"/>
    <x v="1"/>
    <s v="Day"/>
    <x v="1"/>
    <n v="2000705980"/>
    <n v="600"/>
    <n v="290"/>
    <n v="0"/>
    <s v="U30119"/>
    <s v="PSLV"/>
    <x v="49"/>
    <m/>
    <m/>
    <m/>
    <n v="0"/>
    <m/>
    <m/>
  </r>
  <r>
    <n v="87"/>
    <x v="1"/>
    <s v="Day"/>
    <x v="1"/>
    <n v="2000706300"/>
    <n v="1020"/>
    <n v="90"/>
    <n v="0"/>
    <s v="U30119"/>
    <s v="SHANKS"/>
    <x v="22"/>
    <m/>
    <m/>
    <m/>
    <n v="0"/>
    <m/>
    <m/>
  </r>
  <r>
    <n v="88"/>
    <x v="1"/>
    <s v="Day"/>
    <x v="1"/>
    <n v="2000705994"/>
    <n v="760"/>
    <n v="310"/>
    <n v="0"/>
    <s v="U30119"/>
    <s v="PSHV"/>
    <x v="50"/>
    <m/>
    <m/>
    <m/>
    <n v="0"/>
    <m/>
    <m/>
  </r>
  <r>
    <n v="89"/>
    <x v="1"/>
    <s v="Day"/>
    <x v="1"/>
    <n v="2000705983"/>
    <n v="501"/>
    <n v="96"/>
    <n v="0"/>
    <s v="U30119"/>
    <s v="FRANKY"/>
    <x v="51"/>
    <m/>
    <m/>
    <m/>
    <n v="0"/>
    <m/>
    <m/>
  </r>
  <r>
    <n v="90"/>
    <x v="1"/>
    <s v="Day"/>
    <x v="1"/>
    <n v="2000705544"/>
    <n v="96"/>
    <n v="96"/>
    <n v="0"/>
    <s v="U30119"/>
    <s v="SHANKS"/>
    <x v="52"/>
    <m/>
    <m/>
    <m/>
    <n v="0"/>
    <m/>
    <m/>
  </r>
  <r>
    <n v="91"/>
    <x v="1"/>
    <s v="Day"/>
    <x v="1"/>
    <n v="2000706307"/>
    <n v="300"/>
    <n v="100"/>
    <n v="0"/>
    <s v="U30119"/>
    <s v="PSLV"/>
    <x v="53"/>
    <m/>
    <m/>
    <m/>
    <n v="0"/>
    <m/>
    <m/>
  </r>
  <r>
    <n v="92"/>
    <x v="1"/>
    <s v="Night"/>
    <x v="0"/>
    <n v="2000706277"/>
    <n v="560"/>
    <n v="144"/>
    <n v="1"/>
    <s v="U05944"/>
    <s v="L1188/89"/>
    <x v="43"/>
    <s v="Dính Flux "/>
    <m/>
    <s v="J910"/>
    <n v="1"/>
    <s v="\\vn-file\QC Department\4.OQC\00. OQC Performance\03. Images\01. NG\20210105-NG-0150706277.jpg"/>
    <s v="\\vn-file\QC Department\4.OQC\00. OQC Performance\03. Images\02. OK\20210105-OK-0150706277.jpg"/>
  </r>
  <r>
    <n v="93"/>
    <x v="1"/>
    <s v="Night"/>
    <x v="0"/>
    <n v="2000706275"/>
    <n v="688"/>
    <n v="40"/>
    <n v="0"/>
    <s v="U05944"/>
    <s v="L1188/89"/>
    <x v="47"/>
    <m/>
    <m/>
    <m/>
    <n v="0"/>
    <m/>
    <m/>
  </r>
  <r>
    <n v="94"/>
    <x v="1"/>
    <s v="Night"/>
    <x v="0"/>
    <n v="2000706278"/>
    <n v="1120"/>
    <n v="280"/>
    <n v="0"/>
    <s v="U05944"/>
    <s v="L1188/89"/>
    <x v="54"/>
    <m/>
    <m/>
    <m/>
    <n v="0"/>
    <m/>
    <m/>
  </r>
  <r>
    <n v="95"/>
    <x v="1"/>
    <s v="Night"/>
    <x v="0"/>
    <n v="2000706492"/>
    <n v="1050"/>
    <n v="420"/>
    <n v="0"/>
    <s v="U32991"/>
    <s v="L1193/94"/>
    <x v="21"/>
    <m/>
    <m/>
    <m/>
    <n v="0"/>
    <m/>
    <m/>
  </r>
  <r>
    <n v="96"/>
    <x v="1"/>
    <s v="Night"/>
    <x v="0"/>
    <n v="2000706275"/>
    <n v="688"/>
    <n v="120"/>
    <n v="0"/>
    <s v="U18660"/>
    <s v="L1188/89"/>
    <x v="47"/>
    <m/>
    <m/>
    <m/>
    <n v="0"/>
    <m/>
    <m/>
  </r>
  <r>
    <n v="97"/>
    <x v="1"/>
    <s v="Night"/>
    <x v="0"/>
    <n v="2000706276"/>
    <n v="520"/>
    <n v="32"/>
    <n v="0"/>
    <s v="U18660"/>
    <s v="L1188/89"/>
    <x v="17"/>
    <m/>
    <m/>
    <m/>
    <n v="0"/>
    <m/>
    <m/>
  </r>
  <r>
    <n v="98"/>
    <x v="1"/>
    <s v="Night"/>
    <x v="0"/>
    <n v="2000705823"/>
    <n v="2000"/>
    <n v="60"/>
    <n v="0"/>
    <s v="U18660"/>
    <s v="L1172/73"/>
    <x v="18"/>
    <m/>
    <m/>
    <m/>
    <n v="0"/>
    <m/>
    <m/>
  </r>
  <r>
    <n v="99"/>
    <x v="1"/>
    <s v="Night"/>
    <x v="0"/>
    <n v="2000706583"/>
    <n v="3050"/>
    <n v="90"/>
    <n v="0"/>
    <s v="U18660"/>
    <s v="L1209/10"/>
    <x v="44"/>
    <m/>
    <m/>
    <m/>
    <n v="0"/>
    <m/>
    <m/>
  </r>
  <r>
    <n v="100"/>
    <x v="1"/>
    <s v="Night"/>
    <x v="0"/>
    <n v="2000706631"/>
    <n v="2806"/>
    <n v="405"/>
    <n v="0"/>
    <s v="U18660"/>
    <s v="L1209/10"/>
    <x v="55"/>
    <m/>
    <m/>
    <m/>
    <n v="0"/>
    <m/>
    <m/>
  </r>
  <r>
    <n v="101"/>
    <x v="1"/>
    <s v="Night"/>
    <x v="0"/>
    <n v="2000700021"/>
    <n v="2600"/>
    <n v="17"/>
    <n v="0"/>
    <s v="U29686"/>
    <s v="L1209/10"/>
    <x v="55"/>
    <m/>
    <m/>
    <m/>
    <n v="0"/>
    <m/>
    <m/>
  </r>
  <r>
    <n v="102"/>
    <x v="1"/>
    <s v="Night"/>
    <x v="0"/>
    <n v="2000706583"/>
    <n v="3050"/>
    <n v="198"/>
    <n v="0"/>
    <s v="U29686"/>
    <s v="L1209/10"/>
    <x v="44"/>
    <m/>
    <m/>
    <m/>
    <n v="0"/>
    <m/>
    <m/>
  </r>
  <r>
    <n v="103"/>
    <x v="1"/>
    <s v="Night"/>
    <x v="0"/>
    <n v="2000706631"/>
    <n v="2806"/>
    <n v="360"/>
    <n v="0"/>
    <s v="U29686"/>
    <s v="L1209/10"/>
    <x v="55"/>
    <m/>
    <m/>
    <m/>
    <n v="0"/>
    <m/>
    <m/>
  </r>
  <r>
    <n v="104"/>
    <x v="1"/>
    <s v="Night"/>
    <x v="0"/>
    <n v="2000707325"/>
    <n v="1120"/>
    <n v="40"/>
    <n v="0"/>
    <s v="U36206"/>
    <s v="L1144/47"/>
    <x v="42"/>
    <m/>
    <m/>
    <m/>
    <n v="0"/>
    <m/>
    <m/>
  </r>
  <r>
    <n v="105"/>
    <x v="1"/>
    <s v="Night"/>
    <x v="0"/>
    <n v="2000706896"/>
    <n v="1398"/>
    <n v="230"/>
    <n v="0"/>
    <s v="U36206"/>
    <s v="L1144/47"/>
    <x v="56"/>
    <m/>
    <m/>
    <m/>
    <n v="0"/>
    <m/>
    <m/>
  </r>
  <r>
    <n v="106"/>
    <x v="1"/>
    <s v="Night"/>
    <x v="0"/>
    <n v="2000706895"/>
    <n v="620"/>
    <n v="180"/>
    <n v="0"/>
    <s v="U36206"/>
    <s v="L1144/47"/>
    <x v="57"/>
    <m/>
    <m/>
    <m/>
    <n v="0"/>
    <m/>
    <m/>
  </r>
  <r>
    <n v="107"/>
    <x v="1"/>
    <s v="Night"/>
    <x v="0"/>
    <n v="2000706894"/>
    <n v="240"/>
    <n v="40"/>
    <n v="0"/>
    <s v="U36206"/>
    <s v="L1144/47"/>
    <x v="58"/>
    <m/>
    <m/>
    <m/>
    <n v="0"/>
    <m/>
    <m/>
  </r>
  <r>
    <n v="108"/>
    <x v="1"/>
    <s v="Night"/>
    <x v="0"/>
    <n v="2000706022"/>
    <n v="1672"/>
    <n v="50"/>
    <n v="0"/>
    <s v="U36206"/>
    <s v="L1174/75"/>
    <x v="40"/>
    <m/>
    <m/>
    <m/>
    <n v="0"/>
    <m/>
    <m/>
  </r>
  <r>
    <n v="109"/>
    <x v="1"/>
    <s v="Night"/>
    <x v="0"/>
    <n v="2000706837"/>
    <n v="3200"/>
    <n v="80"/>
    <n v="0"/>
    <s v="U36206"/>
    <s v="L1144/47"/>
    <x v="59"/>
    <m/>
    <m/>
    <m/>
    <n v="0"/>
    <m/>
    <m/>
  </r>
  <r>
    <n v="110"/>
    <x v="1"/>
    <s v="Night"/>
    <x v="0"/>
    <n v="2000706278"/>
    <n v="1120"/>
    <n v="120"/>
    <n v="0"/>
    <s v="U30840"/>
    <s v="L1188/89"/>
    <x v="54"/>
    <m/>
    <m/>
    <m/>
    <n v="0"/>
    <m/>
    <m/>
  </r>
  <r>
    <n v="111"/>
    <x v="1"/>
    <s v="Night"/>
    <x v="0"/>
    <n v="2000705686"/>
    <n v="320"/>
    <n v="40"/>
    <n v="0"/>
    <s v="U30840"/>
    <s v="L1188/89"/>
    <x v="60"/>
    <m/>
    <m/>
    <m/>
    <n v="0"/>
    <m/>
    <m/>
  </r>
  <r>
    <n v="112"/>
    <x v="1"/>
    <s v="Night"/>
    <x v="0"/>
    <n v="2000706277"/>
    <n v="560"/>
    <n v="59"/>
    <n v="0"/>
    <s v="U27723"/>
    <s v="L1188/89"/>
    <x v="43"/>
    <m/>
    <m/>
    <m/>
    <n v="0"/>
    <m/>
    <m/>
  </r>
  <r>
    <n v="113"/>
    <x v="1"/>
    <s v="Night"/>
    <x v="0"/>
    <n v="2000706275"/>
    <n v="688"/>
    <n v="280"/>
    <n v="0"/>
    <s v="U27723"/>
    <s v="L1188/89"/>
    <x v="47"/>
    <m/>
    <m/>
    <m/>
    <n v="0"/>
    <m/>
    <m/>
  </r>
  <r>
    <n v="114"/>
    <x v="1"/>
    <s v="Night"/>
    <x v="0"/>
    <n v="2000706275"/>
    <n v="688"/>
    <n v="88"/>
    <n v="0"/>
    <s v="U27723"/>
    <s v="L1188/89"/>
    <x v="47"/>
    <m/>
    <m/>
    <m/>
    <n v="0"/>
    <m/>
    <m/>
  </r>
  <r>
    <n v="115"/>
    <x v="1"/>
    <s v="Night"/>
    <x v="0"/>
    <n v="2000706277"/>
    <n v="560"/>
    <n v="10"/>
    <n v="0"/>
    <s v="U27723"/>
    <s v="L1188/89"/>
    <x v="43"/>
    <m/>
    <m/>
    <m/>
    <n v="0"/>
    <m/>
    <m/>
  </r>
  <r>
    <n v="116"/>
    <x v="1"/>
    <s v="Night"/>
    <x v="0"/>
    <n v="2000706277"/>
    <n v="560"/>
    <n v="160"/>
    <n v="0"/>
    <s v="U27687"/>
    <s v="L1188/89"/>
    <x v="43"/>
    <m/>
    <m/>
    <m/>
    <n v="0"/>
    <m/>
    <m/>
  </r>
  <r>
    <n v="117"/>
    <x v="1"/>
    <s v="Night"/>
    <x v="0"/>
    <n v="2000706446"/>
    <n v="1800"/>
    <n v="60"/>
    <n v="0"/>
    <s v="U27687"/>
    <s v="L1172/73"/>
    <x v="19"/>
    <m/>
    <m/>
    <m/>
    <n v="0"/>
    <m/>
    <m/>
  </r>
  <r>
    <n v="118"/>
    <x v="1"/>
    <s v="Night"/>
    <x v="0"/>
    <n v="2000706021"/>
    <n v="2100"/>
    <n v="20"/>
    <n v="0"/>
    <s v="U27687"/>
    <s v="L1174/75"/>
    <x v="61"/>
    <m/>
    <m/>
    <m/>
    <n v="0"/>
    <m/>
    <m/>
  </r>
  <r>
    <n v="119"/>
    <x v="1"/>
    <s v="Night"/>
    <x v="0"/>
    <n v="2000706492"/>
    <n v="1050"/>
    <n v="90"/>
    <n v="0"/>
    <s v="U27687"/>
    <s v="L1193/94"/>
    <x v="21"/>
    <m/>
    <m/>
    <m/>
    <n v="0"/>
    <m/>
    <m/>
  </r>
  <r>
    <n v="120"/>
    <x v="1"/>
    <s v="Night"/>
    <x v="0"/>
    <n v="2000706275"/>
    <n v="688"/>
    <n v="120"/>
    <n v="0"/>
    <s v="U27687"/>
    <s v="L1188/89"/>
    <x v="47"/>
    <m/>
    <m/>
    <m/>
    <n v="0"/>
    <m/>
    <m/>
  </r>
  <r>
    <n v="121"/>
    <x v="1"/>
    <s v="Night"/>
    <x v="0"/>
    <n v="2000705686"/>
    <n v="320"/>
    <n v="61"/>
    <n v="0"/>
    <s v="U27687"/>
    <s v="L1188/89"/>
    <x v="60"/>
    <m/>
    <m/>
    <m/>
    <n v="0"/>
    <m/>
    <m/>
  </r>
  <r>
    <n v="122"/>
    <x v="1"/>
    <s v="Night"/>
    <x v="0"/>
    <n v="2000705735"/>
    <n v="2160"/>
    <n v="150"/>
    <n v="0"/>
    <s v="U03968"/>
    <s v="L1193/94"/>
    <x v="30"/>
    <m/>
    <m/>
    <m/>
    <n v="0"/>
    <m/>
    <m/>
  </r>
  <r>
    <n v="123"/>
    <x v="1"/>
    <s v="Night"/>
    <x v="0"/>
    <n v="2000703813"/>
    <n v="2430"/>
    <n v="300"/>
    <n v="0"/>
    <s v="U03968"/>
    <s v="L1172/73"/>
    <x v="7"/>
    <m/>
    <m/>
    <m/>
    <n v="0"/>
    <m/>
    <m/>
  </r>
  <r>
    <n v="124"/>
    <x v="1"/>
    <s v="Night"/>
    <x v="0"/>
    <n v="2000706018"/>
    <n v="2100"/>
    <n v="300"/>
    <n v="0"/>
    <s v="U03968"/>
    <s v="L1174/75"/>
    <x v="62"/>
    <m/>
    <m/>
    <m/>
    <n v="0"/>
    <m/>
    <m/>
  </r>
  <r>
    <n v="125"/>
    <x v="1"/>
    <s v="Night"/>
    <x v="0"/>
    <n v="2000706281"/>
    <n v="2000"/>
    <n v="200"/>
    <n v="0"/>
    <s v="U03968"/>
    <s v="L1077"/>
    <x v="10"/>
    <m/>
    <m/>
    <m/>
    <n v="0"/>
    <m/>
    <m/>
  </r>
  <r>
    <n v="126"/>
    <x v="1"/>
    <s v="Night"/>
    <x v="0"/>
    <n v="2000707299"/>
    <n v="1120"/>
    <n v="200"/>
    <n v="0"/>
    <s v="U03968"/>
    <s v="L1144/47"/>
    <x v="63"/>
    <m/>
    <m/>
    <m/>
    <n v="0"/>
    <m/>
    <m/>
  </r>
  <r>
    <n v="127"/>
    <x v="1"/>
    <s v="Night"/>
    <x v="0"/>
    <n v="2000705520"/>
    <n v="5408"/>
    <n v="200"/>
    <n v="0"/>
    <s v="U03968"/>
    <s v="L1112/13"/>
    <x v="8"/>
    <m/>
    <m/>
    <m/>
    <n v="0"/>
    <m/>
    <m/>
  </r>
  <r>
    <n v="128"/>
    <x v="1"/>
    <s v="Night"/>
    <x v="0"/>
    <n v="2000706283"/>
    <n v="2000"/>
    <n v="200"/>
    <n v="0"/>
    <s v="U03968"/>
    <s v="L1077"/>
    <x v="6"/>
    <m/>
    <m/>
    <m/>
    <n v="0"/>
    <m/>
    <m/>
  </r>
  <r>
    <n v="129"/>
    <x v="1"/>
    <s v="Night"/>
    <x v="0"/>
    <n v="2000707298"/>
    <n v="1120"/>
    <n v="200"/>
    <n v="0"/>
    <s v="U03968"/>
    <s v="L1144/47"/>
    <x v="64"/>
    <m/>
    <m/>
    <m/>
    <n v="0"/>
    <m/>
    <m/>
  </r>
  <r>
    <n v="130"/>
    <x v="1"/>
    <s v="Night"/>
    <x v="0"/>
    <n v="2000705735"/>
    <n v="2160"/>
    <n v="240"/>
    <n v="0"/>
    <s v="U03968"/>
    <s v="L1193/94"/>
    <x v="65"/>
    <m/>
    <m/>
    <m/>
    <n v="0"/>
    <m/>
    <m/>
  </r>
  <r>
    <n v="131"/>
    <x v="1"/>
    <s v="Night"/>
    <x v="0"/>
    <n v="2000706436"/>
    <n v="4020"/>
    <n v="200"/>
    <n v="0"/>
    <s v="U03968"/>
    <s v="L1174/75"/>
    <x v="66"/>
    <m/>
    <m/>
    <m/>
    <n v="0"/>
    <m/>
    <m/>
  </r>
  <r>
    <n v="132"/>
    <x v="1"/>
    <s v="Night"/>
    <x v="1"/>
    <n v="2000706300"/>
    <n v="1020"/>
    <n v="120"/>
    <n v="0"/>
    <s v="U15759"/>
    <s v="SHANKS"/>
    <x v="22"/>
    <m/>
    <m/>
    <m/>
    <n v="0"/>
    <m/>
    <m/>
  </r>
  <r>
    <n v="133"/>
    <x v="1"/>
    <s v="Night"/>
    <x v="1"/>
    <n v="2000706223"/>
    <n v="800"/>
    <n v="150"/>
    <n v="0"/>
    <s v="U15759"/>
    <s v="SHANKS"/>
    <x v="67"/>
    <m/>
    <m/>
    <m/>
    <n v="0"/>
    <m/>
    <m/>
  </r>
  <r>
    <n v="134"/>
    <x v="1"/>
    <s v="Night"/>
    <x v="1"/>
    <n v="2000705983"/>
    <n v="501"/>
    <n v="96"/>
    <n v="0"/>
    <s v="U15759"/>
    <s v="FRANKY"/>
    <x v="51"/>
    <m/>
    <m/>
    <m/>
    <n v="0"/>
    <m/>
    <m/>
  </r>
  <r>
    <n v="135"/>
    <x v="1"/>
    <s v="Night"/>
    <x v="1"/>
    <n v="2000705982"/>
    <n v="96"/>
    <n v="96"/>
    <n v="0"/>
    <s v="U15759"/>
    <s v="SHANKS"/>
    <x v="52"/>
    <m/>
    <m/>
    <m/>
    <n v="0"/>
    <m/>
    <m/>
  </r>
  <r>
    <n v="136"/>
    <x v="1"/>
    <s v="Night"/>
    <x v="1"/>
    <n v="2000705977"/>
    <n v="450"/>
    <n v="40"/>
    <n v="0"/>
    <s v="U15759"/>
    <s v="PSHV"/>
    <x v="26"/>
    <m/>
    <m/>
    <m/>
    <n v="0"/>
    <m/>
    <m/>
  </r>
  <r>
    <n v="137"/>
    <x v="1"/>
    <s v="Night"/>
    <x v="1"/>
    <n v="2000707978"/>
    <n v="500"/>
    <n v="110"/>
    <n v="0"/>
    <s v="U15759"/>
    <s v="PSHV"/>
    <x v="25"/>
    <m/>
    <m/>
    <m/>
    <n v="0"/>
    <m/>
    <m/>
  </r>
  <r>
    <n v="138"/>
    <x v="1"/>
    <s v="Night"/>
    <x v="1"/>
    <n v="2000705994"/>
    <n v="760"/>
    <n v="240"/>
    <n v="0"/>
    <s v="U15759"/>
    <s v="PSHV"/>
    <x v="50"/>
    <m/>
    <m/>
    <m/>
    <n v="0"/>
    <m/>
    <m/>
  </r>
  <r>
    <n v="139"/>
    <x v="2"/>
    <s v="Day"/>
    <x v="0"/>
    <n v="2000706492"/>
    <n v="1050"/>
    <n v="180"/>
    <n v="0"/>
    <s v="U31065"/>
    <s v="L193/94"/>
    <x v="21"/>
    <m/>
    <m/>
    <m/>
    <n v="0"/>
    <m/>
    <m/>
  </r>
  <r>
    <n v="140"/>
    <x v="2"/>
    <s v="Day"/>
    <x v="0"/>
    <n v="2000706916"/>
    <n v="1050"/>
    <n v="150"/>
    <n v="0"/>
    <s v="U31065"/>
    <s v="L193/94"/>
    <x v="21"/>
    <m/>
    <m/>
    <m/>
    <n v="0"/>
    <m/>
    <m/>
  </r>
  <r>
    <n v="141"/>
    <x v="2"/>
    <s v="Day"/>
    <x v="0"/>
    <n v="2000706278"/>
    <n v="1120"/>
    <n v="80"/>
    <n v="0"/>
    <s v="U31065"/>
    <s v="L1188/89"/>
    <x v="54"/>
    <m/>
    <m/>
    <m/>
    <n v="0"/>
    <m/>
    <m/>
  </r>
  <r>
    <n v="142"/>
    <x v="2"/>
    <s v="Day"/>
    <x v="0"/>
    <n v="2000706250"/>
    <n v="2100"/>
    <n v="90"/>
    <n v="0"/>
    <s v="U31065"/>
    <s v="L1172/73"/>
    <x v="18"/>
    <m/>
    <m/>
    <m/>
    <n v="0"/>
    <m/>
    <m/>
  </r>
  <r>
    <n v="143"/>
    <x v="2"/>
    <s v="Day"/>
    <x v="0"/>
    <n v="2000706583"/>
    <n v="3050"/>
    <n v="38"/>
    <n v="0"/>
    <s v="U31065"/>
    <s v="L1209/10"/>
    <x v="44"/>
    <m/>
    <m/>
    <m/>
    <n v="0"/>
    <m/>
    <m/>
  </r>
  <r>
    <n v="144"/>
    <x v="2"/>
    <s v="Day"/>
    <x v="0"/>
    <n v="2000703496"/>
    <n v="1080"/>
    <n v="4"/>
    <n v="0"/>
    <s v="U31065"/>
    <s v="L1209/10"/>
    <x v="68"/>
    <m/>
    <m/>
    <m/>
    <n v="0"/>
    <m/>
    <m/>
  </r>
  <r>
    <n v="145"/>
    <x v="2"/>
    <s v="Day"/>
    <x v="0"/>
    <n v="2000697297"/>
    <n v="1216"/>
    <n v="4"/>
    <n v="0"/>
    <s v="U31065"/>
    <s v="L1209/10"/>
    <x v="69"/>
    <m/>
    <m/>
    <m/>
    <n v="0"/>
    <m/>
    <m/>
  </r>
  <r>
    <n v="146"/>
    <x v="2"/>
    <s v="Day"/>
    <x v="0"/>
    <n v="2000706285"/>
    <n v="2000"/>
    <n v="40"/>
    <n v="0"/>
    <s v="U30425"/>
    <s v="L1077"/>
    <x v="2"/>
    <m/>
    <m/>
    <m/>
    <n v="0"/>
    <m/>
    <m/>
  </r>
  <r>
    <n v="147"/>
    <x v="2"/>
    <s v="Day"/>
    <x v="0"/>
    <n v="2000707067"/>
    <n v="1200"/>
    <n v="80"/>
    <n v="0"/>
    <s v="U30425"/>
    <s v="L1168/69"/>
    <x v="48"/>
    <m/>
    <m/>
    <m/>
    <n v="0"/>
    <m/>
    <m/>
  </r>
  <r>
    <n v="148"/>
    <x v="2"/>
    <s v="Day"/>
    <x v="0"/>
    <n v="2000706622"/>
    <n v="2672"/>
    <n v="120"/>
    <n v="0"/>
    <s v="U30425"/>
    <s v="L1128/29"/>
    <x v="11"/>
    <m/>
    <m/>
    <m/>
    <n v="0"/>
    <m/>
    <m/>
  </r>
  <r>
    <n v="149"/>
    <x v="2"/>
    <s v="Day"/>
    <x v="0"/>
    <n v="2000706620"/>
    <n v="880"/>
    <n v="40"/>
    <n v="0"/>
    <s v="U30425"/>
    <s v="L1172/73"/>
    <x v="19"/>
    <m/>
    <m/>
    <m/>
    <n v="0"/>
    <m/>
    <m/>
  </r>
  <r>
    <n v="150"/>
    <x v="2"/>
    <s v="Day"/>
    <x v="0"/>
    <n v="2000706594"/>
    <n v="117"/>
    <n v="20"/>
    <n v="0"/>
    <s v="U30425"/>
    <s v="L1106"/>
    <x v="70"/>
    <m/>
    <m/>
    <m/>
    <n v="0"/>
    <m/>
    <m/>
  </r>
  <r>
    <n v="151"/>
    <x v="2"/>
    <s v="Day"/>
    <x v="0"/>
    <n v="2000707320"/>
    <n v="822"/>
    <n v="80"/>
    <n v="0"/>
    <s v="U30425"/>
    <s v="L1144/47"/>
    <x v="71"/>
    <m/>
    <m/>
    <m/>
    <n v="0"/>
    <m/>
    <m/>
  </r>
  <r>
    <n v="152"/>
    <x v="2"/>
    <s v="Day"/>
    <x v="0"/>
    <n v="2000706250"/>
    <n v="2100"/>
    <n v="30"/>
    <n v="0"/>
    <s v="U30425"/>
    <s v="L1172/73"/>
    <x v="18"/>
    <m/>
    <m/>
    <m/>
    <n v="0"/>
    <m/>
    <m/>
  </r>
  <r>
    <n v="153"/>
    <x v="2"/>
    <s v="Day"/>
    <x v="0"/>
    <n v="2000705818"/>
    <n v="5424"/>
    <n v="200"/>
    <n v="0"/>
    <s v="U30425"/>
    <s v="L1112/13"/>
    <x v="8"/>
    <m/>
    <m/>
    <m/>
    <n v="0"/>
    <m/>
    <m/>
  </r>
  <r>
    <n v="154"/>
    <x v="2"/>
    <s v="Day"/>
    <x v="0"/>
    <n v="2000706781"/>
    <n v="2000"/>
    <n v="80"/>
    <n v="0"/>
    <s v="U30425"/>
    <s v="L1077"/>
    <x v="2"/>
    <m/>
    <m/>
    <m/>
    <n v="0"/>
    <m/>
    <m/>
  </r>
  <r>
    <n v="155"/>
    <x v="2"/>
    <s v="Day"/>
    <x v="0"/>
    <n v="2000706021"/>
    <n v="2100"/>
    <n v="10"/>
    <n v="0"/>
    <s v="U23987"/>
    <s v="L1174/75"/>
    <x v="61"/>
    <m/>
    <m/>
    <m/>
    <n v="0"/>
    <m/>
    <m/>
  </r>
  <r>
    <n v="156"/>
    <x v="2"/>
    <s v="Day"/>
    <x v="0"/>
    <n v="2000706837"/>
    <n v="3200"/>
    <n v="240"/>
    <n v="0"/>
    <s v="U23987"/>
    <s v="L1144/47"/>
    <x v="59"/>
    <m/>
    <m/>
    <m/>
    <n v="0"/>
    <m/>
    <m/>
  </r>
  <r>
    <n v="157"/>
    <x v="2"/>
    <s v="Day"/>
    <x v="0"/>
    <n v="2000706795"/>
    <n v="2000"/>
    <n v="140"/>
    <n v="0"/>
    <s v="U23987"/>
    <s v="L1174/75"/>
    <x v="61"/>
    <m/>
    <m/>
    <m/>
    <n v="0"/>
    <m/>
    <m/>
  </r>
  <r>
    <n v="158"/>
    <x v="2"/>
    <s v="Day"/>
    <x v="0"/>
    <n v="2000706631"/>
    <n v="2806"/>
    <n v="45"/>
    <n v="0"/>
    <s v="U23987"/>
    <s v="L1209/10"/>
    <x v="55"/>
    <m/>
    <m/>
    <m/>
    <n v="0"/>
    <m/>
    <m/>
  </r>
  <r>
    <n v="159"/>
    <x v="2"/>
    <s v="Day"/>
    <x v="0"/>
    <n v="2000706277"/>
    <n v="560"/>
    <n v="80"/>
    <n v="0"/>
    <s v="U27724"/>
    <s v="L1188/89"/>
    <x v="43"/>
    <m/>
    <m/>
    <m/>
    <n v="0"/>
    <m/>
    <m/>
  </r>
  <r>
    <n v="160"/>
    <x v="2"/>
    <s v="Day"/>
    <x v="0"/>
    <n v="2000706278"/>
    <n v="1120"/>
    <n v="327"/>
    <n v="0"/>
    <s v="U27724"/>
    <s v="L1188/89"/>
    <x v="54"/>
    <m/>
    <m/>
    <m/>
    <n v="0"/>
    <m/>
    <m/>
  </r>
  <r>
    <n v="161"/>
    <x v="2"/>
    <s v="Day"/>
    <x v="0"/>
    <n v="2000706629"/>
    <n v="764"/>
    <n v="40"/>
    <n v="0"/>
    <s v="U27724"/>
    <s v="L1188/89"/>
    <x v="72"/>
    <m/>
    <m/>
    <m/>
    <n v="0"/>
    <m/>
    <m/>
  </r>
  <r>
    <n v="162"/>
    <x v="2"/>
    <s v="Day"/>
    <x v="0"/>
    <n v="2000706630"/>
    <n v="1762"/>
    <n v="260"/>
    <n v="0"/>
    <s v="U27724"/>
    <s v="L1188/89"/>
    <x v="16"/>
    <m/>
    <m/>
    <m/>
    <n v="0"/>
    <m/>
    <m/>
  </r>
  <r>
    <n v="163"/>
    <x v="2"/>
    <s v="Day"/>
    <x v="0"/>
    <n v="2000706278"/>
    <n v="1120"/>
    <n v="312"/>
    <n v="0"/>
    <s v="U09854"/>
    <s v="L1188/89"/>
    <x v="54"/>
    <m/>
    <m/>
    <m/>
    <n v="0"/>
    <m/>
    <m/>
  </r>
  <r>
    <n v="164"/>
    <x v="2"/>
    <s v="Day"/>
    <x v="0"/>
    <n v="2000706631"/>
    <n v="2806"/>
    <n v="180"/>
    <n v="0"/>
    <s v="U09854"/>
    <s v="L1209/10"/>
    <x v="55"/>
    <m/>
    <m/>
    <m/>
    <n v="0"/>
    <m/>
    <m/>
  </r>
  <r>
    <n v="165"/>
    <x v="2"/>
    <s v="Day"/>
    <x v="0"/>
    <n v="2000706629"/>
    <n v="764"/>
    <n v="200"/>
    <n v="0"/>
    <s v="U09854"/>
    <s v="L1188/89"/>
    <x v="72"/>
    <m/>
    <m/>
    <m/>
    <n v="0"/>
    <m/>
    <m/>
  </r>
  <r>
    <n v="166"/>
    <x v="2"/>
    <s v="Day"/>
    <x v="0"/>
    <n v="2000701041"/>
    <n v="360"/>
    <n v="32"/>
    <n v="0"/>
    <s v="U09854"/>
    <s v="L1188/89"/>
    <x v="73"/>
    <m/>
    <m/>
    <m/>
    <n v="0"/>
    <m/>
    <m/>
  </r>
  <r>
    <n v="167"/>
    <x v="2"/>
    <s v="Day"/>
    <x v="0"/>
    <n v="2000706631"/>
    <n v="2806"/>
    <n v="585"/>
    <n v="0"/>
    <s v="U36008"/>
    <s v="L1209/10"/>
    <x v="55"/>
    <m/>
    <m/>
    <m/>
    <n v="0"/>
    <m/>
    <m/>
  </r>
  <r>
    <n v="168"/>
    <x v="2"/>
    <s v="Day"/>
    <x v="0"/>
    <n v="2000707300"/>
    <n v="1120"/>
    <n v="300"/>
    <n v="0"/>
    <s v="U26613"/>
    <s v="L1144/47"/>
    <x v="74"/>
    <m/>
    <m/>
    <m/>
    <n v="0"/>
    <m/>
    <m/>
  </r>
  <r>
    <n v="169"/>
    <x v="2"/>
    <s v="Day"/>
    <x v="0"/>
    <n v="2000706151"/>
    <n v="4230"/>
    <n v="300"/>
    <n v="0"/>
    <s v="U26613"/>
    <s v="T515"/>
    <x v="15"/>
    <m/>
    <m/>
    <m/>
    <n v="0"/>
    <m/>
    <m/>
  </r>
  <r>
    <n v="170"/>
    <x v="2"/>
    <s v="Day"/>
    <x v="0"/>
    <n v="2000706899"/>
    <n v="7830"/>
    <n v="300"/>
    <n v="0"/>
    <s v="U26613"/>
    <s v="L1112/13"/>
    <x v="75"/>
    <m/>
    <m/>
    <m/>
    <n v="0"/>
    <m/>
    <m/>
  </r>
  <r>
    <n v="171"/>
    <x v="2"/>
    <s v="Day"/>
    <x v="0"/>
    <n v="2000706435"/>
    <n v="2100"/>
    <n v="150"/>
    <n v="0"/>
    <s v="U26613"/>
    <s v="L1186"/>
    <x v="76"/>
    <m/>
    <m/>
    <m/>
    <n v="0"/>
    <m/>
    <m/>
  </r>
  <r>
    <n v="172"/>
    <x v="2"/>
    <s v="Day"/>
    <x v="0"/>
    <n v="2000706835"/>
    <n v="3200"/>
    <n v="200"/>
    <n v="0"/>
    <s v="U26613"/>
    <s v="L1144/47"/>
    <x v="77"/>
    <m/>
    <m/>
    <m/>
    <n v="0"/>
    <m/>
    <m/>
  </r>
  <r>
    <n v="173"/>
    <x v="2"/>
    <s v="Day"/>
    <x v="0"/>
    <n v="2000706282"/>
    <n v="2000"/>
    <n v="200"/>
    <n v="0"/>
    <s v="U26613"/>
    <s v="L1077"/>
    <x v="33"/>
    <m/>
    <m/>
    <m/>
    <n v="0"/>
    <m/>
    <m/>
  </r>
  <r>
    <n v="174"/>
    <x v="2"/>
    <s v="Day"/>
    <x v="0"/>
    <n v="2000706834"/>
    <n v="3200"/>
    <n v="200"/>
    <n v="0"/>
    <s v="U26613"/>
    <s v="L1144/47"/>
    <x v="13"/>
    <m/>
    <m/>
    <m/>
    <n v="0"/>
    <m/>
    <m/>
  </r>
  <r>
    <n v="175"/>
    <x v="2"/>
    <s v="Day"/>
    <x v="0"/>
    <n v="2000706793"/>
    <n v="2000"/>
    <n v="400"/>
    <n v="0"/>
    <s v="U26613"/>
    <s v="L1174/75"/>
    <x v="62"/>
    <m/>
    <m/>
    <m/>
    <n v="0"/>
    <m/>
    <m/>
  </r>
  <r>
    <n v="176"/>
    <x v="2"/>
    <s v="Day"/>
    <x v="0"/>
    <n v="2000706836"/>
    <n v="3200"/>
    <n v="150"/>
    <n v="0"/>
    <s v="U26613"/>
    <s v="L1144/47"/>
    <x v="13"/>
    <m/>
    <m/>
    <m/>
    <n v="0"/>
    <m/>
    <m/>
  </r>
  <r>
    <n v="177"/>
    <x v="2"/>
    <s v="Day"/>
    <x v="0"/>
    <n v="2000706758"/>
    <n v="448"/>
    <n v="150"/>
    <n v="0"/>
    <s v="U26613"/>
    <s v="L1144/47"/>
    <x v="78"/>
    <m/>
    <m/>
    <m/>
    <n v="0"/>
    <m/>
    <m/>
  </r>
  <r>
    <n v="178"/>
    <x v="2"/>
    <s v="Day"/>
    <x v="1"/>
    <n v="2000705977"/>
    <n v="450"/>
    <n v="60"/>
    <n v="0"/>
    <s v="U30119"/>
    <s v="PSHV"/>
    <x v="26"/>
    <m/>
    <m/>
    <m/>
    <n v="0"/>
    <m/>
    <m/>
  </r>
  <r>
    <n v="179"/>
    <x v="2"/>
    <s v="Day"/>
    <x v="1"/>
    <n v="2000705979"/>
    <n v="370"/>
    <n v="25"/>
    <n v="0"/>
    <s v="U30119"/>
    <s v="PSLV"/>
    <x v="79"/>
    <m/>
    <m/>
    <m/>
    <n v="0"/>
    <m/>
    <m/>
  </r>
  <r>
    <n v="180"/>
    <x v="2"/>
    <s v="Day"/>
    <x v="1"/>
    <n v="2000705994"/>
    <n v="760"/>
    <n v="207"/>
    <n v="0"/>
    <s v="U30119"/>
    <s v="PSHV"/>
    <x v="50"/>
    <m/>
    <m/>
    <m/>
    <n v="0"/>
    <m/>
    <m/>
  </r>
  <r>
    <n v="181"/>
    <x v="2"/>
    <s v="Day"/>
    <x v="1"/>
    <n v="2000705980"/>
    <n v="600"/>
    <n v="310"/>
    <n v="0"/>
    <s v="U30119"/>
    <s v="PSLV"/>
    <x v="49"/>
    <m/>
    <m/>
    <m/>
    <n v="0"/>
    <m/>
    <m/>
  </r>
  <r>
    <n v="182"/>
    <x v="2"/>
    <s v="Day"/>
    <x v="1"/>
    <n v="2000706610"/>
    <n v="540"/>
    <n v="96"/>
    <n v="0"/>
    <s v="U30119"/>
    <s v="FRANKY"/>
    <x v="51"/>
    <m/>
    <m/>
    <m/>
    <n v="0"/>
    <m/>
    <m/>
  </r>
  <r>
    <n v="183"/>
    <x v="2"/>
    <s v="Day"/>
    <x v="1"/>
    <n v="2000706299"/>
    <n v="300"/>
    <n v="120"/>
    <n v="0"/>
    <s v="U30119"/>
    <s v="PSHV"/>
    <x v="80"/>
    <m/>
    <m/>
    <m/>
    <n v="0"/>
    <m/>
    <m/>
  </r>
  <r>
    <n v="184"/>
    <x v="2"/>
    <s v="Day"/>
    <x v="1"/>
    <n v="2000705981"/>
    <n v="736"/>
    <n v="140"/>
    <n v="0"/>
    <s v="U30119"/>
    <s v="FRANKY"/>
    <x v="81"/>
    <m/>
    <m/>
    <m/>
    <n v="0"/>
    <m/>
    <m/>
  </r>
  <r>
    <n v="185"/>
    <x v="2"/>
    <s v="Day"/>
    <x v="1"/>
    <n v="2000706603"/>
    <n v="180"/>
    <n v="70"/>
    <n v="0"/>
    <s v="U30119"/>
    <s v="PSLV"/>
    <x v="82"/>
    <m/>
    <m/>
    <m/>
    <n v="0"/>
    <m/>
    <m/>
  </r>
  <r>
    <n v="186"/>
    <x v="2"/>
    <s v="Night"/>
    <x v="0"/>
    <n v="2000706630"/>
    <n v="1762"/>
    <n v="40"/>
    <n v="0"/>
    <s v="U27687"/>
    <s v="L1188/89"/>
    <x v="16"/>
    <m/>
    <m/>
    <m/>
    <n v="0"/>
    <m/>
    <m/>
  </r>
  <r>
    <n v="187"/>
    <x v="2"/>
    <s v="Night"/>
    <x v="0"/>
    <n v="2000701041"/>
    <n v="360"/>
    <n v="32"/>
    <n v="0"/>
    <s v="U27687"/>
    <s v="L1188/89"/>
    <x v="73"/>
    <m/>
    <m/>
    <m/>
    <n v="0"/>
    <m/>
    <m/>
  </r>
  <r>
    <n v="188"/>
    <x v="2"/>
    <s v="Night"/>
    <x v="0"/>
    <n v="2000706278"/>
    <n v="1120"/>
    <n v="32"/>
    <n v="0"/>
    <s v="U27687"/>
    <s v="L1188/89"/>
    <x v="54"/>
    <m/>
    <m/>
    <m/>
    <n v="0"/>
    <m/>
    <m/>
  </r>
  <r>
    <n v="189"/>
    <x v="2"/>
    <s v="Night"/>
    <x v="0"/>
    <n v="2000706620"/>
    <n v="880"/>
    <n v="40"/>
    <n v="0"/>
    <s v="U27687"/>
    <s v="L1172/73"/>
    <x v="19"/>
    <m/>
    <m/>
    <m/>
    <n v="0"/>
    <m/>
    <m/>
  </r>
  <r>
    <n v="190"/>
    <x v="2"/>
    <s v="Night"/>
    <x v="0"/>
    <n v="2000706916"/>
    <n v="1050"/>
    <n v="120"/>
    <n v="0"/>
    <s v="U27687"/>
    <s v="L1193/94"/>
    <x v="21"/>
    <m/>
    <m/>
    <m/>
    <n v="0"/>
    <m/>
    <m/>
  </r>
  <r>
    <n v="191"/>
    <x v="2"/>
    <s v="Night"/>
    <x v="0"/>
    <n v="2000706795"/>
    <n v="2000"/>
    <n v="10"/>
    <n v="0"/>
    <s v="U27687"/>
    <s v="L1174/75"/>
    <x v="61"/>
    <m/>
    <m/>
    <m/>
    <n v="0"/>
    <m/>
    <m/>
  </r>
  <r>
    <n v="192"/>
    <x v="2"/>
    <s v="Night"/>
    <x v="0"/>
    <n v="2000707407"/>
    <n v="880"/>
    <n v="20"/>
    <n v="0"/>
    <s v="U27687"/>
    <s v="L1172/73"/>
    <x v="83"/>
    <m/>
    <m/>
    <m/>
    <n v="0"/>
    <m/>
    <m/>
  </r>
  <r>
    <n v="193"/>
    <x v="2"/>
    <s v="Night"/>
    <x v="0"/>
    <n v="2000706632"/>
    <n v="2610"/>
    <n v="45"/>
    <n v="0"/>
    <s v="U27687"/>
    <s v="L1209/10"/>
    <x v="55"/>
    <m/>
    <m/>
    <m/>
    <n v="0"/>
    <m/>
    <m/>
  </r>
  <r>
    <n v="194"/>
    <x v="2"/>
    <s v="Night"/>
    <x v="0"/>
    <n v="2000706629"/>
    <n v="764"/>
    <n v="280"/>
    <n v="0"/>
    <s v="U27723"/>
    <s v="L1188/89"/>
    <x v="72"/>
    <m/>
    <m/>
    <m/>
    <n v="0"/>
    <m/>
    <m/>
  </r>
  <r>
    <n v="195"/>
    <x v="2"/>
    <s v="Night"/>
    <x v="0"/>
    <n v="2000706246"/>
    <n v="3900"/>
    <n v="240"/>
    <n v="0"/>
    <s v="U27723"/>
    <s v="L1168/69"/>
    <x v="37"/>
    <m/>
    <m/>
    <m/>
    <n v="0"/>
    <m/>
    <m/>
  </r>
  <r>
    <n v="196"/>
    <x v="2"/>
    <s v="Night"/>
    <x v="0"/>
    <n v="2000706630"/>
    <n v="1762"/>
    <n v="180"/>
    <n v="0"/>
    <s v="U27723"/>
    <s v="L1188/89"/>
    <x v="16"/>
    <m/>
    <m/>
    <m/>
    <n v="0"/>
    <m/>
    <m/>
  </r>
  <r>
    <n v="197"/>
    <x v="2"/>
    <s v="Night"/>
    <x v="0"/>
    <n v="2000706631"/>
    <n v="2806"/>
    <n v="511"/>
    <n v="0"/>
    <s v="U18660"/>
    <s v="L1188/89"/>
    <x v="55"/>
    <m/>
    <m/>
    <m/>
    <n v="0"/>
    <m/>
    <m/>
  </r>
  <r>
    <n v="198"/>
    <x v="2"/>
    <s v="Night"/>
    <x v="0"/>
    <n v="2000706630"/>
    <n v="1762"/>
    <n v="120"/>
    <n v="0"/>
    <s v="U18660"/>
    <s v="L1188/89"/>
    <x v="16"/>
    <m/>
    <m/>
    <m/>
    <n v="0"/>
    <m/>
    <m/>
  </r>
  <r>
    <n v="199"/>
    <x v="2"/>
    <s v="Night"/>
    <x v="0"/>
    <n v="2000706629"/>
    <n v="764"/>
    <n v="80"/>
    <n v="0"/>
    <s v="U18660"/>
    <s v="L1188/89"/>
    <x v="72"/>
    <m/>
    <m/>
    <m/>
    <n v="0"/>
    <m/>
    <m/>
  </r>
  <r>
    <n v="200"/>
    <x v="2"/>
    <s v="Night"/>
    <x v="0"/>
    <n v="2000706632"/>
    <n v="2610"/>
    <n v="135"/>
    <n v="0"/>
    <s v="U18660"/>
    <s v="L1209/10"/>
    <x v="55"/>
    <m/>
    <m/>
    <m/>
    <n v="0"/>
    <m/>
    <m/>
  </r>
  <r>
    <n v="201"/>
    <x v="2"/>
    <s v="Night"/>
    <x v="0"/>
    <n v="2000706630"/>
    <n v="1762"/>
    <n v="400"/>
    <n v="0"/>
    <s v="U30840"/>
    <s v="L1188/89"/>
    <x v="16"/>
    <m/>
    <m/>
    <m/>
    <n v="0"/>
    <m/>
    <m/>
  </r>
  <r>
    <n v="202"/>
    <x v="2"/>
    <s v="Night"/>
    <x v="0"/>
    <n v="2000703702"/>
    <n v="720"/>
    <n v="10"/>
    <n v="0"/>
    <s v="U29686"/>
    <s v="L1188/89"/>
    <x v="84"/>
    <m/>
    <m/>
    <m/>
    <n v="0"/>
    <m/>
    <m/>
  </r>
  <r>
    <n v="203"/>
    <x v="2"/>
    <s v="Night"/>
    <x v="0"/>
    <n v="2000706631"/>
    <n v="2806"/>
    <n v="495"/>
    <n v="0"/>
    <s v="U29686"/>
    <s v="L1209/10"/>
    <x v="55"/>
    <m/>
    <m/>
    <m/>
    <n v="0"/>
    <m/>
    <m/>
  </r>
  <r>
    <n v="204"/>
    <x v="2"/>
    <s v="Night"/>
    <x v="0"/>
    <n v="2000706632"/>
    <n v="2610"/>
    <n v="180"/>
    <n v="0"/>
    <s v="U29686"/>
    <s v="L1209/10"/>
    <x v="55"/>
    <m/>
    <m/>
    <m/>
    <n v="0"/>
    <m/>
    <m/>
  </r>
  <r>
    <n v="205"/>
    <x v="2"/>
    <s v="Night"/>
    <x v="0"/>
    <n v="2000705735"/>
    <n v="2160"/>
    <n v="240"/>
    <n v="0"/>
    <s v="U03968"/>
    <s v="L1193/94"/>
    <x v="30"/>
    <m/>
    <m/>
    <m/>
    <n v="0"/>
    <m/>
    <m/>
  </r>
  <r>
    <n v="206"/>
    <x v="2"/>
    <s v="Night"/>
    <x v="0"/>
    <n v="2000706835"/>
    <n v="3200"/>
    <n v="200"/>
    <n v="0"/>
    <s v="U03968"/>
    <s v="L1144/47"/>
    <x v="77"/>
    <m/>
    <m/>
    <m/>
    <n v="0"/>
    <m/>
    <m/>
  </r>
  <r>
    <n v="207"/>
    <x v="2"/>
    <s v="Night"/>
    <x v="0"/>
    <n v="2000706899"/>
    <n v="7830"/>
    <n v="300"/>
    <n v="0"/>
    <s v="U03968"/>
    <s v="L1112/13"/>
    <x v="75"/>
    <m/>
    <m/>
    <m/>
    <n v="0"/>
    <m/>
    <m/>
  </r>
  <r>
    <n v="208"/>
    <x v="2"/>
    <s v="Night"/>
    <x v="0"/>
    <n v="2000706760"/>
    <n v="1720"/>
    <n v="200"/>
    <n v="0"/>
    <s v="U03968"/>
    <s v="L1151/52"/>
    <x v="85"/>
    <m/>
    <m/>
    <m/>
    <n v="0"/>
    <m/>
    <m/>
  </r>
  <r>
    <n v="209"/>
    <x v="2"/>
    <s v="Night"/>
    <x v="0"/>
    <n v="2000706020"/>
    <n v="1672"/>
    <n v="400"/>
    <n v="0"/>
    <s v="U03968"/>
    <s v="L1174/75"/>
    <x v="62"/>
    <m/>
    <m/>
    <m/>
    <n v="0"/>
    <m/>
    <m/>
  </r>
  <r>
    <n v="210"/>
    <x v="2"/>
    <s v="Night"/>
    <x v="0"/>
    <n v="2000706836"/>
    <n v="3200"/>
    <n v="300"/>
    <n v="0"/>
    <s v="U03968"/>
    <s v="L1144/47"/>
    <x v="13"/>
    <m/>
    <m/>
    <m/>
    <n v="0"/>
    <m/>
    <m/>
  </r>
  <r>
    <n v="211"/>
    <x v="2"/>
    <s v="Night"/>
    <x v="0"/>
    <n v="2000705367"/>
    <n v="560"/>
    <n v="80"/>
    <n v="0"/>
    <s v="U03968"/>
    <s v="L1144/47"/>
    <x v="86"/>
    <m/>
    <m/>
    <m/>
    <n v="0"/>
    <m/>
    <m/>
  </r>
  <r>
    <n v="212"/>
    <x v="2"/>
    <s v="Night"/>
    <x v="0"/>
    <n v="2000705735"/>
    <n v="2160"/>
    <n v="240"/>
    <n v="0"/>
    <s v="U03968"/>
    <s v="L1193/94"/>
    <x v="87"/>
    <m/>
    <m/>
    <m/>
    <n v="0"/>
    <m/>
    <m/>
  </r>
  <r>
    <n v="213"/>
    <x v="2"/>
    <s v="Night"/>
    <x v="0"/>
    <n v="2000706777"/>
    <n v="2000"/>
    <n v="200"/>
    <n v="0"/>
    <s v="U03968"/>
    <s v="L1077"/>
    <x v="10"/>
    <m/>
    <m/>
    <m/>
    <n v="0"/>
    <m/>
    <m/>
  </r>
  <r>
    <n v="214"/>
    <x v="2"/>
    <s v="Night"/>
    <x v="0"/>
    <n v="2000706916"/>
    <n v="1050"/>
    <n v="360"/>
    <n v="1"/>
    <s v="U32991"/>
    <s v="L1193/94"/>
    <x v="21"/>
    <s v="Thừa linh kiện"/>
    <m/>
    <s v="J421"/>
    <n v="1"/>
    <s v="\\vn-file\QC Department\4.OQC\00. OQC Performance\03. Images\01. NG\20210106-NG-0615706916.jpg"/>
    <s v="\\vn-file\QC Department\4.OQC\00. OQC Performance\03. Images\02. OK\20210106-OK-0615706916.jpg"/>
  </r>
  <r>
    <n v="215"/>
    <x v="2"/>
    <s v="Night"/>
    <x v="0"/>
    <n v="2000706795"/>
    <n v="2000"/>
    <n v="20"/>
    <n v="0"/>
    <s v="U32991"/>
    <s v="L1174/75"/>
    <x v="61"/>
    <m/>
    <m/>
    <m/>
    <n v="0"/>
    <m/>
    <m/>
  </r>
  <r>
    <n v="216"/>
    <x v="2"/>
    <s v="Night"/>
    <x v="0"/>
    <n v="2000706781"/>
    <n v="2000"/>
    <n v="100"/>
    <n v="0"/>
    <s v="U36206"/>
    <s v="L1077"/>
    <x v="2"/>
    <m/>
    <m/>
    <m/>
    <n v="0"/>
    <m/>
    <m/>
  </r>
  <r>
    <n v="217"/>
    <x v="2"/>
    <s v="Night"/>
    <x v="0"/>
    <n v="2000706897"/>
    <n v="400"/>
    <n v="100"/>
    <n v="0"/>
    <s v="U36206"/>
    <s v="L1144/47"/>
    <x v="88"/>
    <m/>
    <m/>
    <m/>
    <n v="0"/>
    <m/>
    <m/>
  </r>
  <r>
    <n v="218"/>
    <x v="2"/>
    <s v="Night"/>
    <x v="0"/>
    <n v="2000706795"/>
    <n v="2000"/>
    <n v="20"/>
    <n v="0"/>
    <s v="U36206"/>
    <s v="L1174/75"/>
    <x v="61"/>
    <m/>
    <m/>
    <m/>
    <n v="0"/>
    <m/>
    <m/>
  </r>
  <r>
    <n v="219"/>
    <x v="2"/>
    <s v="Night"/>
    <x v="0"/>
    <n v="2000706796"/>
    <n v="1700"/>
    <n v="160"/>
    <n v="0"/>
    <s v="U36206"/>
    <s v="L1174/75"/>
    <x v="3"/>
    <m/>
    <m/>
    <m/>
    <n v="0"/>
    <m/>
    <m/>
  </r>
  <r>
    <n v="220"/>
    <x v="2"/>
    <s v="Night"/>
    <x v="0"/>
    <n v="2000707321"/>
    <n v="560"/>
    <n v="140"/>
    <n v="0"/>
    <s v="U36206"/>
    <s v="L1144/47"/>
    <x v="89"/>
    <m/>
    <m/>
    <m/>
    <n v="0"/>
    <m/>
    <m/>
  </r>
  <r>
    <n v="221"/>
    <x v="2"/>
    <s v="Night"/>
    <x v="0"/>
    <n v="2000706837"/>
    <n v="3200"/>
    <n v="80"/>
    <n v="0"/>
    <s v="U36206"/>
    <s v="L1144/47"/>
    <x v="59"/>
    <m/>
    <m/>
    <m/>
    <n v="0"/>
    <m/>
    <m/>
  </r>
  <r>
    <n v="222"/>
    <x v="2"/>
    <s v="Night"/>
    <x v="1"/>
    <n v="2000706301"/>
    <n v="650"/>
    <n v="175"/>
    <n v="0"/>
    <s v="U15759"/>
    <s v="SHANKS"/>
    <x v="24"/>
    <m/>
    <m/>
    <m/>
    <n v="0"/>
    <m/>
    <m/>
  </r>
  <r>
    <n v="223"/>
    <x v="2"/>
    <s v="Night"/>
    <x v="1"/>
    <n v="2000705981"/>
    <n v="736"/>
    <n v="140"/>
    <n v="0"/>
    <s v="U15759"/>
    <s v="FRANKY"/>
    <x v="81"/>
    <m/>
    <m/>
    <m/>
    <n v="0"/>
    <m/>
    <m/>
  </r>
  <r>
    <n v="224"/>
    <x v="2"/>
    <s v="Night"/>
    <x v="1"/>
    <n v="2000706610"/>
    <n v="540"/>
    <n v="96"/>
    <n v="0"/>
    <s v="U15759"/>
    <s v="FRANKY"/>
    <x v="51"/>
    <m/>
    <m/>
    <m/>
    <n v="0"/>
    <m/>
    <m/>
  </r>
  <r>
    <n v="225"/>
    <x v="2"/>
    <s v="Night"/>
    <x v="1"/>
    <n v="2000706605"/>
    <n v="445"/>
    <n v="120"/>
    <n v="0"/>
    <s v="U15759"/>
    <s v="PSLV"/>
    <x v="23"/>
    <m/>
    <m/>
    <m/>
    <n v="0"/>
    <m/>
    <m/>
  </r>
  <r>
    <n v="226"/>
    <x v="2"/>
    <s v="Night"/>
    <x v="1"/>
    <n v="2000706606"/>
    <n v="600"/>
    <n v="130"/>
    <n v="0"/>
    <s v="U15759"/>
    <s v="PSLV"/>
    <x v="90"/>
    <m/>
    <m/>
    <m/>
    <n v="0"/>
    <m/>
    <m/>
  </r>
  <r>
    <n v="227"/>
    <x v="2"/>
    <s v="Night"/>
    <x v="1"/>
    <n v="2000706302"/>
    <n v="510"/>
    <n v="120"/>
    <n v="0"/>
    <s v="U15759"/>
    <s v="PSHV"/>
    <x v="25"/>
    <m/>
    <m/>
    <m/>
    <n v="0"/>
    <m/>
    <m/>
  </r>
  <r>
    <n v="228"/>
    <x v="2"/>
    <s v="Night"/>
    <x v="1"/>
    <n v="2000705157"/>
    <n v="223"/>
    <n v="30"/>
    <n v="0"/>
    <s v="U15759"/>
    <s v="PSLV"/>
    <x v="91"/>
    <m/>
    <m/>
    <m/>
    <n v="0"/>
    <m/>
    <m/>
  </r>
  <r>
    <n v="229"/>
    <x v="3"/>
    <s v="Day"/>
    <x v="0"/>
    <n v="2000706780"/>
    <n v="2000"/>
    <n v="200"/>
    <n v="0"/>
    <s v="U26613"/>
    <s v="L1077"/>
    <x v="36"/>
    <m/>
    <m/>
    <m/>
    <n v="0"/>
    <m/>
    <m/>
  </r>
  <r>
    <n v="230"/>
    <x v="3"/>
    <s v="Day"/>
    <x v="0"/>
    <n v="2000706760"/>
    <n v="1720"/>
    <n v="480"/>
    <n v="0"/>
    <s v="U26613"/>
    <s v="L1151/52"/>
    <x v="85"/>
    <m/>
    <m/>
    <m/>
    <n v="0"/>
    <m/>
    <m/>
  </r>
  <r>
    <n v="231"/>
    <x v="3"/>
    <s v="Day"/>
    <x v="0"/>
    <n v="2000707194"/>
    <n v="7860"/>
    <n v="300"/>
    <n v="0"/>
    <s v="U26613"/>
    <s v="L1112/13"/>
    <x v="75"/>
    <m/>
    <m/>
    <m/>
    <n v="0"/>
    <m/>
    <m/>
  </r>
  <r>
    <n v="232"/>
    <x v="3"/>
    <s v="Day"/>
    <x v="0"/>
    <n v="2000707930"/>
    <n v="2400"/>
    <n v="200"/>
    <n v="0"/>
    <s v="U26613"/>
    <s v="L1144/47"/>
    <x v="77"/>
    <m/>
    <m/>
    <m/>
    <n v="0"/>
    <m/>
    <m/>
  </r>
  <r>
    <n v="233"/>
    <x v="3"/>
    <s v="Day"/>
    <x v="0"/>
    <n v="2000706778"/>
    <n v="2000"/>
    <n v="200"/>
    <n v="0"/>
    <s v="U26613"/>
    <s v="L1077"/>
    <x v="33"/>
    <m/>
    <m/>
    <m/>
    <n v="0"/>
    <m/>
    <m/>
  </r>
  <r>
    <n v="234"/>
    <x v="3"/>
    <s v="Day"/>
    <x v="0"/>
    <n v="2000706794"/>
    <n v="1700"/>
    <n v="400"/>
    <n v="0"/>
    <s v="U26613"/>
    <s v="L1174/75"/>
    <x v="62"/>
    <m/>
    <m/>
    <m/>
    <n v="0"/>
    <m/>
    <m/>
  </r>
  <r>
    <n v="235"/>
    <x v="3"/>
    <s v="Day"/>
    <x v="0"/>
    <n v="2000707929"/>
    <n v="2400"/>
    <n v="200"/>
    <n v="0"/>
    <s v="U26613"/>
    <s v="L1144/47"/>
    <x v="92"/>
    <m/>
    <m/>
    <m/>
    <n v="0"/>
    <m/>
    <m/>
  </r>
  <r>
    <n v="236"/>
    <x v="3"/>
    <s v="Day"/>
    <x v="0"/>
    <n v="2000705735"/>
    <n v="2160"/>
    <n v="110"/>
    <n v="0"/>
    <s v="U26613"/>
    <s v="L1193/94"/>
    <x v="30"/>
    <m/>
    <m/>
    <m/>
    <n v="0"/>
    <m/>
    <m/>
  </r>
  <r>
    <n v="237"/>
    <x v="3"/>
    <s v="Day"/>
    <x v="0"/>
    <n v="2000706632"/>
    <n v="2610"/>
    <n v="495"/>
    <n v="0"/>
    <s v="U36008"/>
    <s v="L1209/10"/>
    <x v="55"/>
    <m/>
    <m/>
    <m/>
    <n v="0"/>
    <m/>
    <m/>
  </r>
  <r>
    <n v="238"/>
    <x v="3"/>
    <s v="Day"/>
    <x v="0"/>
    <n v="2000706631"/>
    <n v="2806"/>
    <n v="135"/>
    <n v="0"/>
    <s v="U36008"/>
    <s v="L1209/10"/>
    <x v="55"/>
    <m/>
    <m/>
    <m/>
    <n v="0"/>
    <m/>
    <m/>
  </r>
  <r>
    <n v="239"/>
    <x v="3"/>
    <s v="Day"/>
    <x v="0"/>
    <n v="2000706583"/>
    <n v="3050"/>
    <n v="30"/>
    <n v="0"/>
    <s v="U36008"/>
    <s v="L1209/10"/>
    <x v="44"/>
    <m/>
    <m/>
    <m/>
    <n v="0"/>
    <m/>
    <m/>
  </r>
  <r>
    <n v="240"/>
    <x v="3"/>
    <s v="Day"/>
    <x v="0"/>
    <n v="2000706916"/>
    <n v="1050"/>
    <n v="150"/>
    <n v="0"/>
    <s v="U31065"/>
    <s v="L1193/94"/>
    <x v="21"/>
    <m/>
    <m/>
    <m/>
    <n v="0"/>
    <m/>
    <m/>
  </r>
  <r>
    <n v="241"/>
    <x v="3"/>
    <s v="Day"/>
    <x v="0"/>
    <n v="2000707785"/>
    <n v="630"/>
    <n v="300"/>
    <n v="0"/>
    <s v="U31065"/>
    <s v="L1193/94"/>
    <x v="21"/>
    <m/>
    <m/>
    <m/>
    <n v="0"/>
    <m/>
    <m/>
  </r>
  <r>
    <n v="242"/>
    <x v="3"/>
    <s v="Day"/>
    <x v="0"/>
    <n v="2000706632"/>
    <n v="2610"/>
    <n v="90"/>
    <n v="0"/>
    <s v="U31065"/>
    <s v="L1209/10"/>
    <x v="55"/>
    <m/>
    <m/>
    <m/>
    <n v="0"/>
    <m/>
    <m/>
  </r>
  <r>
    <n v="243"/>
    <x v="3"/>
    <s v="Day"/>
    <x v="0"/>
    <n v="2000706631"/>
    <n v="2806"/>
    <n v="90"/>
    <n v="0"/>
    <s v="U23987"/>
    <s v="L1209/10"/>
    <x v="55"/>
    <m/>
    <m/>
    <m/>
    <n v="0"/>
    <m/>
    <m/>
  </r>
  <r>
    <n v="244"/>
    <x v="3"/>
    <s v="Day"/>
    <x v="0"/>
    <n v="2000706632"/>
    <n v="2610"/>
    <n v="585"/>
    <n v="0"/>
    <s v="U23987"/>
    <s v="L1209/10"/>
    <x v="55"/>
    <m/>
    <m/>
    <m/>
    <n v="0"/>
    <m/>
    <m/>
  </r>
  <r>
    <n v="245"/>
    <x v="3"/>
    <s v="Day"/>
    <x v="0"/>
    <n v="2000707192"/>
    <n v="1700"/>
    <n v="40"/>
    <n v="0"/>
    <s v="U23987"/>
    <s v="L1174/75"/>
    <x v="3"/>
    <m/>
    <m/>
    <m/>
    <n v="0"/>
    <m/>
    <m/>
  </r>
  <r>
    <n v="246"/>
    <x v="3"/>
    <s v="Day"/>
    <x v="0"/>
    <n v="2000707943"/>
    <n v="340"/>
    <n v="80"/>
    <n v="0"/>
    <s v="U30425"/>
    <s v="L1144/47"/>
    <x v="39"/>
    <m/>
    <m/>
    <m/>
    <n v="0"/>
    <m/>
    <m/>
  </r>
  <r>
    <n v="247"/>
    <x v="3"/>
    <s v="Day"/>
    <x v="0"/>
    <n v="2000707407"/>
    <n v="880"/>
    <n v="60"/>
    <n v="0"/>
    <s v="U30425"/>
    <s v="L1172/73"/>
    <x v="83"/>
    <m/>
    <m/>
    <m/>
    <n v="0"/>
    <m/>
    <m/>
  </r>
  <r>
    <n v="248"/>
    <x v="3"/>
    <s v="Day"/>
    <x v="0"/>
    <n v="2000707073"/>
    <n v="1200"/>
    <n v="80"/>
    <n v="0"/>
    <s v="U30425"/>
    <s v="L1168/69"/>
    <x v="93"/>
    <m/>
    <m/>
    <m/>
    <n v="0"/>
    <m/>
    <m/>
  </r>
  <r>
    <n v="249"/>
    <x v="3"/>
    <s v="Day"/>
    <x v="0"/>
    <n v="2000706849"/>
    <n v="20"/>
    <n v="20"/>
    <n v="0"/>
    <s v="U30425"/>
    <s v="T541"/>
    <x v="94"/>
    <m/>
    <m/>
    <m/>
    <n v="0"/>
    <m/>
    <m/>
  </r>
  <r>
    <n v="250"/>
    <x v="3"/>
    <s v="Day"/>
    <x v="0"/>
    <n v="2000707509"/>
    <n v="200"/>
    <n v="20"/>
    <n v="0"/>
    <s v="U30425"/>
    <s v="L1144/47"/>
    <x v="88"/>
    <m/>
    <m/>
    <m/>
    <n v="0"/>
    <m/>
    <m/>
  </r>
  <r>
    <n v="251"/>
    <x v="3"/>
    <s v="Day"/>
    <x v="0"/>
    <n v="2000707083"/>
    <n v="1300"/>
    <n v="120"/>
    <n v="0"/>
    <s v="U30425"/>
    <s v="L1172/73"/>
    <x v="18"/>
    <m/>
    <m/>
    <m/>
    <n v="0"/>
    <m/>
    <m/>
  </r>
  <r>
    <n v="252"/>
    <x v="3"/>
    <s v="Day"/>
    <x v="0"/>
    <n v="2000707508"/>
    <n v="180"/>
    <n v="20"/>
    <n v="0"/>
    <s v="U30425"/>
    <s v="L1144/47"/>
    <x v="58"/>
    <m/>
    <m/>
    <m/>
    <n v="0"/>
    <m/>
    <m/>
  </r>
  <r>
    <n v="253"/>
    <x v="3"/>
    <s v="Day"/>
    <x v="0"/>
    <n v="2000707059"/>
    <n v="2565"/>
    <n v="80"/>
    <n v="0"/>
    <s v="U30425"/>
    <s v="L1128/29"/>
    <x v="11"/>
    <m/>
    <m/>
    <m/>
    <n v="0"/>
    <m/>
    <m/>
  </r>
  <r>
    <n v="254"/>
    <x v="3"/>
    <s v="Day"/>
    <x v="0"/>
    <n v="2000707942"/>
    <n v="280"/>
    <n v="20"/>
    <n v="0"/>
    <s v="U30425"/>
    <s v="L1144/47"/>
    <x v="57"/>
    <m/>
    <m/>
    <m/>
    <n v="0"/>
    <m/>
    <m/>
  </r>
  <r>
    <n v="255"/>
    <x v="3"/>
    <s v="Day"/>
    <x v="0"/>
    <n v="2000707932"/>
    <n v="2400"/>
    <n v="80"/>
    <n v="0"/>
    <s v="U30425"/>
    <s v="L1144/47"/>
    <x v="59"/>
    <m/>
    <m/>
    <m/>
    <n v="0"/>
    <m/>
    <m/>
  </r>
  <r>
    <n v="256"/>
    <x v="3"/>
    <s v="Day"/>
    <x v="0"/>
    <n v="2000706630"/>
    <n v="1762"/>
    <n v="340"/>
    <n v="0"/>
    <s v="U09854"/>
    <s v="L1188/89"/>
    <x v="16"/>
    <m/>
    <m/>
    <m/>
    <n v="0"/>
    <m/>
    <m/>
  </r>
  <r>
    <n v="257"/>
    <x v="3"/>
    <s v="Day"/>
    <x v="0"/>
    <n v="2000706629"/>
    <n v="765"/>
    <n v="162"/>
    <n v="0"/>
    <s v="U09854"/>
    <s v="L1188/89"/>
    <x v="72"/>
    <m/>
    <m/>
    <m/>
    <n v="0"/>
    <m/>
    <m/>
  </r>
  <r>
    <n v="258"/>
    <x v="3"/>
    <s v="Day"/>
    <x v="0"/>
    <n v="2000706632"/>
    <n v="2610"/>
    <n v="90"/>
    <n v="0"/>
    <s v="U09854"/>
    <s v="L1209/10"/>
    <x v="55"/>
    <m/>
    <m/>
    <m/>
    <n v="0"/>
    <m/>
    <m/>
  </r>
  <r>
    <n v="259"/>
    <x v="3"/>
    <s v="Day"/>
    <x v="0"/>
    <n v="2000706645"/>
    <n v="1032"/>
    <n v="160"/>
    <n v="0"/>
    <s v="U09854"/>
    <s v="L1188/89"/>
    <x v="54"/>
    <m/>
    <m/>
    <m/>
    <n v="0"/>
    <m/>
    <m/>
  </r>
  <r>
    <n v="260"/>
    <x v="3"/>
    <s v="Day"/>
    <x v="0"/>
    <n v="2000706632"/>
    <n v="2610"/>
    <n v="90"/>
    <n v="0"/>
    <s v="U09749"/>
    <s v="L1209/10"/>
    <x v="55"/>
    <m/>
    <m/>
    <m/>
    <n v="0"/>
    <m/>
    <m/>
  </r>
  <r>
    <n v="261"/>
    <x v="3"/>
    <s v="Day"/>
    <x v="0"/>
    <n v="2000706630"/>
    <n v="1762"/>
    <n v="441"/>
    <n v="0"/>
    <s v="U27724"/>
    <s v="L1188/89"/>
    <x v="16"/>
    <m/>
    <m/>
    <m/>
    <n v="0"/>
    <m/>
    <m/>
  </r>
  <r>
    <n v="262"/>
    <x v="3"/>
    <s v="Day"/>
    <x v="0"/>
    <n v="2000707221"/>
    <n v="240"/>
    <n v="230"/>
    <n v="0"/>
    <s v="U27724"/>
    <s v="L1188/89"/>
    <x v="47"/>
    <m/>
    <m/>
    <m/>
    <n v="0"/>
    <m/>
    <m/>
  </r>
  <r>
    <n v="263"/>
    <x v="3"/>
    <s v="Day"/>
    <x v="0"/>
    <n v="2000704132"/>
    <n v="480"/>
    <n v="10"/>
    <n v="0"/>
    <s v="U27724"/>
    <s v="L1188/89"/>
    <x v="47"/>
    <m/>
    <m/>
    <m/>
    <n v="0"/>
    <m/>
    <m/>
  </r>
  <r>
    <n v="264"/>
    <x v="3"/>
    <s v="Day"/>
    <x v="0"/>
    <n v="2000689785"/>
    <n v="640"/>
    <n v="1"/>
    <n v="0"/>
    <s v="U27724"/>
    <s v="L1188/89"/>
    <x v="95"/>
    <m/>
    <m/>
    <m/>
    <n v="0"/>
    <m/>
    <m/>
  </r>
  <r>
    <n v="265"/>
    <x v="3"/>
    <s v="Day"/>
    <x v="0"/>
    <n v="2000705684"/>
    <n v="392"/>
    <n v="3"/>
    <n v="0"/>
    <s v="U27724"/>
    <s v="L1188/89"/>
    <x v="95"/>
    <m/>
    <m/>
    <m/>
    <n v="0"/>
    <m/>
    <m/>
  </r>
  <r>
    <n v="266"/>
    <x v="3"/>
    <s v="Day"/>
    <x v="0"/>
    <n v="2000706278"/>
    <n v="1120"/>
    <n v="6"/>
    <n v="0"/>
    <s v="U27724"/>
    <s v="L1188/89"/>
    <x v="54"/>
    <m/>
    <m/>
    <m/>
    <n v="0"/>
    <m/>
    <m/>
  </r>
  <r>
    <n v="267"/>
    <x v="3"/>
    <s v="Day"/>
    <x v="0"/>
    <n v="2000706645"/>
    <n v="1032"/>
    <n v="80"/>
    <n v="0"/>
    <s v="U27724"/>
    <s v="L1188/89"/>
    <x v="54"/>
    <m/>
    <m/>
    <m/>
    <n v="0"/>
    <m/>
    <m/>
  </r>
  <r>
    <n v="268"/>
    <x v="3"/>
    <s v="Day"/>
    <x v="1"/>
    <n v="2000705157"/>
    <n v="223"/>
    <n v="193"/>
    <n v="0"/>
    <s v="U30119"/>
    <s v="PSLV"/>
    <x v="91"/>
    <m/>
    <m/>
    <m/>
    <n v="0"/>
    <m/>
    <m/>
  </r>
  <r>
    <n v="269"/>
    <x v="3"/>
    <s v="Day"/>
    <x v="1"/>
    <n v="2000706609"/>
    <n v="650"/>
    <n v="140"/>
    <n v="0"/>
    <s v="U30119"/>
    <s v="SHANKS"/>
    <x v="24"/>
    <m/>
    <m/>
    <m/>
    <n v="0"/>
    <m/>
    <m/>
  </r>
  <r>
    <n v="270"/>
    <x v="3"/>
    <s v="Day"/>
    <x v="1"/>
    <n v="2000707979"/>
    <n v="370"/>
    <n v="90"/>
    <n v="0"/>
    <s v="U30119"/>
    <s v="PSLV"/>
    <x v="79"/>
    <m/>
    <m/>
    <m/>
    <n v="0"/>
    <m/>
    <m/>
  </r>
  <r>
    <n v="271"/>
    <x v="3"/>
    <s v="Day"/>
    <x v="1"/>
    <n v="2000706297"/>
    <n v="450"/>
    <n v="140"/>
    <n v="0"/>
    <s v="U30119"/>
    <s v="PSHV"/>
    <x v="26"/>
    <m/>
    <m/>
    <m/>
    <n v="0"/>
    <m/>
    <m/>
  </r>
  <r>
    <n v="272"/>
    <x v="3"/>
    <s v="Day"/>
    <x v="1"/>
    <n v="2000706298"/>
    <n v="315"/>
    <n v="110"/>
    <n v="0"/>
    <s v="U30119"/>
    <s v="PSHV"/>
    <x v="96"/>
    <m/>
    <m/>
    <m/>
    <n v="0"/>
    <m/>
    <m/>
  </r>
  <r>
    <n v="273"/>
    <x v="3"/>
    <s v="Day"/>
    <x v="1"/>
    <n v="2000706605"/>
    <n v="445"/>
    <n v="150"/>
    <n v="0"/>
    <s v="U30119"/>
    <s v="PSLV"/>
    <x v="23"/>
    <m/>
    <m/>
    <m/>
    <n v="0"/>
    <m/>
    <m/>
  </r>
  <r>
    <n v="274"/>
    <x v="3"/>
    <s v="Day"/>
    <x v="1"/>
    <n v="2000706607"/>
    <n v="800"/>
    <n v="150"/>
    <n v="0"/>
    <s v="U30119"/>
    <s v="SHANKS"/>
    <x v="67"/>
    <m/>
    <m/>
    <m/>
    <n v="0"/>
    <m/>
    <m/>
  </r>
  <r>
    <n v="275"/>
    <x v="3"/>
    <s v="Night"/>
    <x v="0"/>
    <n v="2000705735"/>
    <n v="2160"/>
    <n v="130"/>
    <n v="0"/>
    <s v="U03968"/>
    <s v="L1193/94"/>
    <x v="30"/>
    <m/>
    <m/>
    <m/>
    <n v="0"/>
    <m/>
    <m/>
  </r>
  <r>
    <n v="276"/>
    <x v="3"/>
    <s v="Night"/>
    <x v="0"/>
    <n v="2000707931"/>
    <n v="2400"/>
    <n v="300"/>
    <n v="0"/>
    <s v="U03968"/>
    <s v="L1144/47_x0009_"/>
    <x v="97"/>
    <m/>
    <m/>
    <m/>
    <n v="0"/>
    <m/>
    <m/>
  </r>
  <r>
    <n v="277"/>
    <x v="3"/>
    <s v="Night"/>
    <x v="0"/>
    <n v="2000706437"/>
    <n v="3231"/>
    <n v="300"/>
    <n v="0"/>
    <s v="U03968"/>
    <s v="L1172/73"/>
    <x v="7"/>
    <m/>
    <m/>
    <m/>
    <n v="0"/>
    <m/>
    <m/>
  </r>
  <r>
    <n v="278"/>
    <x v="3"/>
    <s v="Night"/>
    <x v="0"/>
    <n v="2000707189"/>
    <n v="1700"/>
    <n v="300"/>
    <n v="0"/>
    <s v="U03968"/>
    <s v="L1174/75"/>
    <x v="62"/>
    <m/>
    <m/>
    <m/>
    <n v="0"/>
    <m/>
    <m/>
  </r>
  <r>
    <n v="279"/>
    <x v="3"/>
    <s v="Night"/>
    <x v="0"/>
    <n v="2000707059"/>
    <n v="2656"/>
    <n v="80"/>
    <n v="0"/>
    <s v="U03968"/>
    <s v="L1128/29"/>
    <x v="11"/>
    <m/>
    <m/>
    <m/>
    <n v="0"/>
    <m/>
    <m/>
  </r>
  <r>
    <n v="280"/>
    <x v="3"/>
    <s v="Night"/>
    <x v="0"/>
    <n v="2000706621"/>
    <n v="5440"/>
    <n v="200"/>
    <n v="0"/>
    <s v="U03968"/>
    <s v="L1112/13"/>
    <x v="8"/>
    <m/>
    <m/>
    <m/>
    <n v="0"/>
    <m/>
    <m/>
  </r>
  <r>
    <n v="281"/>
    <x v="3"/>
    <s v="Night"/>
    <x v="0"/>
    <n v="2000706779"/>
    <n v="2000"/>
    <n v="200"/>
    <n v="0"/>
    <s v="U03968"/>
    <s v="L1077"/>
    <x v="6"/>
    <m/>
    <m/>
    <m/>
    <n v="0"/>
    <m/>
    <m/>
  </r>
  <r>
    <n v="282"/>
    <x v="3"/>
    <s v="Night"/>
    <x v="0"/>
    <n v="2000706760"/>
    <n v="1720"/>
    <n v="240"/>
    <n v="0"/>
    <s v="U03968"/>
    <s v="L1151/52"/>
    <x v="85"/>
    <m/>
    <m/>
    <m/>
    <n v="0"/>
    <m/>
    <m/>
  </r>
  <r>
    <n v="283"/>
    <x v="3"/>
    <s v="Night"/>
    <x v="0"/>
    <n v="2000706438"/>
    <n v="4210"/>
    <n v="240"/>
    <n v="0"/>
    <s v="U03968"/>
    <s v="T515"/>
    <x v="15"/>
    <m/>
    <m/>
    <m/>
    <n v="0"/>
    <m/>
    <m/>
  </r>
  <r>
    <n v="284"/>
    <x v="3"/>
    <s v="Night"/>
    <x v="0"/>
    <n v="2000707793"/>
    <n v="2000"/>
    <n v="200"/>
    <n v="0"/>
    <s v="U03968"/>
    <s v="L1077"/>
    <x v="36"/>
    <m/>
    <m/>
    <m/>
    <n v="0"/>
    <m/>
    <m/>
  </r>
  <r>
    <n v="285"/>
    <x v="3"/>
    <s v="Night"/>
    <x v="0"/>
    <n v="2000706645"/>
    <n v="1032"/>
    <n v="240"/>
    <n v="0"/>
    <s v="U30840"/>
    <s v="L1188/89"/>
    <x v="54"/>
    <m/>
    <m/>
    <m/>
    <n v="0"/>
    <m/>
    <m/>
  </r>
  <r>
    <n v="286"/>
    <x v="3"/>
    <s v="Night"/>
    <x v="0"/>
    <n v="2000707191"/>
    <n v="2000"/>
    <n v="40"/>
    <n v="0"/>
    <s v="U27723"/>
    <s v="L1174/75"/>
    <x v="61"/>
    <m/>
    <m/>
    <m/>
    <n v="0"/>
    <m/>
    <m/>
  </r>
  <r>
    <n v="287"/>
    <x v="3"/>
    <s v="Night"/>
    <x v="0"/>
    <n v="2000701969"/>
    <n v="1802"/>
    <n v="2"/>
    <n v="0"/>
    <s v="U27723"/>
    <s v="L1188/89"/>
    <x v="98"/>
    <m/>
    <m/>
    <m/>
    <n v="0"/>
    <m/>
    <m/>
  </r>
  <r>
    <n v="288"/>
    <x v="3"/>
    <s v="Night"/>
    <x v="0"/>
    <n v="2000707223"/>
    <n v="363"/>
    <n v="359"/>
    <n v="0"/>
    <s v="U27723"/>
    <s v="L1188/89"/>
    <x v="98"/>
    <m/>
    <m/>
    <m/>
    <n v="0"/>
    <m/>
    <m/>
  </r>
  <r>
    <n v="289"/>
    <x v="3"/>
    <s v="Night"/>
    <x v="0"/>
    <n v="2000706645"/>
    <n v="1032"/>
    <n v="40"/>
    <n v="0"/>
    <s v="U27723"/>
    <s v="L1188/89"/>
    <x v="54"/>
    <m/>
    <m/>
    <m/>
    <n v="0"/>
    <m/>
    <m/>
  </r>
  <r>
    <n v="290"/>
    <x v="3"/>
    <s v="Night"/>
    <x v="0"/>
    <n v="2000705684"/>
    <n v="392"/>
    <n v="80"/>
    <n v="0"/>
    <s v="U27723"/>
    <s v="L1188/89"/>
    <x v="95"/>
    <m/>
    <m/>
    <m/>
    <n v="0"/>
    <m/>
    <m/>
  </r>
  <r>
    <n v="291"/>
    <x v="3"/>
    <s v="Night"/>
    <x v="0"/>
    <n v="2000706583"/>
    <n v="3050"/>
    <n v="15"/>
    <n v="0"/>
    <s v="U29686"/>
    <s v="L1209/10"/>
    <x v="44"/>
    <m/>
    <m/>
    <m/>
    <n v="0"/>
    <m/>
    <m/>
  </r>
  <r>
    <n v="292"/>
    <x v="3"/>
    <s v="Night"/>
    <x v="0"/>
    <n v="2000706632"/>
    <n v="2610"/>
    <n v="515"/>
    <n v="0"/>
    <s v="U29686"/>
    <s v="L1209/10"/>
    <x v="55"/>
    <m/>
    <m/>
    <m/>
    <n v="0"/>
    <m/>
    <m/>
  </r>
  <r>
    <n v="293"/>
    <x v="3"/>
    <s v="Night"/>
    <x v="0"/>
    <n v="2000706635"/>
    <n v="1080"/>
    <n v="135"/>
    <n v="0"/>
    <s v="U29686"/>
    <s v="L1209/10"/>
    <x v="55"/>
    <m/>
    <m/>
    <m/>
    <n v="0"/>
    <m/>
    <m/>
  </r>
  <r>
    <n v="294"/>
    <x v="3"/>
    <s v="Night"/>
    <x v="0"/>
    <n v="2000705330"/>
    <n v="540"/>
    <n v="36"/>
    <n v="0"/>
    <s v="U29686"/>
    <s v="L1170/71"/>
    <x v="46"/>
    <m/>
    <m/>
    <m/>
    <n v="0"/>
    <m/>
    <m/>
  </r>
  <r>
    <n v="295"/>
    <x v="3"/>
    <s v="Night"/>
    <x v="0"/>
    <n v="2000707083"/>
    <n v="1300"/>
    <n v="30"/>
    <n v="0"/>
    <s v="U18660"/>
    <s v="L1172/73"/>
    <x v="18"/>
    <m/>
    <m/>
    <m/>
    <n v="0"/>
    <m/>
    <m/>
  </r>
  <r>
    <n v="296"/>
    <x v="3"/>
    <s v="Night"/>
    <x v="0"/>
    <n v="2000707938"/>
    <n v="850"/>
    <n v="80"/>
    <n v="0"/>
    <s v="U18660"/>
    <s v="L1172/73"/>
    <x v="83"/>
    <m/>
    <m/>
    <m/>
    <n v="0"/>
    <m/>
    <m/>
  </r>
  <r>
    <n v="297"/>
    <x v="3"/>
    <s v="Night"/>
    <x v="0"/>
    <n v="2000705168"/>
    <n v="750"/>
    <n v="156"/>
    <n v="0"/>
    <s v="U18660"/>
    <s v="L1172/73"/>
    <x v="99"/>
    <m/>
    <m/>
    <m/>
    <n v="0"/>
    <m/>
    <m/>
  </r>
  <r>
    <n v="298"/>
    <x v="3"/>
    <s v="Night"/>
    <x v="0"/>
    <n v="2000706632"/>
    <n v="2610"/>
    <n v="360"/>
    <n v="0"/>
    <s v="U18660"/>
    <s v="L1209/10"/>
    <x v="55"/>
    <m/>
    <m/>
    <m/>
    <n v="0"/>
    <m/>
    <m/>
  </r>
  <r>
    <n v="299"/>
    <x v="3"/>
    <s v="Night"/>
    <x v="0"/>
    <n v="2000706635"/>
    <n v="1080"/>
    <n v="152"/>
    <n v="0"/>
    <s v="U18660"/>
    <s v="L1209/10"/>
    <x v="55"/>
    <m/>
    <m/>
    <m/>
    <n v="0"/>
    <m/>
    <m/>
  </r>
  <r>
    <n v="300"/>
    <x v="3"/>
    <s v="Night"/>
    <x v="0"/>
    <n v="2000707945"/>
    <n v="340"/>
    <n v="80"/>
    <n v="0"/>
    <s v="U36206"/>
    <s v="T543"/>
    <x v="100"/>
    <m/>
    <m/>
    <m/>
    <n v="0"/>
    <m/>
    <m/>
  </r>
  <r>
    <n v="301"/>
    <x v="3"/>
    <s v="Night"/>
    <x v="0"/>
    <n v="2000707192"/>
    <n v="1700"/>
    <n v="100"/>
    <n v="0"/>
    <s v="U36206"/>
    <s v="L1174/75"/>
    <x v="3"/>
    <m/>
    <m/>
    <m/>
    <n v="0"/>
    <m/>
    <m/>
  </r>
  <r>
    <n v="302"/>
    <x v="3"/>
    <s v="Night"/>
    <x v="0"/>
    <n v="2000707763"/>
    <n v="530"/>
    <n v="80"/>
    <n v="0"/>
    <s v="U36206"/>
    <s v="L1144/47"/>
    <x v="101"/>
    <m/>
    <m/>
    <m/>
    <n v="0"/>
    <m/>
    <m/>
  </r>
  <r>
    <n v="303"/>
    <x v="3"/>
    <s v="Night"/>
    <x v="0"/>
    <n v="2000707932"/>
    <n v="2400"/>
    <n v="40"/>
    <n v="0"/>
    <s v="U36206"/>
    <s v="L1144/47"/>
    <x v="59"/>
    <m/>
    <m/>
    <m/>
    <n v="0"/>
    <m/>
    <m/>
  </r>
  <r>
    <n v="304"/>
    <x v="3"/>
    <s v="Night"/>
    <x v="0"/>
    <n v="2000707794"/>
    <n v="2000"/>
    <n v="160"/>
    <n v="0"/>
    <s v="U36206"/>
    <s v="L1077"/>
    <x v="2"/>
    <m/>
    <m/>
    <m/>
    <n v="0"/>
    <m/>
    <m/>
  </r>
  <r>
    <n v="305"/>
    <x v="3"/>
    <s v="Night"/>
    <x v="0"/>
    <n v="2000707191"/>
    <n v="2000"/>
    <n v="90"/>
    <n v="0"/>
    <s v="U36206"/>
    <s v="L1172/73"/>
    <x v="61"/>
    <m/>
    <m/>
    <m/>
    <n v="0"/>
    <m/>
    <m/>
  </r>
  <r>
    <n v="306"/>
    <x v="3"/>
    <s v="Night"/>
    <x v="0"/>
    <n v="2000707764"/>
    <n v="292"/>
    <n v="90"/>
    <n v="0"/>
    <s v="U36206"/>
    <s v="L1144/47"/>
    <x v="102"/>
    <m/>
    <m/>
    <m/>
    <n v="0"/>
    <m/>
    <m/>
  </r>
  <r>
    <n v="307"/>
    <x v="3"/>
    <s v="Night"/>
    <x v="0"/>
    <n v="2000705243"/>
    <n v="380"/>
    <n v="12"/>
    <n v="0"/>
    <s v="U27687"/>
    <s v="L1172/73"/>
    <x v="103"/>
    <m/>
    <m/>
    <m/>
    <n v="0"/>
    <m/>
    <m/>
  </r>
  <r>
    <n v="308"/>
    <x v="3"/>
    <s v="Night"/>
    <x v="0"/>
    <n v="2000706635"/>
    <n v="1080"/>
    <n v="15"/>
    <n v="0"/>
    <s v="U27687"/>
    <s v="L1172/73"/>
    <x v="55"/>
    <m/>
    <m/>
    <m/>
    <n v="0"/>
    <m/>
    <m/>
  </r>
  <r>
    <n v="309"/>
    <x v="3"/>
    <s v="Night"/>
    <x v="0"/>
    <n v="2000707785"/>
    <n v="630"/>
    <n v="102"/>
    <n v="0"/>
    <s v="U32991"/>
    <s v="L1193/94"/>
    <x v="21"/>
    <m/>
    <m/>
    <m/>
    <n v="0"/>
    <m/>
    <m/>
  </r>
  <r>
    <n v="310"/>
    <x v="3"/>
    <s v="Night"/>
    <x v="0"/>
    <n v="2000706916"/>
    <n v="1050"/>
    <n v="50"/>
    <n v="0"/>
    <s v="U32991"/>
    <s v="L1193/94"/>
    <x v="21"/>
    <m/>
    <m/>
    <m/>
    <n v="0"/>
    <m/>
    <m/>
  </r>
  <r>
    <n v="311"/>
    <x v="3"/>
    <s v="Night"/>
    <x v="0"/>
    <n v="2000708380"/>
    <n v="540"/>
    <n v="270"/>
    <n v="0"/>
    <s v="U32991"/>
    <s v="L1193/94"/>
    <x v="104"/>
    <m/>
    <m/>
    <m/>
    <n v="0"/>
    <m/>
    <m/>
  </r>
  <r>
    <n v="312"/>
    <x v="3"/>
    <s v="Night"/>
    <x v="1"/>
    <n v="2000706301"/>
    <n v="650"/>
    <n v="35"/>
    <n v="0"/>
    <s v="U15759"/>
    <s v="SHANKS"/>
    <x v="24"/>
    <m/>
    <m/>
    <m/>
    <n v="0"/>
    <m/>
    <m/>
  </r>
  <r>
    <n v="313"/>
    <x v="3"/>
    <s v="Night"/>
    <x v="1"/>
    <n v="2000706609"/>
    <n v="650"/>
    <n v="175"/>
    <n v="0"/>
    <s v="U15759"/>
    <s v="SHANKS"/>
    <x v="24"/>
    <m/>
    <m/>
    <m/>
    <n v="0"/>
    <m/>
    <m/>
  </r>
  <r>
    <n v="314"/>
    <x v="3"/>
    <s v="Night"/>
    <x v="1"/>
    <n v="2000706692"/>
    <n v="30"/>
    <n v="30"/>
    <n v="0"/>
    <s v="U15759"/>
    <s v="PSLV"/>
    <x v="105"/>
    <m/>
    <m/>
    <m/>
    <n v="0"/>
    <m/>
    <m/>
  </r>
  <r>
    <n v="315"/>
    <x v="3"/>
    <s v="Night"/>
    <x v="1"/>
    <n v="2000706605"/>
    <n v="445"/>
    <n v="100"/>
    <n v="0"/>
    <s v="U15759"/>
    <s v="PSLV"/>
    <x v="23"/>
    <m/>
    <m/>
    <m/>
    <n v="0"/>
    <m/>
    <m/>
  </r>
  <r>
    <n v="316"/>
    <x v="3"/>
    <s v="Night"/>
    <x v="1"/>
    <n v="2000706302"/>
    <n v="510"/>
    <n v="100"/>
    <n v="0"/>
    <s v="U15759"/>
    <s v="PSHV"/>
    <x v="25"/>
    <m/>
    <m/>
    <m/>
    <n v="0"/>
    <m/>
    <m/>
  </r>
  <r>
    <n v="317"/>
    <x v="3"/>
    <s v="Night"/>
    <x v="1"/>
    <n v="2000706939"/>
    <n v="1000"/>
    <n v="210"/>
    <n v="0"/>
    <s v="U15759"/>
    <s v="SHANKS"/>
    <x v="67"/>
    <m/>
    <m/>
    <m/>
    <n v="0"/>
    <m/>
    <m/>
  </r>
  <r>
    <n v="318"/>
    <x v="3"/>
    <s v="Night"/>
    <x v="1"/>
    <n v="2000706942"/>
    <n v="420"/>
    <n v="90"/>
    <n v="0"/>
    <s v="U15759"/>
    <s v="SHANKS"/>
    <x v="106"/>
    <m/>
    <m/>
    <m/>
    <n v="0"/>
    <m/>
    <m/>
  </r>
  <r>
    <n v="319"/>
    <x v="3"/>
    <s v="Night"/>
    <x v="1"/>
    <n v="2000706940"/>
    <n v="270"/>
    <n v="90"/>
    <n v="0"/>
    <s v="U15759"/>
    <s v="BORUTO"/>
    <x v="107"/>
    <m/>
    <m/>
    <m/>
    <n v="0"/>
    <m/>
    <m/>
  </r>
  <r>
    <n v="320"/>
    <x v="3"/>
    <s v="Night"/>
    <x v="1"/>
    <n v="2000706608"/>
    <n v="270"/>
    <n v="60"/>
    <n v="0"/>
    <s v="U15759"/>
    <s v="SHANKS"/>
    <x v="108"/>
    <m/>
    <m/>
    <m/>
    <n v="0"/>
    <m/>
    <m/>
  </r>
  <r>
    <n v="321"/>
    <x v="4"/>
    <s v="Day"/>
    <x v="0"/>
    <n v="2000707190"/>
    <n v="2000"/>
    <n v="300"/>
    <n v="0"/>
    <s v="U26613"/>
    <s v="L1174/75"/>
    <x v="62"/>
    <m/>
    <m/>
    <m/>
    <n v="0"/>
    <m/>
    <m/>
  </r>
  <r>
    <n v="322"/>
    <x v="4"/>
    <s v="Day"/>
    <x v="0"/>
    <n v="2000695411"/>
    <n v="90"/>
    <n v="71"/>
    <n v="0"/>
    <s v="U26613"/>
    <s v="L1174/75"/>
    <x v="62"/>
    <m/>
    <m/>
    <m/>
    <n v="0"/>
    <m/>
    <m/>
  </r>
  <r>
    <n v="323"/>
    <x v="4"/>
    <s v="Day"/>
    <x v="0"/>
    <n v="2000706760"/>
    <n v="1720"/>
    <n v="680"/>
    <n v="0"/>
    <s v="U26613"/>
    <s v="L1151/52"/>
    <x v="85"/>
    <m/>
    <m/>
    <m/>
    <n v="0"/>
    <m/>
    <m/>
  </r>
  <r>
    <n v="324"/>
    <x v="4"/>
    <s v="Day"/>
    <x v="0"/>
    <n v="2000706633"/>
    <n v="1800"/>
    <n v="90"/>
    <n v="0"/>
    <s v="U09749"/>
    <s v="L1188/89"/>
    <x v="109"/>
    <m/>
    <m/>
    <m/>
    <n v="0"/>
    <m/>
    <m/>
  </r>
  <r>
    <n v="325"/>
    <x v="4"/>
    <s v="Day"/>
    <x v="0"/>
    <n v="2000704616"/>
    <n v="1300"/>
    <n v="57"/>
    <n v="0"/>
    <s v="U09749"/>
    <s v="L1188/89"/>
    <x v="109"/>
    <m/>
    <m/>
    <m/>
    <n v="0"/>
    <m/>
    <m/>
  </r>
  <r>
    <n v="326"/>
    <x v="4"/>
    <s v="Day"/>
    <x v="0"/>
    <n v="2000705735"/>
    <n v="2160"/>
    <n v="180"/>
    <n v="0"/>
    <s v="U09749"/>
    <s v="L1193/94"/>
    <x v="30"/>
    <m/>
    <m/>
    <m/>
    <n v="0"/>
    <m/>
    <m/>
  </r>
  <r>
    <n v="327"/>
    <x v="4"/>
    <s v="Day"/>
    <x v="0"/>
    <n v="2000705684"/>
    <n v="392"/>
    <n v="40"/>
    <n v="0"/>
    <s v="U27724"/>
    <s v="L1188/89"/>
    <x v="95"/>
    <m/>
    <m/>
    <m/>
    <n v="0"/>
    <m/>
    <m/>
  </r>
  <r>
    <n v="328"/>
    <x v="4"/>
    <s v="Day"/>
    <x v="0"/>
    <n v="2000707777"/>
    <n v="482"/>
    <n v="474"/>
    <n v="0"/>
    <s v="U27724"/>
    <s v="L1188/89"/>
    <x v="95"/>
    <m/>
    <m/>
    <m/>
    <n v="0"/>
    <m/>
    <m/>
  </r>
  <r>
    <n v="329"/>
    <x v="4"/>
    <s v="Day"/>
    <x v="0"/>
    <n v="2000706645"/>
    <n v="1032"/>
    <n v="177"/>
    <n v="0"/>
    <s v="U27724"/>
    <s v="L1188/89"/>
    <x v="54"/>
    <m/>
    <m/>
    <m/>
    <n v="0"/>
    <m/>
    <m/>
  </r>
  <r>
    <n v="330"/>
    <x v="4"/>
    <s v="Day"/>
    <x v="0"/>
    <n v="2000699441"/>
    <n v="440"/>
    <n v="5"/>
    <n v="0"/>
    <s v="U27724"/>
    <s v="L1188/89"/>
    <x v="54"/>
    <m/>
    <m/>
    <m/>
    <n v="0"/>
    <m/>
    <m/>
  </r>
  <r>
    <n v="331"/>
    <x v="4"/>
    <s v="Day"/>
    <x v="0"/>
    <n v="2000705986"/>
    <n v="670"/>
    <n v="2"/>
    <n v="0"/>
    <s v="U27724"/>
    <s v="L1188/89"/>
    <x v="17"/>
    <m/>
    <m/>
    <m/>
    <n v="0"/>
    <m/>
    <m/>
  </r>
  <r>
    <n v="332"/>
    <x v="4"/>
    <s v="Day"/>
    <x v="0"/>
    <n v="2000706633"/>
    <n v="800"/>
    <n v="135"/>
    <n v="0"/>
    <s v="U27724"/>
    <s v="L1188/89"/>
    <x v="109"/>
    <m/>
    <m/>
    <m/>
    <n v="0"/>
    <m/>
    <m/>
  </r>
  <r>
    <n v="333"/>
    <x v="4"/>
    <s v="Day"/>
    <x v="0"/>
    <n v="2000708380"/>
    <n v="540"/>
    <n v="270"/>
    <n v="0"/>
    <s v="U31065"/>
    <s v="L1193/94"/>
    <x v="104"/>
    <m/>
    <m/>
    <m/>
    <n v="0"/>
    <m/>
    <m/>
  </r>
  <r>
    <n v="334"/>
    <x v="4"/>
    <s v="Day"/>
    <x v="0"/>
    <n v="2000708053"/>
    <n v="390"/>
    <n v="210"/>
    <n v="0"/>
    <s v="U31065"/>
    <s v="L1193/94"/>
    <x v="104"/>
    <m/>
    <m/>
    <m/>
    <n v="0"/>
    <m/>
    <m/>
  </r>
  <r>
    <n v="335"/>
    <x v="4"/>
    <s v="Day"/>
    <x v="0"/>
    <n v="2000702815"/>
    <n v="630"/>
    <n v="2"/>
    <n v="0"/>
    <s v="U31065"/>
    <s v="L1170/71"/>
    <x v="46"/>
    <m/>
    <m/>
    <m/>
    <n v="0"/>
    <m/>
    <m/>
  </r>
  <r>
    <n v="336"/>
    <x v="4"/>
    <s v="Day"/>
    <x v="0"/>
    <n v="2000705330"/>
    <n v="540"/>
    <n v="60"/>
    <n v="0"/>
    <s v="U31065"/>
    <s v="L1170/71"/>
    <x v="46"/>
    <m/>
    <m/>
    <m/>
    <n v="0"/>
    <m/>
    <m/>
  </r>
  <r>
    <n v="337"/>
    <x v="4"/>
    <s v="Day"/>
    <x v="0"/>
    <n v="2000707778"/>
    <n v="680"/>
    <n v="90"/>
    <n v="0"/>
    <s v="U09854"/>
    <s v="L1188/89"/>
    <x v="110"/>
    <m/>
    <m/>
    <m/>
    <n v="0"/>
    <m/>
    <m/>
  </r>
  <r>
    <n v="338"/>
    <x v="4"/>
    <s v="Day"/>
    <x v="0"/>
    <n v="2000706645"/>
    <n v="1032"/>
    <n v="320"/>
    <n v="0"/>
    <s v="U09854"/>
    <s v="L1188/89"/>
    <x v="54"/>
    <m/>
    <m/>
    <m/>
    <n v="0"/>
    <m/>
    <m/>
  </r>
  <r>
    <n v="339"/>
    <x v="4"/>
    <s v="Day"/>
    <x v="0"/>
    <n v="2000705735"/>
    <n v="2160"/>
    <n v="60"/>
    <n v="0"/>
    <s v="U09854"/>
    <s v="L1193/94"/>
    <x v="30"/>
    <m/>
    <m/>
    <m/>
    <n v="0"/>
    <m/>
    <m/>
  </r>
  <r>
    <n v="340"/>
    <x v="4"/>
    <s v="Day"/>
    <x v="0"/>
    <n v="2000708053"/>
    <n v="390"/>
    <n v="177"/>
    <n v="0"/>
    <s v="U09854"/>
    <s v="L1193/94"/>
    <x v="104"/>
    <m/>
    <m/>
    <m/>
    <n v="0"/>
    <m/>
    <m/>
  </r>
  <r>
    <n v="341"/>
    <x v="4"/>
    <s v="Day"/>
    <x v="0"/>
    <n v="2000707946"/>
    <n v="520"/>
    <n v="80"/>
    <n v="0"/>
    <s v="U30425"/>
    <s v="L1144/47"/>
    <x v="89"/>
    <m/>
    <m/>
    <m/>
    <n v="0"/>
    <m/>
    <m/>
  </r>
  <r>
    <n v="342"/>
    <x v="4"/>
    <s v="Day"/>
    <x v="0"/>
    <n v="2000707408"/>
    <n v="880"/>
    <n v="80"/>
    <n v="0"/>
    <s v="U30425"/>
    <s v="L1172/73"/>
    <x v="19"/>
    <m/>
    <m/>
    <m/>
    <n v="0"/>
    <m/>
    <m/>
  </r>
  <r>
    <n v="343"/>
    <x v="4"/>
    <s v="Day"/>
    <x v="0"/>
    <n v="2000707936"/>
    <n v="1600"/>
    <n v="140"/>
    <n v="0"/>
    <s v="U30425"/>
    <s v="L1144/47"/>
    <x v="59"/>
    <m/>
    <m/>
    <m/>
    <n v="0"/>
    <m/>
    <m/>
  </r>
  <r>
    <n v="344"/>
    <x v="4"/>
    <s v="Day"/>
    <x v="0"/>
    <n v="2000708016"/>
    <n v="2096"/>
    <n v="120"/>
    <n v="0"/>
    <s v="U30425"/>
    <s v="L1128/29"/>
    <x v="11"/>
    <m/>
    <m/>
    <m/>
    <n v="0"/>
    <m/>
    <m/>
  </r>
  <r>
    <n v="345"/>
    <x v="4"/>
    <s v="Day"/>
    <x v="0"/>
    <n v="2000707947"/>
    <n v="500"/>
    <n v="80"/>
    <n v="0"/>
    <s v="U30425"/>
    <s v="L1144/47"/>
    <x v="1"/>
    <m/>
    <m/>
    <m/>
    <n v="0"/>
    <m/>
    <m/>
  </r>
  <r>
    <n v="346"/>
    <x v="4"/>
    <s v="Day"/>
    <x v="0"/>
    <n v="2000706632"/>
    <n v="2610"/>
    <n v="25"/>
    <n v="0"/>
    <s v="U36008"/>
    <s v="L1209/10"/>
    <x v="55"/>
    <m/>
    <m/>
    <m/>
    <n v="0"/>
    <m/>
    <m/>
  </r>
  <r>
    <n v="347"/>
    <x v="4"/>
    <s v="Day"/>
    <x v="0"/>
    <n v="2000706633"/>
    <n v="1800"/>
    <n v="450"/>
    <n v="0"/>
    <s v="U36008"/>
    <s v="L1188/89"/>
    <x v="109"/>
    <m/>
    <m/>
    <m/>
    <n v="0"/>
    <m/>
    <m/>
  </r>
  <r>
    <n v="348"/>
    <x v="4"/>
    <s v="Day"/>
    <x v="0"/>
    <n v="2000706633"/>
    <n v="1800"/>
    <n v="450"/>
    <n v="0"/>
    <s v="U23987"/>
    <s v="L1188/89"/>
    <x v="109"/>
    <m/>
    <m/>
    <m/>
    <n v="0"/>
    <m/>
    <m/>
  </r>
  <r>
    <n v="349"/>
    <x v="4"/>
    <s v="Day"/>
    <x v="0"/>
    <n v="2000706583"/>
    <n v="3050"/>
    <n v="41"/>
    <n v="0"/>
    <s v="U23987"/>
    <s v="L1209/10"/>
    <x v="44"/>
    <m/>
    <m/>
    <m/>
    <n v="0"/>
    <m/>
    <m/>
  </r>
  <r>
    <n v="350"/>
    <x v="4"/>
    <s v="Day"/>
    <x v="0"/>
    <n v="2000706635"/>
    <n v="1080"/>
    <n v="190"/>
    <n v="0"/>
    <s v="U23987"/>
    <s v="L1209/10"/>
    <x v="55"/>
    <m/>
    <m/>
    <m/>
    <n v="0"/>
    <m/>
    <m/>
  </r>
  <r>
    <n v="351"/>
    <x v="4"/>
    <s v="Day"/>
    <x v="1"/>
    <n v="2000706936"/>
    <n v="600"/>
    <n v="160"/>
    <n v="0"/>
    <s v="U30119"/>
    <s v="PSLV"/>
    <x v="53"/>
    <m/>
    <m/>
    <m/>
    <n v="0"/>
    <m/>
    <m/>
  </r>
  <r>
    <n v="352"/>
    <x v="4"/>
    <s v="Day"/>
    <x v="1"/>
    <n v="2000706940"/>
    <n v="270"/>
    <n v="90"/>
    <n v="0"/>
    <s v="U30119"/>
    <s v="BORUTO"/>
    <x v="107"/>
    <m/>
    <m/>
    <m/>
    <n v="0"/>
    <m/>
    <m/>
  </r>
  <r>
    <n v="353"/>
    <x v="4"/>
    <s v="Day"/>
    <x v="1"/>
    <n v="2000706941"/>
    <n v="360"/>
    <n v="90"/>
    <n v="0"/>
    <s v="U30119"/>
    <s v="BORUTO"/>
    <x v="111"/>
    <m/>
    <m/>
    <m/>
    <n v="0"/>
    <m/>
    <m/>
  </r>
  <r>
    <n v="354"/>
    <x v="4"/>
    <s v="Day"/>
    <x v="1"/>
    <n v="2000705980"/>
    <n v="600"/>
    <n v="1"/>
    <n v="0"/>
    <s v="U30119"/>
    <s v="PSLV"/>
    <x v="49"/>
    <m/>
    <m/>
    <m/>
    <n v="0"/>
    <m/>
    <m/>
  </r>
  <r>
    <n v="355"/>
    <x v="4"/>
    <s v="Day"/>
    <x v="1"/>
    <n v="2000705157"/>
    <n v="223"/>
    <n v="1"/>
    <n v="0"/>
    <s v="U30119"/>
    <s v="PSLV"/>
    <x v="91"/>
    <m/>
    <m/>
    <m/>
    <n v="0"/>
    <m/>
    <m/>
  </r>
  <r>
    <n v="356"/>
    <x v="4"/>
    <s v="Day"/>
    <x v="1"/>
    <n v="2000706611"/>
    <n v="92"/>
    <n v="40"/>
    <n v="0"/>
    <s v="U30119"/>
    <s v="PSLV"/>
    <x v="112"/>
    <m/>
    <m/>
    <m/>
    <n v="0"/>
    <m/>
    <m/>
  </r>
  <r>
    <n v="357"/>
    <x v="4"/>
    <s v="Day"/>
    <x v="1"/>
    <n v="2000706757"/>
    <n v="600"/>
    <n v="130"/>
    <n v="0"/>
    <s v="U30119"/>
    <s v="PSHV"/>
    <x v="25"/>
    <m/>
    <m/>
    <m/>
    <n v="0"/>
    <m/>
    <m/>
  </r>
  <r>
    <n v="358"/>
    <x v="4"/>
    <s v="Day"/>
    <x v="1"/>
    <n v="2000707400"/>
    <n v="300"/>
    <n v="100"/>
    <n v="0"/>
    <s v="U30119"/>
    <s v="PSHV"/>
    <x v="80"/>
    <m/>
    <m/>
    <m/>
    <n v="0"/>
    <m/>
    <m/>
  </r>
  <r>
    <n v="359"/>
    <x v="4"/>
    <s v="Day"/>
    <x v="1"/>
    <n v="2000707119"/>
    <n v="410"/>
    <n v="240"/>
    <n v="0"/>
    <s v="U30119"/>
    <s v="SHIBUKI"/>
    <x v="113"/>
    <m/>
    <m/>
    <m/>
    <n v="0"/>
    <m/>
    <m/>
  </r>
  <r>
    <n v="360"/>
    <x v="4"/>
    <s v="Day"/>
    <x v="1"/>
    <n v="2000706938"/>
    <n v="736"/>
    <n v="140"/>
    <n v="0"/>
    <s v="U30119"/>
    <s v="FRANKY"/>
    <x v="81"/>
    <m/>
    <m/>
    <m/>
    <n v="0"/>
    <m/>
    <m/>
  </r>
  <r>
    <n v="361"/>
    <x v="4"/>
    <s v="Day"/>
    <x v="1"/>
    <n v="2000706605"/>
    <n v="445"/>
    <n v="75"/>
    <n v="0"/>
    <s v="U30119"/>
    <s v="PSLV"/>
    <x v="23"/>
    <m/>
    <m/>
    <m/>
    <n v="0"/>
    <m/>
    <m/>
  </r>
  <r>
    <n v="362"/>
    <x v="4"/>
    <s v="Day"/>
    <x v="1"/>
    <n v="2000706937"/>
    <n v="152"/>
    <n v="30"/>
    <n v="0"/>
    <s v="U30119"/>
    <s v="ZAKURO"/>
    <x v="114"/>
    <m/>
    <m/>
    <m/>
    <n v="0"/>
    <m/>
    <m/>
  </r>
  <r>
    <n v="363"/>
    <x v="4"/>
    <s v="Night"/>
    <x v="0"/>
    <n v="2000707333"/>
    <n v="1850"/>
    <n v="120"/>
    <n v="0"/>
    <s v="U05944"/>
    <s v="L1188/89"/>
    <x v="17"/>
    <m/>
    <m/>
    <m/>
    <n v="0"/>
    <m/>
    <m/>
  </r>
  <r>
    <n v="364"/>
    <x v="4"/>
    <s v="Night"/>
    <x v="0"/>
    <n v="2000707792"/>
    <n v="2000"/>
    <n v="160"/>
    <n v="0"/>
    <s v="U05944"/>
    <s v="L1077_x0009_"/>
    <x v="6"/>
    <m/>
    <m/>
    <m/>
    <n v="0"/>
    <m/>
    <m/>
  </r>
  <r>
    <n v="365"/>
    <x v="4"/>
    <s v="Night"/>
    <x v="0"/>
    <n v="2000707786"/>
    <n v="4230"/>
    <n v="240"/>
    <n v="0"/>
    <s v="U05944"/>
    <s v="L1172/73"/>
    <x v="7"/>
    <m/>
    <m/>
    <m/>
    <n v="0"/>
    <m/>
    <m/>
  </r>
  <r>
    <n v="366"/>
    <x v="4"/>
    <s v="Night"/>
    <x v="0"/>
    <n v="2000708023"/>
    <n v="7860"/>
    <n v="300"/>
    <n v="0"/>
    <s v="U03968"/>
    <s v="L1112/13"/>
    <x v="75"/>
    <m/>
    <m/>
    <m/>
    <n v="0"/>
    <m/>
    <m/>
  </r>
  <r>
    <n v="367"/>
    <x v="4"/>
    <s v="Night"/>
    <x v="0"/>
    <n v="2000706593"/>
    <n v="120"/>
    <n v="40"/>
    <n v="0"/>
    <s v="U03968"/>
    <s v="L1106"/>
    <x v="115"/>
    <m/>
    <m/>
    <m/>
    <n v="0"/>
    <m/>
    <m/>
  </r>
  <r>
    <n v="368"/>
    <x v="4"/>
    <s v="Night"/>
    <x v="0"/>
    <n v="2000707933"/>
    <n v="1600"/>
    <n v="200"/>
    <n v="0"/>
    <s v="U03968"/>
    <s v="L1144/47"/>
    <x v="92"/>
    <m/>
    <m/>
    <m/>
    <n v="0"/>
    <m/>
    <m/>
  </r>
  <r>
    <n v="369"/>
    <x v="4"/>
    <s v="Night"/>
    <x v="0"/>
    <n v="2000707934"/>
    <n v="1600"/>
    <n v="200"/>
    <n v="0"/>
    <s v="U03968"/>
    <s v="L1144/47"/>
    <x v="77"/>
    <m/>
    <m/>
    <m/>
    <n v="0"/>
    <m/>
    <m/>
  </r>
  <r>
    <n v="370"/>
    <x v="4"/>
    <s v="Night"/>
    <x v="0"/>
    <n v="2000707791"/>
    <n v="2000"/>
    <n v="200"/>
    <n v="0"/>
    <s v="U03968"/>
    <s v="L1077"/>
    <x v="10"/>
    <m/>
    <m/>
    <m/>
    <n v="0"/>
    <m/>
    <m/>
  </r>
  <r>
    <n v="371"/>
    <x v="4"/>
    <s v="Night"/>
    <x v="0"/>
    <n v="2000707790"/>
    <n v="2000"/>
    <n v="200"/>
    <n v="0"/>
    <s v="U03968"/>
    <s v="L1077"/>
    <x v="10"/>
    <m/>
    <m/>
    <m/>
    <n v="0"/>
    <m/>
    <m/>
  </r>
  <r>
    <n v="372"/>
    <x v="4"/>
    <s v="Night"/>
    <x v="0"/>
    <n v="2000707419"/>
    <n v="4600"/>
    <n v="200"/>
    <n v="0"/>
    <s v="U03968"/>
    <s v="L1112/13"/>
    <x v="8"/>
    <m/>
    <m/>
    <m/>
    <n v="0"/>
    <m/>
    <m/>
  </r>
  <r>
    <n v="373"/>
    <x v="4"/>
    <s v="Night"/>
    <x v="0"/>
    <n v="2000707964"/>
    <n v="2000"/>
    <n v="160"/>
    <n v="0"/>
    <s v="U03968"/>
    <s v="L1077"/>
    <x v="36"/>
    <m/>
    <m/>
    <m/>
    <n v="0"/>
    <m/>
    <m/>
  </r>
  <r>
    <n v="374"/>
    <x v="4"/>
    <s v="Night"/>
    <x v="0"/>
    <n v="2000707783"/>
    <n v="3800"/>
    <n v="200"/>
    <n v="0"/>
    <s v="U03968"/>
    <s v="L1174/75"/>
    <x v="62"/>
    <m/>
    <m/>
    <m/>
    <n v="0"/>
    <m/>
    <m/>
  </r>
  <r>
    <n v="375"/>
    <x v="4"/>
    <s v="Night"/>
    <x v="0"/>
    <n v="2000707222"/>
    <n v="1850"/>
    <n v="360"/>
    <n v="0"/>
    <s v="U27723"/>
    <s v="L1188/89"/>
    <x v="17"/>
    <m/>
    <m/>
    <m/>
    <n v="0"/>
    <m/>
    <m/>
  </r>
  <r>
    <n v="376"/>
    <x v="4"/>
    <s v="Night"/>
    <x v="0"/>
    <n v="2000707060"/>
    <n v="3999"/>
    <n v="240"/>
    <n v="0"/>
    <s v="U27723"/>
    <s v="L1168/69"/>
    <x v="37"/>
    <m/>
    <m/>
    <m/>
    <n v="0"/>
    <m/>
    <m/>
  </r>
  <r>
    <n v="377"/>
    <x v="4"/>
    <s v="Night"/>
    <x v="0"/>
    <n v="2000707222"/>
    <n v="1850"/>
    <n v="280"/>
    <n v="0"/>
    <s v="U30840"/>
    <s v="L1188/89"/>
    <x v="17"/>
    <m/>
    <m/>
    <m/>
    <n v="0"/>
    <m/>
    <m/>
  </r>
  <r>
    <n v="378"/>
    <x v="4"/>
    <s v="Night"/>
    <x v="0"/>
    <n v="2000706583"/>
    <n v="3050"/>
    <n v="82"/>
    <n v="0"/>
    <s v="U29686"/>
    <s v="L1209/10"/>
    <x v="44"/>
    <m/>
    <m/>
    <m/>
    <n v="0"/>
    <m/>
    <m/>
  </r>
  <r>
    <n v="379"/>
    <x v="4"/>
    <s v="Night"/>
    <x v="0"/>
    <n v="2000706633"/>
    <n v="1800"/>
    <n v="225"/>
    <n v="0"/>
    <s v="U29686"/>
    <s v="L1188/89"/>
    <x v="109"/>
    <m/>
    <m/>
    <m/>
    <n v="0"/>
    <m/>
    <m/>
  </r>
  <r>
    <n v="380"/>
    <x v="4"/>
    <s v="Night"/>
    <x v="0"/>
    <n v="2000706264"/>
    <n v="544"/>
    <n v="225"/>
    <n v="0"/>
    <s v="U29686"/>
    <s v="L1188/89"/>
    <x v="84"/>
    <m/>
    <m/>
    <m/>
    <n v="0"/>
    <m/>
    <m/>
  </r>
  <r>
    <n v="381"/>
    <x v="4"/>
    <s v="Night"/>
    <x v="0"/>
    <n v="2000706916"/>
    <n v="1050"/>
    <n v="210"/>
    <n v="0"/>
    <s v="U32991"/>
    <s v="L1193/94"/>
    <x v="21"/>
    <m/>
    <m/>
    <m/>
    <n v="0"/>
    <m/>
    <m/>
  </r>
  <r>
    <n v="382"/>
    <x v="4"/>
    <s v="Night"/>
    <x v="0"/>
    <n v="2000707785"/>
    <n v="630"/>
    <n v="150"/>
    <n v="0"/>
    <s v="U32991"/>
    <s v="L1193/94"/>
    <x v="21"/>
    <m/>
    <m/>
    <m/>
    <n v="0"/>
    <m/>
    <m/>
  </r>
  <r>
    <n v="383"/>
    <x v="4"/>
    <s v="Night"/>
    <x v="0"/>
    <n v="2000708054"/>
    <n v="420"/>
    <n v="60"/>
    <n v="0"/>
    <s v="U32991"/>
    <s v="L1193/94"/>
    <x v="116"/>
    <m/>
    <m/>
    <m/>
    <n v="0"/>
    <m/>
    <m/>
  </r>
  <r>
    <n v="384"/>
    <x v="4"/>
    <s v="Night"/>
    <x v="0"/>
    <n v="2000706583"/>
    <n v="3050"/>
    <n v="45"/>
    <n v="0"/>
    <s v="U18660"/>
    <s v="L1209/10"/>
    <x v="44"/>
    <m/>
    <m/>
    <m/>
    <n v="0"/>
    <m/>
    <m/>
  </r>
  <r>
    <n v="385"/>
    <x v="4"/>
    <s v="Night"/>
    <x v="0"/>
    <n v="2000707779"/>
    <n v="2100"/>
    <n v="30"/>
    <n v="0"/>
    <s v="U18660"/>
    <s v="L1172/73"/>
    <x v="18"/>
    <m/>
    <m/>
    <m/>
    <n v="0"/>
    <m/>
    <m/>
  </r>
  <r>
    <n v="386"/>
    <x v="4"/>
    <s v="Night"/>
    <x v="0"/>
    <n v="2000707222"/>
    <n v="1850"/>
    <n v="200"/>
    <n v="0"/>
    <s v="U18660"/>
    <s v="L1188/89"/>
    <x v="17"/>
    <m/>
    <m/>
    <m/>
    <n v="0"/>
    <m/>
    <m/>
  </r>
  <r>
    <n v="387"/>
    <x v="4"/>
    <s v="Night"/>
    <x v="0"/>
    <n v="2000708054"/>
    <n v="420"/>
    <n v="60"/>
    <n v="0"/>
    <s v="U18660"/>
    <s v="L1193/94"/>
    <x v="116"/>
    <m/>
    <m/>
    <m/>
    <n v="0"/>
    <m/>
    <m/>
  </r>
  <r>
    <n v="388"/>
    <x v="4"/>
    <s v="Night"/>
    <x v="0"/>
    <n v="2000707784"/>
    <n v="3800"/>
    <n v="220"/>
    <n v="0"/>
    <s v="U36206"/>
    <s v="L1174/75"/>
    <x v="3"/>
    <m/>
    <m/>
    <m/>
    <n v="0"/>
    <m/>
    <m/>
  </r>
  <r>
    <n v="389"/>
    <x v="4"/>
    <s v="Night"/>
    <x v="0"/>
    <n v="2000707965"/>
    <n v="2000"/>
    <n v="140"/>
    <n v="0"/>
    <s v="U36206"/>
    <s v="L1077"/>
    <x v="2"/>
    <m/>
    <m/>
    <m/>
    <n v="0"/>
    <m/>
    <m/>
  </r>
  <r>
    <n v="390"/>
    <x v="4"/>
    <s v="Night"/>
    <x v="0"/>
    <n v="2000707765"/>
    <n v="400"/>
    <n v="80"/>
    <n v="0"/>
    <s v="U36206"/>
    <s v="L1144/47"/>
    <x v="5"/>
    <m/>
    <m/>
    <m/>
    <n v="0"/>
    <m/>
    <m/>
  </r>
  <r>
    <n v="391"/>
    <x v="4"/>
    <s v="Night"/>
    <x v="0"/>
    <n v="2000706633"/>
    <n v="1800"/>
    <n v="180"/>
    <n v="0"/>
    <s v="U27687"/>
    <s v="L1188/89"/>
    <x v="109"/>
    <m/>
    <m/>
    <m/>
    <n v="0"/>
    <m/>
    <m/>
  </r>
  <r>
    <n v="392"/>
    <x v="4"/>
    <s v="Night"/>
    <x v="0"/>
    <n v="2000707779"/>
    <n v="2100"/>
    <n v="60"/>
    <n v="0"/>
    <s v="U27687"/>
    <s v="L1172/73"/>
    <x v="18"/>
    <m/>
    <m/>
    <m/>
    <n v="0"/>
    <m/>
    <m/>
  </r>
  <r>
    <n v="393"/>
    <x v="4"/>
    <s v="Night"/>
    <x v="0"/>
    <n v="2000706264"/>
    <n v="544"/>
    <n v="250"/>
    <n v="0"/>
    <s v="U27687"/>
    <s v="L1188/89"/>
    <x v="84"/>
    <m/>
    <m/>
    <m/>
    <n v="0"/>
    <m/>
    <m/>
  </r>
  <r>
    <n v="394"/>
    <x v="4"/>
    <s v="Night"/>
    <x v="0"/>
    <n v="2000706634"/>
    <n v="360"/>
    <n v="135"/>
    <n v="0"/>
    <s v="U27687"/>
    <s v="L1170/71"/>
    <x v="117"/>
    <m/>
    <m/>
    <m/>
    <n v="0"/>
    <m/>
    <m/>
  </r>
  <r>
    <n v="395"/>
    <x v="4"/>
    <s v="Night"/>
    <x v="1"/>
    <n v="2000707119"/>
    <n v="410"/>
    <n v="120"/>
    <n v="0"/>
    <s v="U18660"/>
    <s v="SHIBUKI"/>
    <x v="113"/>
    <m/>
    <m/>
    <m/>
    <n v="0"/>
    <m/>
    <m/>
  </r>
  <r>
    <n v="396"/>
    <x v="4"/>
    <s v="Night"/>
    <x v="1"/>
    <n v="2000707399"/>
    <n v="350"/>
    <n v="140"/>
    <n v="0"/>
    <s v="U15759"/>
    <s v="PSHV"/>
    <x v="96"/>
    <m/>
    <m/>
    <m/>
    <n v="0"/>
    <m/>
    <m/>
  </r>
  <r>
    <n v="397"/>
    <x v="4"/>
    <s v="Night"/>
    <x v="1"/>
    <n v="2000706940"/>
    <n v="270"/>
    <n v="90"/>
    <n v="0"/>
    <s v="U15759"/>
    <s v="BORUTO"/>
    <x v="107"/>
    <m/>
    <m/>
    <m/>
    <n v="0"/>
    <m/>
    <m/>
  </r>
  <r>
    <n v="398"/>
    <x v="4"/>
    <s v="Night"/>
    <x v="1"/>
    <n v="2000707404"/>
    <n v="1020"/>
    <n v="210"/>
    <n v="0"/>
    <s v="U15759"/>
    <s v="SHANKS"/>
    <x v="22"/>
    <m/>
    <m/>
    <m/>
    <n v="0"/>
    <m/>
    <m/>
  </r>
  <r>
    <n v="399"/>
    <x v="4"/>
    <s v="Night"/>
    <x v="1"/>
    <n v="2000706938"/>
    <n v="736"/>
    <n v="35"/>
    <n v="0"/>
    <s v="U15759"/>
    <s v="FRANKY"/>
    <x v="81"/>
    <m/>
    <m/>
    <m/>
    <n v="0"/>
    <m/>
    <m/>
  </r>
  <r>
    <n v="400"/>
    <x v="4"/>
    <s v="Night"/>
    <x v="1"/>
    <n v="2000707119"/>
    <n v="410"/>
    <n v="50"/>
    <n v="0"/>
    <s v="U15759"/>
    <s v="SHIBUKI"/>
    <x v="113"/>
    <m/>
    <m/>
    <m/>
    <n v="0"/>
    <m/>
    <m/>
  </r>
  <r>
    <n v="401"/>
    <x v="4"/>
    <s v="Night"/>
    <x v="1"/>
    <n v="2000707402"/>
    <n v="300"/>
    <n v="200"/>
    <n v="0"/>
    <s v="U15759"/>
    <s v="PSLV"/>
    <x v="49"/>
    <m/>
    <m/>
    <m/>
    <n v="0"/>
    <m/>
    <m/>
  </r>
  <r>
    <n v="402"/>
    <x v="5"/>
    <s v="Day"/>
    <x v="0"/>
    <n v="2000708054"/>
    <n v="420"/>
    <n v="295"/>
    <n v="0"/>
    <s v="U31065"/>
    <s v="L1193/94"/>
    <x v="116"/>
    <m/>
    <m/>
    <m/>
    <n v="0"/>
    <m/>
    <m/>
  </r>
  <r>
    <n v="403"/>
    <x v="5"/>
    <s v="Day"/>
    <x v="0"/>
    <n v="2000708379"/>
    <n v="180"/>
    <n v="180"/>
    <n v="0"/>
    <s v="U31065"/>
    <s v="L1193/94"/>
    <x v="118"/>
    <m/>
    <m/>
    <m/>
    <n v="0"/>
    <m/>
    <m/>
  </r>
  <r>
    <n v="404"/>
    <x v="5"/>
    <s v="Day"/>
    <x v="0"/>
    <n v="2000708381"/>
    <n v="540"/>
    <n v="60"/>
    <n v="0"/>
    <s v="U31065"/>
    <s v="L1193/94"/>
    <x v="118"/>
    <m/>
    <m/>
    <m/>
    <n v="0"/>
    <m/>
    <m/>
  </r>
  <r>
    <n v="405"/>
    <x v="5"/>
    <s v="Day"/>
    <x v="0"/>
    <n v="2000706760"/>
    <n v="1720"/>
    <n v="40"/>
    <n v="0"/>
    <s v="U09749"/>
    <s v="L1151/52"/>
    <x v="85"/>
    <m/>
    <m/>
    <m/>
    <n v="0"/>
    <m/>
    <m/>
  </r>
  <r>
    <n v="406"/>
    <x v="5"/>
    <s v="Day"/>
    <x v="0"/>
    <n v="2000707935"/>
    <n v="1600"/>
    <n v="150"/>
    <n v="0"/>
    <s v="U09749"/>
    <s v="L1144/47"/>
    <x v="13"/>
    <m/>
    <m/>
    <m/>
    <n v="0"/>
    <m/>
    <m/>
  </r>
  <r>
    <n v="407"/>
    <x v="5"/>
    <s v="Day"/>
    <x v="0"/>
    <n v="2000707962"/>
    <n v="2000"/>
    <n v="200"/>
    <n v="0"/>
    <s v="U09749"/>
    <s v="L1077"/>
    <x v="33"/>
    <m/>
    <m/>
    <m/>
    <n v="0"/>
    <m/>
    <m/>
  </r>
  <r>
    <n v="408"/>
    <x v="5"/>
    <s v="Day"/>
    <x v="0"/>
    <n v="2000707961"/>
    <n v="2000"/>
    <n v="200"/>
    <n v="0"/>
    <s v="U09749"/>
    <s v="L1077"/>
    <x v="10"/>
    <m/>
    <m/>
    <m/>
    <n v="0"/>
    <m/>
    <m/>
  </r>
  <r>
    <n v="409"/>
    <x v="5"/>
    <s v="Day"/>
    <x v="0"/>
    <n v="2000705737"/>
    <n v="912"/>
    <n v="912"/>
    <n v="0"/>
    <s v="U09749"/>
    <s v="L1193/94"/>
    <x v="119"/>
    <m/>
    <m/>
    <m/>
    <n v="0"/>
    <m/>
    <m/>
  </r>
  <r>
    <n v="410"/>
    <x v="5"/>
    <s v="Day"/>
    <x v="0"/>
    <n v="2000707977"/>
    <n v="1000"/>
    <n v="200"/>
    <n v="0"/>
    <s v="U09749"/>
    <s v="L1144/47"/>
    <x v="63"/>
    <m/>
    <m/>
    <m/>
    <n v="0"/>
    <m/>
    <m/>
  </r>
  <r>
    <n v="411"/>
    <x v="5"/>
    <s v="Day"/>
    <x v="0"/>
    <n v="2000707193"/>
    <n v="4220"/>
    <n v="300"/>
    <n v="0"/>
    <s v="U09749"/>
    <s v="T515"/>
    <x v="15"/>
    <m/>
    <m/>
    <m/>
    <n v="0"/>
    <m/>
    <m/>
  </r>
  <r>
    <n v="412"/>
    <x v="5"/>
    <s v="Day"/>
    <x v="0"/>
    <n v="2000706760"/>
    <n v="1720"/>
    <n v="40"/>
    <n v="0"/>
    <s v="U26613"/>
    <s v="L1151/52"/>
    <x v="85"/>
    <m/>
    <m/>
    <m/>
    <n v="0"/>
    <m/>
    <m/>
  </r>
  <r>
    <n v="413"/>
    <x v="5"/>
    <s v="Day"/>
    <x v="0"/>
    <n v="2000706634"/>
    <n v="360"/>
    <n v="45"/>
    <n v="0"/>
    <s v="U23987"/>
    <s v="L1170/71"/>
    <x v="117"/>
    <m/>
    <m/>
    <m/>
    <n v="0"/>
    <m/>
    <m/>
  </r>
  <r>
    <n v="414"/>
    <x v="5"/>
    <s v="Day"/>
    <x v="0"/>
    <n v="2000707950"/>
    <n v="430"/>
    <n v="80"/>
    <n v="0"/>
    <s v="U23987"/>
    <s v="L1144/47"/>
    <x v="101"/>
    <m/>
    <m/>
    <m/>
    <n v="0"/>
    <m/>
    <m/>
  </r>
  <r>
    <n v="415"/>
    <x v="5"/>
    <s v="Day"/>
    <x v="0"/>
    <n v="2000708378"/>
    <n v="2000"/>
    <n v="60"/>
    <n v="0"/>
    <s v="U23987"/>
    <s v="L1077"/>
    <x v="2"/>
    <m/>
    <m/>
    <m/>
    <n v="0"/>
    <m/>
    <m/>
  </r>
  <r>
    <n v="416"/>
    <x v="5"/>
    <s v="Day"/>
    <x v="0"/>
    <n v="2000707771"/>
    <n v="1036"/>
    <n v="75"/>
    <n v="0"/>
    <s v="U23987"/>
    <s v="L1209/10"/>
    <x v="68"/>
    <m/>
    <m/>
    <m/>
    <n v="0"/>
    <m/>
    <m/>
  </r>
  <r>
    <n v="417"/>
    <x v="5"/>
    <s v="Day"/>
    <x v="0"/>
    <n v="2000707771"/>
    <n v="1036"/>
    <n v="105"/>
    <n v="0"/>
    <s v="U07492"/>
    <s v="L1209/10"/>
    <x v="68"/>
    <m/>
    <m/>
    <m/>
    <n v="0"/>
    <m/>
    <m/>
  </r>
  <r>
    <n v="418"/>
    <x v="5"/>
    <s v="Day"/>
    <x v="0"/>
    <n v="2000707222"/>
    <n v="1850"/>
    <n v="440"/>
    <n v="0"/>
    <s v="U09854"/>
    <s v="L1188/89"/>
    <x v="17"/>
    <m/>
    <m/>
    <m/>
    <n v="0"/>
    <m/>
    <m/>
  </r>
  <r>
    <n v="419"/>
    <x v="5"/>
    <s v="Day"/>
    <x v="0"/>
    <n v="2000707771"/>
    <n v="1036"/>
    <n v="288"/>
    <n v="0"/>
    <s v="U09854"/>
    <s v="L1209/10"/>
    <x v="68"/>
    <m/>
    <m/>
    <m/>
    <n v="0"/>
    <m/>
    <m/>
  </r>
  <r>
    <n v="420"/>
    <x v="5"/>
    <s v="Day"/>
    <x v="0"/>
    <n v="2000708036"/>
    <n v="640"/>
    <n v="280"/>
    <n v="0"/>
    <s v="U27724"/>
    <s v="L1188/89"/>
    <x v="43"/>
    <m/>
    <m/>
    <m/>
    <n v="0"/>
    <m/>
    <m/>
  </r>
  <r>
    <n v="421"/>
    <x v="5"/>
    <s v="Day"/>
    <x v="0"/>
    <n v="2000707222"/>
    <n v="1850"/>
    <n v="200"/>
    <n v="0"/>
    <s v="U27724"/>
    <s v="L1188/89"/>
    <x v="17"/>
    <m/>
    <m/>
    <m/>
    <n v="0"/>
    <m/>
    <m/>
  </r>
  <r>
    <n v="422"/>
    <x v="5"/>
    <s v="Day"/>
    <x v="0"/>
    <n v="2000708372"/>
    <n v="890"/>
    <n v="80"/>
    <n v="0"/>
    <s v="U30425"/>
    <s v="L1172/73"/>
    <x v="83"/>
    <m/>
    <m/>
    <m/>
    <n v="0"/>
    <m/>
    <m/>
  </r>
  <r>
    <n v="423"/>
    <x v="5"/>
    <s v="Day"/>
    <x v="0"/>
    <n v="2000707950"/>
    <n v="430"/>
    <n v="20"/>
    <n v="0"/>
    <s v="U30425"/>
    <s v="L1144/47"/>
    <x v="101"/>
    <m/>
    <m/>
    <m/>
    <n v="0"/>
    <m/>
    <m/>
  </r>
  <r>
    <n v="424"/>
    <x v="5"/>
    <s v="Day"/>
    <x v="0"/>
    <n v="2000707779"/>
    <n v="2100"/>
    <n v="30"/>
    <n v="0"/>
    <s v="U30425"/>
    <s v="L1172/73"/>
    <x v="18"/>
    <m/>
    <m/>
    <m/>
    <n v="0"/>
    <m/>
    <m/>
  </r>
  <r>
    <n v="425"/>
    <x v="5"/>
    <s v="Day"/>
    <x v="0"/>
    <n v="2000708457"/>
    <n v="2400"/>
    <n v="120"/>
    <n v="0"/>
    <s v="U30425"/>
    <s v="L1128/29"/>
    <x v="11"/>
    <m/>
    <m/>
    <m/>
    <n v="0"/>
    <m/>
    <m/>
  </r>
  <r>
    <n v="426"/>
    <x v="5"/>
    <s v="Day"/>
    <x v="0"/>
    <n v="2000708388"/>
    <n v="720"/>
    <n v="80"/>
    <n v="0"/>
    <s v="U30425"/>
    <s v="L1144/47"/>
    <x v="120"/>
    <m/>
    <m/>
    <m/>
    <n v="0"/>
    <m/>
    <m/>
  </r>
  <r>
    <n v="427"/>
    <x v="5"/>
    <s v="Day"/>
    <x v="0"/>
    <n v="2000707979"/>
    <n v="1000"/>
    <n v="80"/>
    <n v="0"/>
    <s v="U30425"/>
    <s v="L1144/47"/>
    <x v="42"/>
    <m/>
    <m/>
    <m/>
    <n v="0"/>
    <m/>
    <m/>
  </r>
  <r>
    <n v="428"/>
    <x v="5"/>
    <s v="Day"/>
    <x v="0"/>
    <n v="2000707954"/>
    <n v="1000"/>
    <n v="30"/>
    <n v="0"/>
    <s v="U30425"/>
    <s v="L1174/75"/>
    <x v="61"/>
    <m/>
    <m/>
    <m/>
    <n v="0"/>
    <m/>
    <m/>
  </r>
  <r>
    <n v="429"/>
    <x v="5"/>
    <s v="Day"/>
    <x v="0"/>
    <n v="2000706634"/>
    <n v="360"/>
    <n v="180"/>
    <n v="0"/>
    <s v="U36008"/>
    <s v="L1170/71"/>
    <x v="117"/>
    <m/>
    <m/>
    <m/>
    <n v="0"/>
    <m/>
    <m/>
  </r>
  <r>
    <n v="430"/>
    <x v="5"/>
    <s v="Day"/>
    <x v="0"/>
    <n v="2000707771"/>
    <n v="1036"/>
    <n v="271"/>
    <n v="0"/>
    <s v="U36008"/>
    <s v="L1209/10"/>
    <x v="68"/>
    <m/>
    <m/>
    <m/>
    <n v="0"/>
    <m/>
    <m/>
  </r>
  <r>
    <n v="431"/>
    <x v="5"/>
    <s v="Day"/>
    <x v="1"/>
    <n v="2000706604"/>
    <n v="450"/>
    <n v="160"/>
    <n v="0"/>
    <s v="U30119"/>
    <s v="PSHV"/>
    <x v="26"/>
    <m/>
    <m/>
    <m/>
    <n v="0"/>
    <m/>
    <m/>
  </r>
  <r>
    <n v="432"/>
    <x v="5"/>
    <s v="Day"/>
    <x v="1"/>
    <n v="2000707122"/>
    <n v="600"/>
    <n v="150"/>
    <n v="0"/>
    <s v="U30119"/>
    <s v="PSHV"/>
    <x v="25"/>
    <m/>
    <m/>
    <m/>
    <n v="0"/>
    <m/>
    <m/>
  </r>
  <r>
    <n v="433"/>
    <x v="5"/>
    <s v="Day"/>
    <x v="1"/>
    <n v="2000707420"/>
    <n v="300"/>
    <n v="100"/>
    <n v="0"/>
    <s v="U30119"/>
    <s v="PSLV"/>
    <x v="49"/>
    <m/>
    <m/>
    <m/>
    <n v="0"/>
    <m/>
    <m/>
  </r>
  <r>
    <n v="434"/>
    <x v="5"/>
    <s v="Day"/>
    <x v="1"/>
    <n v="2000707405"/>
    <n v="650"/>
    <n v="140"/>
    <n v="0"/>
    <s v="U30119"/>
    <s v="SHANKS"/>
    <x v="24"/>
    <m/>
    <m/>
    <m/>
    <n v="0"/>
    <m/>
    <m/>
  </r>
  <r>
    <n v="435"/>
    <x v="5"/>
    <s v="Day"/>
    <x v="1"/>
    <n v="2000707681"/>
    <n v="501"/>
    <n v="96"/>
    <n v="0"/>
    <s v="U30119"/>
    <s v="FRANKY"/>
    <x v="51"/>
    <m/>
    <m/>
    <m/>
    <n v="0"/>
    <m/>
    <m/>
  </r>
  <r>
    <n v="436"/>
    <x v="5"/>
    <s v="Day"/>
    <x v="1"/>
    <n v="2000707401"/>
    <n v="170"/>
    <n v="60"/>
    <n v="0"/>
    <s v="U30119"/>
    <s v="PSLV"/>
    <x v="79"/>
    <m/>
    <m/>
    <m/>
    <n v="0"/>
    <m/>
    <m/>
  </r>
  <r>
    <n v="437"/>
    <x v="5"/>
    <s v="Day"/>
    <x v="1"/>
    <n v="2000706941"/>
    <n v="360"/>
    <n v="270"/>
    <n v="0"/>
    <s v="U30119"/>
    <s v="BORUTO"/>
    <x v="111"/>
    <m/>
    <m/>
    <m/>
    <n v="0"/>
    <m/>
    <m/>
  </r>
  <r>
    <n v="438"/>
    <x v="5"/>
    <s v="Day"/>
    <x v="1"/>
    <n v="2000706935"/>
    <n v="450"/>
    <n v="80"/>
    <n v="0"/>
    <s v="U30119"/>
    <s v="PSHV"/>
    <x v="26"/>
    <m/>
    <m/>
    <m/>
    <n v="0"/>
    <m/>
    <m/>
  </r>
  <r>
    <n v="439"/>
    <x v="5"/>
    <s v="Day"/>
    <x v="1"/>
    <n v="2000707688"/>
    <n v="81"/>
    <n v="40"/>
    <n v="0"/>
    <s v="U30119"/>
    <s v="PSHV"/>
    <x v="121"/>
    <m/>
    <m/>
    <m/>
    <n v="0"/>
    <m/>
    <m/>
  </r>
  <r>
    <n v="440"/>
    <x v="5"/>
    <s v="Night"/>
    <x v="0"/>
    <n v="2000707222"/>
    <n v="1850"/>
    <n v="40"/>
    <n v="0"/>
    <s v="U30840"/>
    <s v="L1188/89"/>
    <x v="17"/>
    <m/>
    <m/>
    <m/>
    <n v="0"/>
    <m/>
    <m/>
  </r>
  <r>
    <n v="441"/>
    <x v="5"/>
    <s v="Night"/>
    <x v="0"/>
    <n v="2000708365"/>
    <n v="600"/>
    <n v="160"/>
    <n v="0"/>
    <s v="U30840"/>
    <s v="L1188/89"/>
    <x v="122"/>
    <m/>
    <m/>
    <m/>
    <n v="0"/>
    <m/>
    <m/>
  </r>
  <r>
    <n v="442"/>
    <x v="5"/>
    <s v="Night"/>
    <x v="0"/>
    <n v="2000708561"/>
    <n v="60"/>
    <n v="30"/>
    <n v="0"/>
    <s v="U32991"/>
    <s v="L1193/94"/>
    <x v="123"/>
    <m/>
    <m/>
    <m/>
    <n v="0"/>
    <m/>
    <m/>
  </r>
  <r>
    <n v="443"/>
    <x v="5"/>
    <s v="Night"/>
    <x v="0"/>
    <n v="2000708562"/>
    <n v="510"/>
    <n v="60"/>
    <n v="0"/>
    <s v="U32991"/>
    <s v="L1193/94"/>
    <x v="104"/>
    <m/>
    <m/>
    <m/>
    <n v="0"/>
    <m/>
    <m/>
  </r>
  <r>
    <n v="444"/>
    <x v="5"/>
    <s v="Night"/>
    <x v="0"/>
    <n v="2000706898"/>
    <n v="1200"/>
    <n v="150"/>
    <n v="0"/>
    <s v="U03968"/>
    <s v="L1182"/>
    <x v="124"/>
    <m/>
    <m/>
    <m/>
    <n v="0"/>
    <m/>
    <m/>
  </r>
  <r>
    <n v="445"/>
    <x v="5"/>
    <s v="Night"/>
    <x v="0"/>
    <n v="2000708017"/>
    <n v="4600"/>
    <n v="200"/>
    <n v="0"/>
    <s v="U03968"/>
    <s v="L1112/13"/>
    <x v="8"/>
    <m/>
    <m/>
    <m/>
    <n v="0"/>
    <m/>
    <m/>
  </r>
  <r>
    <n v="446"/>
    <x v="5"/>
    <s v="Night"/>
    <x v="0"/>
    <n v="2000708451"/>
    <n v="2070"/>
    <n v="150"/>
    <n v="0"/>
    <s v="U03968"/>
    <s v="L1112/13"/>
    <x v="75"/>
    <m/>
    <m/>
    <m/>
    <n v="0"/>
    <m/>
    <m/>
  </r>
  <r>
    <n v="447"/>
    <x v="5"/>
    <s v="Night"/>
    <x v="0"/>
    <n v="2000708560"/>
    <n v="3144"/>
    <n v="300"/>
    <n v="0"/>
    <s v="U03968"/>
    <s v="L1174/75"/>
    <x v="66"/>
    <m/>
    <m/>
    <m/>
    <n v="0"/>
    <m/>
    <m/>
  </r>
  <r>
    <n v="448"/>
    <x v="5"/>
    <s v="Night"/>
    <x v="0"/>
    <n v="2000706759"/>
    <n v="3600"/>
    <n v="200"/>
    <n v="0"/>
    <s v="U03968"/>
    <s v="L1144/47"/>
    <x v="14"/>
    <m/>
    <m/>
    <m/>
    <n v="0"/>
    <m/>
    <m/>
  </r>
  <r>
    <n v="449"/>
    <x v="5"/>
    <s v="Night"/>
    <x v="0"/>
    <n v="2000708377"/>
    <n v="2000"/>
    <n v="200"/>
    <n v="0"/>
    <s v="U03968"/>
    <s v="L1077"/>
    <x v="36"/>
    <m/>
    <m/>
    <m/>
    <n v="0"/>
    <m/>
    <m/>
  </r>
  <r>
    <n v="450"/>
    <x v="5"/>
    <s v="Night"/>
    <x v="0"/>
    <n v="2000707976"/>
    <n v="1000"/>
    <n v="200"/>
    <n v="0"/>
    <s v="U03968"/>
    <s v="L1144/47"/>
    <x v="64"/>
    <m/>
    <m/>
    <m/>
    <n v="0"/>
    <m/>
    <m/>
  </r>
  <r>
    <n v="451"/>
    <x v="5"/>
    <s v="Night"/>
    <x v="0"/>
    <n v="2000707978"/>
    <n v="1000"/>
    <n v="150"/>
    <n v="0"/>
    <s v="U03968"/>
    <s v="L1144/47"/>
    <x v="74"/>
    <m/>
    <m/>
    <m/>
    <n v="0"/>
    <m/>
    <m/>
  </r>
  <r>
    <n v="452"/>
    <x v="5"/>
    <s v="Night"/>
    <x v="0"/>
    <n v="2000704810"/>
    <n v="1350"/>
    <n v="21"/>
    <n v="0"/>
    <s v="U29686"/>
    <s v="L1170/71"/>
    <x v="117"/>
    <m/>
    <m/>
    <m/>
    <n v="0"/>
    <m/>
    <m/>
  </r>
  <r>
    <n v="453"/>
    <x v="5"/>
    <s v="Night"/>
    <x v="0"/>
    <n v="2000706633"/>
    <n v="2120"/>
    <n v="125"/>
    <n v="0"/>
    <s v="U29686"/>
    <s v="L1188/89"/>
    <x v="109"/>
    <m/>
    <m/>
    <m/>
    <n v="0"/>
    <m/>
    <m/>
  </r>
  <r>
    <n v="454"/>
    <x v="5"/>
    <s v="Night"/>
    <x v="0"/>
    <n v="2000705984"/>
    <n v="2120"/>
    <n v="5"/>
    <n v="0"/>
    <s v="U29686"/>
    <s v="L1188/89"/>
    <x v="109"/>
    <m/>
    <m/>
    <m/>
    <n v="0"/>
    <m/>
    <m/>
  </r>
  <r>
    <n v="455"/>
    <x v="5"/>
    <s v="Night"/>
    <x v="0"/>
    <n v="2000707772"/>
    <n v="910"/>
    <n v="406"/>
    <n v="0"/>
    <s v="U29686"/>
    <s v="L1209/10"/>
    <x v="44"/>
    <m/>
    <m/>
    <m/>
    <n v="0"/>
    <m/>
    <m/>
  </r>
  <r>
    <n v="456"/>
    <x v="5"/>
    <s v="Night"/>
    <x v="0"/>
    <n v="2000707222"/>
    <n v="1850"/>
    <n v="40"/>
    <n v="0"/>
    <s v="U29686"/>
    <s v="L1188/89"/>
    <x v="17"/>
    <m/>
    <m/>
    <m/>
    <n v="0"/>
    <m/>
    <m/>
  </r>
  <r>
    <n v="457"/>
    <x v="5"/>
    <s v="Night"/>
    <x v="0"/>
    <n v="2000706635"/>
    <n v="1080"/>
    <n v="45"/>
    <n v="0"/>
    <s v="U29686"/>
    <s v="L1209/10"/>
    <x v="125"/>
    <m/>
    <m/>
    <m/>
    <n v="0"/>
    <m/>
    <m/>
  </r>
  <r>
    <n v="458"/>
    <x v="5"/>
    <s v="Night"/>
    <x v="0"/>
    <n v="2000707770"/>
    <n v="990"/>
    <n v="30"/>
    <n v="0"/>
    <s v="U29686"/>
    <s v="L1209/10"/>
    <x v="55"/>
    <m/>
    <m/>
    <m/>
    <n v="0"/>
    <m/>
    <m/>
  </r>
  <r>
    <n v="459"/>
    <x v="5"/>
    <s v="Night"/>
    <x v="0"/>
    <n v="2000708381"/>
    <n v="540"/>
    <n v="270"/>
    <n v="0"/>
    <s v="U27687"/>
    <s v="L1193/94"/>
    <x v="21"/>
    <m/>
    <m/>
    <m/>
    <n v="0"/>
    <m/>
    <m/>
  </r>
  <r>
    <n v="460"/>
    <x v="5"/>
    <s v="Night"/>
    <x v="0"/>
    <n v="2000696952"/>
    <n v="370"/>
    <n v="2"/>
    <n v="0"/>
    <s v="U27687"/>
    <s v="L1193/94"/>
    <x v="123"/>
    <m/>
    <m/>
    <m/>
    <n v="0"/>
    <m/>
    <m/>
  </r>
  <r>
    <n v="461"/>
    <x v="5"/>
    <s v="Night"/>
    <x v="0"/>
    <n v="2000708561"/>
    <n v="60"/>
    <n v="30"/>
    <n v="0"/>
    <s v="U27687"/>
    <s v="L1193/94"/>
    <x v="123"/>
    <m/>
    <m/>
    <m/>
    <n v="0"/>
    <m/>
    <m/>
  </r>
  <r>
    <n v="462"/>
    <x v="5"/>
    <s v="Night"/>
    <x v="0"/>
    <n v="2000708556"/>
    <n v="56"/>
    <n v="46"/>
    <n v="0"/>
    <s v="U27687"/>
    <s v="L1105/06"/>
    <x v="126"/>
    <m/>
    <m/>
    <m/>
    <n v="0"/>
    <m/>
    <m/>
  </r>
  <r>
    <n v="463"/>
    <x v="5"/>
    <s v="Night"/>
    <x v="0"/>
    <n v="2000706635"/>
    <n v="1080"/>
    <n v="75"/>
    <n v="0"/>
    <s v="U27687"/>
    <s v="L1209/10"/>
    <x v="127"/>
    <m/>
    <m/>
    <m/>
    <n v="0"/>
    <m/>
    <m/>
  </r>
  <r>
    <n v="464"/>
    <x v="5"/>
    <s v="Night"/>
    <x v="0"/>
    <n v="2000707771"/>
    <n v="1036"/>
    <n v="45"/>
    <n v="0"/>
    <s v="U18660"/>
    <s v="L1209/10"/>
    <x v="68"/>
    <m/>
    <m/>
    <m/>
    <n v="0"/>
    <m/>
    <m/>
  </r>
  <r>
    <n v="465"/>
    <x v="5"/>
    <s v="Night"/>
    <x v="0"/>
    <n v="2000707772"/>
    <n v="910"/>
    <n v="225"/>
    <n v="0"/>
    <s v="U18660"/>
    <s v="L1209/10"/>
    <x v="44"/>
    <m/>
    <m/>
    <m/>
    <n v="0"/>
    <m/>
    <m/>
  </r>
  <r>
    <n v="466"/>
    <x v="5"/>
    <s v="Night"/>
    <x v="0"/>
    <n v="2000706635"/>
    <n v="1080"/>
    <n v="405"/>
    <n v="0"/>
    <s v="U18660"/>
    <s v="L1209/10"/>
    <x v="55"/>
    <m/>
    <m/>
    <m/>
    <n v="0"/>
    <m/>
    <m/>
  </r>
  <r>
    <n v="467"/>
    <x v="5"/>
    <s v="Night"/>
    <x v="0"/>
    <n v="2000706264"/>
    <n v="544"/>
    <n v="40"/>
    <n v="0"/>
    <s v="U18660"/>
    <s v="L1188/89"/>
    <x v="84"/>
    <m/>
    <m/>
    <m/>
    <n v="0"/>
    <m/>
    <m/>
  </r>
  <r>
    <n v="468"/>
    <x v="5"/>
    <s v="Night"/>
    <x v="0"/>
    <n v="2000708562"/>
    <n v="570"/>
    <n v="30"/>
    <n v="1"/>
    <s v="U18660"/>
    <s v="L1193/94"/>
    <x v="104"/>
    <s v="Dính thiếc "/>
    <m/>
    <s v="JP301"/>
    <n v="1"/>
    <s v="\\vn-file\QC Department\4.OQC\00. OQC Performance\03. Images\01. NG\20210109-NG-0730708562.jpg"/>
    <s v="\\vn-file\QC Department\4.OQC\00. OQC Performance\03. Images\02. OK\20210109-OK-0730708562.jpg"/>
  </r>
  <r>
    <n v="469"/>
    <x v="5"/>
    <s v="Night"/>
    <x v="0"/>
    <n v="2000708036"/>
    <n v="640"/>
    <n v="237"/>
    <n v="0"/>
    <s v="U15759"/>
    <s v="L1188/89"/>
    <x v="43"/>
    <m/>
    <m/>
    <m/>
    <n v="0"/>
    <m/>
    <m/>
  </r>
  <r>
    <n v="470"/>
    <x v="5"/>
    <s v="Night"/>
    <x v="0"/>
    <n v="2000708037"/>
    <n v="120"/>
    <n v="119"/>
    <n v="0"/>
    <s v="U15759"/>
    <s v="L1188/89"/>
    <x v="54"/>
    <m/>
    <m/>
    <m/>
    <n v="0"/>
    <m/>
    <m/>
  </r>
  <r>
    <n v="471"/>
    <x v="5"/>
    <s v="Night"/>
    <x v="0"/>
    <n v="2000707222"/>
    <n v="1850"/>
    <n v="80"/>
    <n v="0"/>
    <s v="U15759"/>
    <s v="L1188/89"/>
    <x v="17"/>
    <m/>
    <m/>
    <m/>
    <n v="0"/>
    <m/>
    <m/>
  </r>
  <r>
    <n v="472"/>
    <x v="5"/>
    <s v="Night"/>
    <x v="0"/>
    <n v="2000707954"/>
    <n v="1000"/>
    <n v="50"/>
    <n v="0"/>
    <s v="U27723"/>
    <s v="L1174/75"/>
    <x v="61"/>
    <m/>
    <m/>
    <m/>
    <n v="0"/>
    <m/>
    <m/>
  </r>
  <r>
    <n v="473"/>
    <x v="5"/>
    <s v="Night"/>
    <x v="0"/>
    <n v="2000707944"/>
    <n v="240"/>
    <n v="20"/>
    <n v="0"/>
    <s v="U27723"/>
    <s v="L1144/47"/>
    <x v="57"/>
    <m/>
    <m/>
    <m/>
    <n v="0"/>
    <m/>
    <m/>
  </r>
  <r>
    <n v="474"/>
    <x v="5"/>
    <s v="Night"/>
    <x v="0"/>
    <n v="2000708378"/>
    <n v="2000"/>
    <n v="60"/>
    <n v="0"/>
    <s v="U27723"/>
    <s v="L1077"/>
    <x v="2"/>
    <m/>
    <m/>
    <m/>
    <n v="0"/>
    <m/>
    <m/>
  </r>
  <r>
    <n v="475"/>
    <x v="5"/>
    <s v="Night"/>
    <x v="0"/>
    <n v="2000708006"/>
    <n v="3999"/>
    <n v="240"/>
    <n v="0"/>
    <s v="U27723"/>
    <s v="L1168/69"/>
    <x v="37"/>
    <m/>
    <m/>
    <m/>
    <n v="0"/>
    <m/>
    <m/>
  </r>
  <r>
    <n v="476"/>
    <x v="5"/>
    <s v="Night"/>
    <x v="0"/>
    <n v="2000708617"/>
    <n v="1200"/>
    <n v="80"/>
    <n v="0"/>
    <s v="U27723"/>
    <s v="L1168/69"/>
    <x v="93"/>
    <m/>
    <m/>
    <m/>
    <n v="0"/>
    <m/>
    <m/>
  </r>
  <r>
    <n v="477"/>
    <x v="5"/>
    <s v="Night"/>
    <x v="0"/>
    <n v="2000708559"/>
    <n v="1180"/>
    <n v="80"/>
    <n v="0"/>
    <s v="U27723"/>
    <s v="T541"/>
    <x v="94"/>
    <m/>
    <m/>
    <m/>
    <n v="0"/>
    <m/>
    <m/>
  </r>
  <r>
    <n v="478"/>
    <x v="5"/>
    <s v="Night"/>
    <x v="0"/>
    <n v="2000708556"/>
    <n v="56"/>
    <n v="10"/>
    <n v="0"/>
    <s v="U27723"/>
    <s v="L1105"/>
    <x v="126"/>
    <m/>
    <m/>
    <m/>
    <n v="0"/>
    <m/>
    <m/>
  </r>
  <r>
    <n v="479"/>
    <x v="5"/>
    <s v="Night"/>
    <x v="0"/>
    <n v="2000708404"/>
    <n v="2700"/>
    <n v="40"/>
    <n v="0"/>
    <s v="U27723"/>
    <s v="L1174/75"/>
    <x v="40"/>
    <m/>
    <m/>
    <m/>
    <n v="0"/>
    <m/>
    <m/>
  </r>
  <r>
    <n v="480"/>
    <x v="5"/>
    <s v="Night"/>
    <x v="1"/>
    <n v="2000707688"/>
    <n v="81"/>
    <n v="40"/>
    <n v="0"/>
    <s v="U32991"/>
    <s v="PSHV"/>
    <x v="121"/>
    <m/>
    <m/>
    <m/>
    <n v="0"/>
    <m/>
    <m/>
  </r>
  <r>
    <n v="481"/>
    <x v="5"/>
    <s v="Night"/>
    <x v="1"/>
    <n v="2000707679"/>
    <n v="510"/>
    <n v="90"/>
    <n v="0"/>
    <s v="U32991"/>
    <s v="SHANKS"/>
    <x v="22"/>
    <m/>
    <m/>
    <m/>
    <n v="0"/>
    <m/>
    <m/>
  </r>
  <r>
    <n v="482"/>
    <x v="5"/>
    <s v="Night"/>
    <x v="1"/>
    <n v="2000707676"/>
    <n v="400"/>
    <n v="60"/>
    <n v="0"/>
    <s v="U32991"/>
    <s v="PSLV"/>
    <x v="49"/>
    <m/>
    <m/>
    <m/>
    <n v="0"/>
    <m/>
    <m/>
  </r>
  <r>
    <n v="483"/>
    <x v="5"/>
    <s v="Night"/>
    <x v="1"/>
    <n v="2000707675"/>
    <n v="60"/>
    <n v="60"/>
    <n v="0"/>
    <s v="U32991"/>
    <s v="PSLV"/>
    <x v="128"/>
    <m/>
    <m/>
    <m/>
    <n v="0"/>
    <m/>
    <m/>
  </r>
  <r>
    <n v="484"/>
    <x v="5"/>
    <s v="Night"/>
    <x v="1"/>
    <n v="2000707677"/>
    <n v="150"/>
    <n v="30"/>
    <n v="0"/>
    <s v="U32991"/>
    <s v="PSLV"/>
    <x v="129"/>
    <m/>
    <m/>
    <m/>
    <n v="0"/>
    <m/>
    <m/>
  </r>
  <r>
    <n v="485"/>
    <x v="5"/>
    <s v="Night"/>
    <x v="1"/>
    <n v="2000707406"/>
    <n v="600"/>
    <n v="80"/>
    <n v="0"/>
    <s v="U32991"/>
    <s v="PSHV"/>
    <x v="25"/>
    <m/>
    <m/>
    <m/>
    <n v="0"/>
    <m/>
    <m/>
  </r>
  <r>
    <n v="486"/>
    <x v="5"/>
    <s v="Night"/>
    <x v="1"/>
    <n v="2000707680"/>
    <n v="650"/>
    <n v="105"/>
    <n v="0"/>
    <s v="U32991"/>
    <s v="SHANKS"/>
    <x v="24"/>
    <m/>
    <m/>
    <m/>
    <n v="0"/>
    <m/>
    <m/>
  </r>
  <r>
    <n v="487"/>
    <x v="5"/>
    <s v="Night"/>
    <x v="1"/>
    <n v="2000707676"/>
    <n v="400"/>
    <n v="140"/>
    <n v="0"/>
    <s v="U15759"/>
    <s v="PSLV"/>
    <x v="49"/>
    <m/>
    <m/>
    <m/>
    <n v="0"/>
    <m/>
    <m/>
  </r>
  <r>
    <n v="488"/>
    <x v="5"/>
    <s v="Night"/>
    <x v="1"/>
    <n v="2000707678"/>
    <n v="1000"/>
    <n v="180"/>
    <n v="0"/>
    <s v="U15759"/>
    <s v="SHANKS"/>
    <x v="67"/>
    <m/>
    <m/>
    <m/>
    <n v="0"/>
    <m/>
    <m/>
  </r>
  <r>
    <n v="489"/>
    <x v="6"/>
    <s v="Day"/>
    <x v="0"/>
    <n v="2000708562"/>
    <n v="510"/>
    <n v="150"/>
    <n v="1"/>
    <s v="U31065"/>
    <s v="L1193/94"/>
    <x v="104"/>
    <s v="Dính thiếc "/>
    <m/>
    <s v="JP301"/>
    <n v="1"/>
    <s v="\\vn-file\QC Department\4.OQC\00. OQC Performance\03. Images\01. NG\20210111-NG-1530708562.jpg"/>
    <s v="\\vn-file\QC Department\4.OQC\00. OQC Performance\03. Images\02. OK\20210111-OK-1530708562.jpg"/>
  </r>
  <r>
    <n v="490"/>
    <x v="6"/>
    <s v="Day"/>
    <x v="0"/>
    <n v="2000708778"/>
    <n v="856"/>
    <n v="114"/>
    <n v="0"/>
    <s v="U31065"/>
    <s v="L1170/71"/>
    <x v="46"/>
    <m/>
    <m/>
    <m/>
    <n v="0"/>
    <m/>
    <m/>
  </r>
  <r>
    <n v="491"/>
    <x v="6"/>
    <s v="Day"/>
    <x v="0"/>
    <n v="2000708381"/>
    <n v="540"/>
    <n v="60"/>
    <n v="0"/>
    <s v="U31065"/>
    <s v="L1193/94"/>
    <x v="21"/>
    <m/>
    <m/>
    <m/>
    <n v="0"/>
    <m/>
    <m/>
  </r>
  <r>
    <n v="492"/>
    <x v="6"/>
    <s v="Day"/>
    <x v="0"/>
    <n v="2000708688"/>
    <n v="810"/>
    <n v="90"/>
    <n v="0"/>
    <s v="U31065"/>
    <s v="L1193/94"/>
    <x v="21"/>
    <m/>
    <m/>
    <m/>
    <n v="0"/>
    <m/>
    <m/>
  </r>
  <r>
    <n v="493"/>
    <x v="6"/>
    <s v="Day"/>
    <x v="0"/>
    <n v="2000706635"/>
    <n v="1080"/>
    <n v="15"/>
    <n v="0"/>
    <s v="U36008"/>
    <s v="L1209/10"/>
    <x v="55"/>
    <m/>
    <m/>
    <m/>
    <n v="0"/>
    <m/>
    <m/>
  </r>
  <r>
    <n v="494"/>
    <x v="6"/>
    <s v="Day"/>
    <x v="0"/>
    <n v="2000707770"/>
    <n v="990"/>
    <n v="330"/>
    <n v="0"/>
    <s v="U36008"/>
    <s v="L1209/10"/>
    <x v="55"/>
    <m/>
    <m/>
    <m/>
    <n v="0"/>
    <m/>
    <m/>
  </r>
  <r>
    <n v="495"/>
    <x v="6"/>
    <s v="Day"/>
    <x v="0"/>
    <n v="2000708889"/>
    <n v="856"/>
    <n v="270"/>
    <n v="0"/>
    <s v="U36008"/>
    <s v="L1170/71"/>
    <x v="46"/>
    <m/>
    <m/>
    <m/>
    <n v="0"/>
    <m/>
    <m/>
  </r>
  <r>
    <n v="496"/>
    <x v="6"/>
    <s v="Day"/>
    <x v="0"/>
    <n v="2000705330"/>
    <n v="540"/>
    <n v="18"/>
    <n v="0"/>
    <s v="U36008"/>
    <s v="L1170/71"/>
    <x v="46"/>
    <m/>
    <m/>
    <m/>
    <n v="0"/>
    <m/>
    <m/>
  </r>
  <r>
    <n v="497"/>
    <x v="6"/>
    <s v="Day"/>
    <x v="0"/>
    <n v="2000708556"/>
    <n v="56"/>
    <n v="56"/>
    <n v="0"/>
    <s v="U09854"/>
    <s v="L1105"/>
    <x v="126"/>
    <m/>
    <m/>
    <m/>
    <n v="0"/>
    <m/>
    <m/>
  </r>
  <r>
    <n v="498"/>
    <x v="6"/>
    <s v="Day"/>
    <x v="0"/>
    <n v="2000708381"/>
    <n v="540"/>
    <n v="60"/>
    <n v="0"/>
    <s v="U09854"/>
    <s v="L1193/94"/>
    <x v="21"/>
    <m/>
    <m/>
    <m/>
    <n v="0"/>
    <m/>
    <m/>
  </r>
  <r>
    <n v="499"/>
    <x v="6"/>
    <s v="Day"/>
    <x v="0"/>
    <n v="2000705735"/>
    <n v="2160"/>
    <n v="60"/>
    <n v="0"/>
    <s v="U09854"/>
    <s v="L1193/94"/>
    <x v="30"/>
    <m/>
    <m/>
    <m/>
    <n v="0"/>
    <m/>
    <m/>
  </r>
  <r>
    <n v="500"/>
    <x v="6"/>
    <s v="Day"/>
    <x v="0"/>
    <n v="2000708688"/>
    <n v="810"/>
    <n v="60"/>
    <n v="0"/>
    <s v="U09854"/>
    <s v="L1193/94"/>
    <x v="21"/>
    <m/>
    <m/>
    <m/>
    <n v="0"/>
    <m/>
    <m/>
  </r>
  <r>
    <n v="501"/>
    <x v="6"/>
    <s v="Day"/>
    <x v="0"/>
    <n v="2000708365"/>
    <n v="600"/>
    <n v="56"/>
    <n v="0"/>
    <s v="U09854"/>
    <s v="L1188/89"/>
    <x v="122"/>
    <m/>
    <m/>
    <m/>
    <n v="0"/>
    <m/>
    <m/>
  </r>
  <r>
    <n v="502"/>
    <x v="6"/>
    <s v="Day"/>
    <x v="0"/>
    <n v="2000708557"/>
    <n v="48"/>
    <n v="40"/>
    <n v="0"/>
    <s v="U09854"/>
    <s v="L1106"/>
    <x v="70"/>
    <m/>
    <m/>
    <m/>
    <n v="0"/>
    <m/>
    <m/>
  </r>
  <r>
    <n v="503"/>
    <x v="6"/>
    <s v="Day"/>
    <x v="0"/>
    <n v="2000708557"/>
    <n v="48"/>
    <n v="7"/>
    <n v="0"/>
    <s v="U09854"/>
    <s v="L1106"/>
    <x v="70"/>
    <m/>
    <m/>
    <m/>
    <n v="0"/>
    <m/>
    <m/>
  </r>
  <r>
    <n v="504"/>
    <x v="6"/>
    <s v="Day"/>
    <x v="0"/>
    <n v="2000708684"/>
    <n v="1320"/>
    <n v="160"/>
    <n v="0"/>
    <s v="U09854"/>
    <s v="L1188/89"/>
    <x v="130"/>
    <m/>
    <m/>
    <m/>
    <n v="0"/>
    <m/>
    <m/>
  </r>
  <r>
    <n v="505"/>
    <x v="6"/>
    <s v="Day"/>
    <x v="0"/>
    <n v="2000705508"/>
    <n v="14"/>
    <n v="12"/>
    <n v="0"/>
    <s v="U09854"/>
    <s v="L1197/98"/>
    <x v="131"/>
    <m/>
    <m/>
    <m/>
    <n v="0"/>
    <m/>
    <m/>
  </r>
  <r>
    <n v="506"/>
    <x v="6"/>
    <s v="Day"/>
    <x v="0"/>
    <n v="2000705509"/>
    <n v="14"/>
    <n v="12"/>
    <n v="0"/>
    <s v="U09854"/>
    <s v="L1197/98"/>
    <x v="131"/>
    <m/>
    <m/>
    <m/>
    <n v="0"/>
    <m/>
    <m/>
  </r>
  <r>
    <n v="507"/>
    <x v="6"/>
    <s v="Day"/>
    <x v="0"/>
    <n v="2000708365"/>
    <n v="600"/>
    <n v="360"/>
    <n v="0"/>
    <s v="U27724"/>
    <s v="L1188/89"/>
    <x v="122"/>
    <m/>
    <m/>
    <m/>
    <n v="0"/>
    <m/>
    <m/>
  </r>
  <r>
    <n v="508"/>
    <x v="6"/>
    <s v="Day"/>
    <x v="0"/>
    <n v="2000708694"/>
    <n v="1320"/>
    <n v="200"/>
    <n v="0"/>
    <s v="U27724"/>
    <s v="L1188/89"/>
    <x v="130"/>
    <m/>
    <m/>
    <m/>
    <n v="0"/>
    <m/>
    <m/>
  </r>
  <r>
    <n v="509"/>
    <x v="6"/>
    <s v="Day"/>
    <x v="0"/>
    <n v="2000707772"/>
    <n v="910"/>
    <n v="135"/>
    <n v="0"/>
    <s v="U23987"/>
    <s v="L1209/10"/>
    <x v="44"/>
    <m/>
    <m/>
    <m/>
    <n v="0"/>
    <m/>
    <m/>
  </r>
  <r>
    <n v="510"/>
    <x v="6"/>
    <s v="Day"/>
    <x v="0"/>
    <n v="2000706583"/>
    <n v="3050"/>
    <n v="45"/>
    <n v="0"/>
    <s v="U23987"/>
    <s v="L1209/10"/>
    <x v="44"/>
    <m/>
    <m/>
    <m/>
    <n v="0"/>
    <m/>
    <m/>
  </r>
  <r>
    <n v="511"/>
    <x v="6"/>
    <s v="Day"/>
    <x v="0"/>
    <n v="2000707770"/>
    <n v="990"/>
    <n v="168"/>
    <n v="0"/>
    <s v="U23987"/>
    <s v="L1209/10"/>
    <x v="55"/>
    <m/>
    <m/>
    <m/>
    <n v="0"/>
    <m/>
    <m/>
  </r>
  <r>
    <n v="512"/>
    <x v="6"/>
    <s v="Day"/>
    <x v="0"/>
    <n v="2000708778"/>
    <n v="856"/>
    <n v="90"/>
    <n v="0"/>
    <s v="U23987"/>
    <s v="L1170/71"/>
    <x v="46"/>
    <m/>
    <m/>
    <m/>
    <n v="0"/>
    <m/>
    <m/>
  </r>
  <r>
    <n v="513"/>
    <x v="6"/>
    <s v="Day"/>
    <x v="0"/>
    <n v="2000708440"/>
    <n v="2700"/>
    <n v="80"/>
    <n v="0"/>
    <s v="U30425"/>
    <s v="L1174/75"/>
    <x v="40"/>
    <m/>
    <m/>
    <m/>
    <n v="0"/>
    <m/>
    <m/>
  </r>
  <r>
    <n v="514"/>
    <x v="6"/>
    <s v="Day"/>
    <x v="0"/>
    <n v="2000708718"/>
    <n v="1360"/>
    <n v="120"/>
    <n v="0"/>
    <s v="U30425"/>
    <s v="L1186"/>
    <x v="4"/>
    <m/>
    <m/>
    <m/>
    <n v="0"/>
    <m/>
    <m/>
  </r>
  <r>
    <n v="515"/>
    <x v="6"/>
    <s v="Day"/>
    <x v="0"/>
    <n v="2000708707"/>
    <n v="1130"/>
    <n v="100"/>
    <n v="0"/>
    <s v="U30425"/>
    <s v="L1144/47"/>
    <x v="101"/>
    <m/>
    <m/>
    <m/>
    <n v="0"/>
    <m/>
    <m/>
  </r>
  <r>
    <n v="516"/>
    <x v="6"/>
    <s v="Day"/>
    <x v="0"/>
    <n v="2000708953"/>
    <n v="600"/>
    <n v="80"/>
    <n v="0"/>
    <s v="U30425"/>
    <s v="L1168/69"/>
    <x v="132"/>
    <m/>
    <m/>
    <m/>
    <n v="0"/>
    <m/>
    <m/>
  </r>
  <r>
    <n v="517"/>
    <x v="6"/>
    <s v="Day"/>
    <x v="0"/>
    <n v="2000708702"/>
    <n v="860"/>
    <n v="80"/>
    <n v="0"/>
    <s v="U30425"/>
    <s v="T541"/>
    <x v="133"/>
    <m/>
    <m/>
    <m/>
    <n v="0"/>
    <m/>
    <m/>
  </r>
  <r>
    <n v="518"/>
    <x v="6"/>
    <s v="Day"/>
    <x v="0"/>
    <n v="2000707963"/>
    <n v="2000"/>
    <n v="200"/>
    <n v="0"/>
    <s v="U26613"/>
    <s v="L1077"/>
    <x v="6"/>
    <m/>
    <m/>
    <m/>
    <n v="0"/>
    <m/>
    <m/>
  </r>
  <r>
    <n v="519"/>
    <x v="6"/>
    <s v="Day"/>
    <x v="0"/>
    <n v="2000705735"/>
    <n v="2160"/>
    <n v="180"/>
    <n v="0"/>
    <s v="U26613"/>
    <s v="L1193/94"/>
    <x v="30"/>
    <m/>
    <m/>
    <m/>
    <n v="0"/>
    <m/>
    <m/>
  </r>
  <r>
    <n v="520"/>
    <x v="6"/>
    <s v="Day"/>
    <x v="0"/>
    <n v="2000708024"/>
    <n v="1792"/>
    <n v="400"/>
    <n v="0"/>
    <s v="U26613"/>
    <s v="L1193/94"/>
    <x v="119"/>
    <m/>
    <m/>
    <m/>
    <n v="0"/>
    <m/>
    <m/>
  </r>
  <r>
    <n v="521"/>
    <x v="6"/>
    <s v="Day"/>
    <x v="0"/>
    <n v="2000707953"/>
    <n v="1000"/>
    <n v="400"/>
    <n v="0"/>
    <s v="U26613"/>
    <s v="L1174/75"/>
    <x v="62"/>
    <m/>
    <m/>
    <m/>
    <n v="0"/>
    <m/>
    <m/>
  </r>
  <r>
    <n v="522"/>
    <x v="6"/>
    <s v="Day"/>
    <x v="0"/>
    <n v="2000708025"/>
    <n v="2620"/>
    <n v="240"/>
    <n v="0"/>
    <s v="U26613"/>
    <s v="L1193/94"/>
    <x v="30"/>
    <m/>
    <m/>
    <m/>
    <n v="0"/>
    <m/>
    <m/>
  </r>
  <r>
    <n v="523"/>
    <x v="6"/>
    <s v="Day"/>
    <x v="0"/>
    <n v="2000708716"/>
    <n v="1360"/>
    <n v="200"/>
    <n v="0"/>
    <s v="U07492"/>
    <s v="L1186"/>
    <x v="32"/>
    <m/>
    <m/>
    <m/>
    <n v="0"/>
    <m/>
    <m/>
  </r>
  <r>
    <n v="524"/>
    <x v="6"/>
    <s v="Day"/>
    <x v="0"/>
    <n v="2000708403"/>
    <n v="2700"/>
    <n v="300"/>
    <n v="0"/>
    <s v="U07492"/>
    <s v="L1174/75"/>
    <x v="62"/>
    <m/>
    <m/>
    <m/>
    <n v="0"/>
    <m/>
    <m/>
  </r>
  <r>
    <n v="525"/>
    <x v="6"/>
    <s v="Day"/>
    <x v="0"/>
    <n v="2000707787"/>
    <n v="4210"/>
    <n v="240"/>
    <n v="0"/>
    <s v="U07492"/>
    <s v="T515"/>
    <x v="15"/>
    <m/>
    <m/>
    <m/>
    <n v="0"/>
    <m/>
    <m/>
  </r>
  <r>
    <n v="526"/>
    <x v="6"/>
    <s v="Day"/>
    <x v="0"/>
    <n v="2000708024"/>
    <n v="1792"/>
    <n v="100"/>
    <n v="0"/>
    <s v="U07492"/>
    <s v="L1193/94"/>
    <x v="119"/>
    <m/>
    <m/>
    <m/>
    <n v="0"/>
    <m/>
    <m/>
  </r>
  <r>
    <n v="527"/>
    <x v="6"/>
    <s v="Day"/>
    <x v="1"/>
    <n v="2000707403"/>
    <n v="1000"/>
    <n v="180"/>
    <n v="0"/>
    <s v="U30119"/>
    <s v="SHANKS"/>
    <x v="67"/>
    <m/>
    <m/>
    <m/>
    <n v="0"/>
    <m/>
    <m/>
  </r>
  <r>
    <n v="528"/>
    <x v="6"/>
    <s v="Day"/>
    <x v="1"/>
    <n v="2000707118"/>
    <n v="250"/>
    <n v="250"/>
    <n v="0"/>
    <s v="U30119"/>
    <s v="SHIBUKI"/>
    <x v="134"/>
    <m/>
    <m/>
    <m/>
    <n v="0"/>
    <m/>
    <m/>
  </r>
  <r>
    <n v="529"/>
    <x v="6"/>
    <s v="Day"/>
    <x v="1"/>
    <n v="2000707680"/>
    <n v="650"/>
    <n v="105"/>
    <n v="0"/>
    <s v="U30119"/>
    <s v="SHANKS"/>
    <x v="24"/>
    <m/>
    <m/>
    <m/>
    <n v="0"/>
    <m/>
    <m/>
  </r>
  <r>
    <n v="530"/>
    <x v="6"/>
    <s v="Day"/>
    <x v="1"/>
    <n v="2000707676"/>
    <n v="400"/>
    <n v="190"/>
    <n v="0"/>
    <s v="U30119"/>
    <s v="PSLV"/>
    <x v="49"/>
    <m/>
    <m/>
    <m/>
    <n v="0"/>
    <m/>
    <m/>
  </r>
  <r>
    <n v="531"/>
    <x v="6"/>
    <s v="Day"/>
    <x v="1"/>
    <n v="2000707674"/>
    <n v="150"/>
    <n v="109"/>
    <n v="0"/>
    <s v="U30119"/>
    <s v="PSLV"/>
    <x v="135"/>
    <m/>
    <m/>
    <m/>
    <n v="0"/>
    <m/>
    <m/>
  </r>
  <r>
    <n v="532"/>
    <x v="6"/>
    <s v="Day"/>
    <x v="1"/>
    <n v="2000708159"/>
    <n v="150"/>
    <n v="30"/>
    <n v="0"/>
    <s v="U30119"/>
    <s v="PSLV"/>
    <x v="79"/>
    <m/>
    <m/>
    <m/>
    <n v="0"/>
    <m/>
    <m/>
  </r>
  <r>
    <n v="533"/>
    <x v="6"/>
    <s v="Day"/>
    <x v="1"/>
    <n v="2000708158"/>
    <n v="300"/>
    <n v="80"/>
    <n v="0"/>
    <s v="U30119"/>
    <s v="PSLV"/>
    <x v="80"/>
    <m/>
    <m/>
    <m/>
    <n v="0"/>
    <m/>
    <m/>
  </r>
  <r>
    <n v="534"/>
    <x v="6"/>
    <s v="Night"/>
    <x v="0"/>
    <n v="2000705509"/>
    <n v="14"/>
    <n v="11"/>
    <n v="0"/>
    <s v="U32991"/>
    <s v="L1197/98"/>
    <x v="131"/>
    <m/>
    <m/>
    <m/>
    <n v="0"/>
    <m/>
    <m/>
  </r>
  <r>
    <n v="535"/>
    <x v="6"/>
    <s v="Night"/>
    <x v="0"/>
    <n v="2000705508"/>
    <n v="14"/>
    <n v="12"/>
    <n v="0"/>
    <s v="U32991"/>
    <s v="L1197/98"/>
    <x v="131"/>
    <m/>
    <m/>
    <m/>
    <n v="0"/>
    <m/>
    <m/>
  </r>
  <r>
    <n v="536"/>
    <x v="6"/>
    <s v="Night"/>
    <x v="0"/>
    <n v="2000708562"/>
    <n v="510"/>
    <n v="120"/>
    <n v="0"/>
    <s v="U32991"/>
    <s v="L1193/94"/>
    <x v="104"/>
    <m/>
    <m/>
    <m/>
    <n v="0"/>
    <m/>
    <m/>
  </r>
  <r>
    <n v="537"/>
    <x v="6"/>
    <s v="Night"/>
    <x v="0"/>
    <n v="2000708381"/>
    <n v="540"/>
    <n v="60"/>
    <n v="0"/>
    <s v="U32991"/>
    <s v="L1193/94"/>
    <x v="21"/>
    <m/>
    <m/>
    <m/>
    <n v="0"/>
    <m/>
    <m/>
  </r>
  <r>
    <n v="538"/>
    <x v="6"/>
    <s v="Night"/>
    <x v="0"/>
    <n v="2000708688"/>
    <n v="810"/>
    <n v="220"/>
    <n v="0"/>
    <s v="U32991"/>
    <s v="L1193/94"/>
    <x v="21"/>
    <m/>
    <m/>
    <m/>
    <n v="0"/>
    <m/>
    <m/>
  </r>
  <r>
    <n v="539"/>
    <x v="6"/>
    <s v="Night"/>
    <x v="0"/>
    <n v="2000708694"/>
    <n v="1320"/>
    <n v="120"/>
    <n v="0"/>
    <s v="U27687"/>
    <s v="L1188/89"/>
    <x v="130"/>
    <m/>
    <m/>
    <m/>
    <n v="0"/>
    <m/>
    <m/>
  </r>
  <r>
    <n v="540"/>
    <x v="6"/>
    <s v="Night"/>
    <x v="0"/>
    <n v="2000708557"/>
    <n v="48"/>
    <n v="40"/>
    <n v="0"/>
    <s v="U27687"/>
    <s v="L1105/06"/>
    <x v="70"/>
    <m/>
    <m/>
    <m/>
    <n v="0"/>
    <m/>
    <m/>
  </r>
  <r>
    <n v="541"/>
    <x v="6"/>
    <s v="Night"/>
    <x v="0"/>
    <n v="2000708688"/>
    <n v="810"/>
    <n v="270"/>
    <n v="0"/>
    <s v="U27687"/>
    <s v="L1193/94"/>
    <x v="21"/>
    <m/>
    <m/>
    <m/>
    <n v="0"/>
    <m/>
    <m/>
  </r>
  <r>
    <n v="542"/>
    <x v="6"/>
    <s v="Night"/>
    <x v="0"/>
    <n v="2000708364"/>
    <n v="1352"/>
    <n v="20"/>
    <n v="0"/>
    <s v="U27687"/>
    <s v="L1188/89"/>
    <x v="84"/>
    <m/>
    <m/>
    <m/>
    <n v="0"/>
    <m/>
    <m/>
  </r>
  <r>
    <n v="543"/>
    <x v="6"/>
    <s v="Night"/>
    <x v="0"/>
    <n v="2000708406"/>
    <n v="3700"/>
    <n v="200"/>
    <n v="0"/>
    <s v="U27723"/>
    <s v="L1174/75"/>
    <x v="21"/>
    <m/>
    <m/>
    <m/>
    <n v="0"/>
    <m/>
    <m/>
  </r>
  <r>
    <n v="544"/>
    <x v="6"/>
    <s v="Night"/>
    <x v="0"/>
    <n v="2000708694"/>
    <n v="1320"/>
    <n v="320"/>
    <n v="0"/>
    <s v="U27723"/>
    <s v="L1188/89"/>
    <x v="130"/>
    <m/>
    <m/>
    <m/>
    <n v="0"/>
    <m/>
    <m/>
  </r>
  <r>
    <n v="545"/>
    <x v="6"/>
    <s v="Night"/>
    <x v="0"/>
    <n v="2000707771"/>
    <n v="1036"/>
    <n v="54"/>
    <n v="0"/>
    <s v="U29686"/>
    <s v="L1209/10"/>
    <x v="68"/>
    <m/>
    <m/>
    <m/>
    <n v="0"/>
    <m/>
    <m/>
  </r>
  <r>
    <n v="546"/>
    <x v="6"/>
    <s v="Night"/>
    <x v="0"/>
    <n v="2000707770"/>
    <n v="990"/>
    <n v="43"/>
    <n v="0"/>
    <s v="U29686"/>
    <s v="L1209/10"/>
    <x v="55"/>
    <m/>
    <m/>
    <m/>
    <n v="0"/>
    <m/>
    <m/>
  </r>
  <r>
    <n v="547"/>
    <x v="6"/>
    <s v="Night"/>
    <x v="0"/>
    <n v="2000707772"/>
    <n v="910"/>
    <n v="48"/>
    <n v="0"/>
    <s v="U29686"/>
    <s v="L1209/10"/>
    <x v="44"/>
    <m/>
    <m/>
    <m/>
    <n v="0"/>
    <m/>
    <m/>
  </r>
  <r>
    <n v="548"/>
    <x v="6"/>
    <s v="Night"/>
    <x v="0"/>
    <n v="2000708778"/>
    <n v="856"/>
    <n v="179"/>
    <n v="0"/>
    <s v="U29686"/>
    <s v="L1170/71"/>
    <x v="46"/>
    <m/>
    <m/>
    <m/>
    <n v="0"/>
    <m/>
    <m/>
  </r>
  <r>
    <n v="549"/>
    <x v="6"/>
    <s v="Night"/>
    <x v="0"/>
    <n v="2000708364"/>
    <n v="1352"/>
    <n v="225"/>
    <n v="0"/>
    <s v="U29686"/>
    <s v="L1188/89"/>
    <x v="84"/>
    <m/>
    <m/>
    <m/>
    <n v="0"/>
    <m/>
    <m/>
  </r>
  <r>
    <n v="550"/>
    <x v="6"/>
    <s v="Night"/>
    <x v="0"/>
    <n v="2000704128"/>
    <n v="720"/>
    <n v="2"/>
    <n v="0"/>
    <s v="U18660"/>
    <s v="L1188/89"/>
    <x v="43"/>
    <m/>
    <m/>
    <m/>
    <n v="0"/>
    <m/>
    <m/>
  </r>
  <r>
    <n v="551"/>
    <x v="6"/>
    <s v="Night"/>
    <x v="0"/>
    <n v="2000706277"/>
    <n v="560"/>
    <n v="10"/>
    <n v="0"/>
    <s v="U18660"/>
    <s v="L1188/89"/>
    <x v="43"/>
    <m/>
    <m/>
    <m/>
    <n v="0"/>
    <m/>
    <m/>
  </r>
  <r>
    <n v="552"/>
    <x v="6"/>
    <s v="Night"/>
    <x v="0"/>
    <n v="2000708036"/>
    <n v="640"/>
    <n v="120"/>
    <n v="0"/>
    <s v="U18660"/>
    <s v="L1188/89"/>
    <x v="43"/>
    <m/>
    <m/>
    <m/>
    <n v="0"/>
    <m/>
    <m/>
  </r>
  <r>
    <n v="553"/>
    <x v="6"/>
    <s v="Night"/>
    <x v="0"/>
    <n v="2000705687"/>
    <n v="440"/>
    <n v="26"/>
    <n v="0"/>
    <s v="U18660"/>
    <s v="L1188/89"/>
    <x v="136"/>
    <m/>
    <m/>
    <m/>
    <n v="0"/>
    <m/>
    <m/>
  </r>
  <r>
    <n v="554"/>
    <x v="6"/>
    <s v="Night"/>
    <x v="0"/>
    <n v="2000708778"/>
    <n v="856"/>
    <n v="135"/>
    <n v="0"/>
    <s v="U18660"/>
    <s v="L1170/71"/>
    <x v="46"/>
    <m/>
    <m/>
    <m/>
    <n v="0"/>
    <m/>
    <m/>
  </r>
  <r>
    <n v="555"/>
    <x v="6"/>
    <s v="Night"/>
    <x v="0"/>
    <n v="2000708364"/>
    <n v="1352"/>
    <n v="655"/>
    <n v="0"/>
    <s v="U18660"/>
    <s v="L1188/89"/>
    <x v="84"/>
    <m/>
    <m/>
    <m/>
    <n v="0"/>
    <m/>
    <m/>
  </r>
  <r>
    <n v="556"/>
    <x v="6"/>
    <s v="Night"/>
    <x v="0"/>
    <n v="2000708918"/>
    <n v="2000"/>
    <n v="200"/>
    <n v="0"/>
    <s v="U36206"/>
    <s v="L1077"/>
    <x v="2"/>
    <m/>
    <m/>
    <m/>
    <n v="0"/>
    <m/>
    <m/>
  </r>
  <r>
    <n v="557"/>
    <x v="6"/>
    <s v="Night"/>
    <x v="0"/>
    <n v="2000708703"/>
    <n v="880"/>
    <n v="80"/>
    <n v="0"/>
    <s v="U36206"/>
    <s v="L1144/47"/>
    <x v="71"/>
    <m/>
    <m/>
    <m/>
    <n v="0"/>
    <m/>
    <m/>
  </r>
  <r>
    <n v="558"/>
    <x v="6"/>
    <s v="Night"/>
    <x v="0"/>
    <n v="2000708722"/>
    <n v="1800"/>
    <n v="120"/>
    <n v="0"/>
    <s v="U36206"/>
    <s v="L1144/47"/>
    <x v="59"/>
    <m/>
    <m/>
    <m/>
    <n v="0"/>
    <m/>
    <m/>
  </r>
  <r>
    <n v="559"/>
    <x v="6"/>
    <s v="Night"/>
    <x v="0"/>
    <n v="2000707972"/>
    <n v="360"/>
    <n v="40"/>
    <n v="0"/>
    <s v="U36206"/>
    <s v="L1182"/>
    <x v="137"/>
    <m/>
    <m/>
    <m/>
    <n v="0"/>
    <m/>
    <m/>
  </r>
  <r>
    <n v="560"/>
    <x v="6"/>
    <s v="Night"/>
    <x v="0"/>
    <n v="2000708374"/>
    <n v="2000"/>
    <n v="200"/>
    <n v="0"/>
    <s v="U03968"/>
    <s v="L1077"/>
    <x v="10"/>
    <m/>
    <m/>
    <m/>
    <n v="0"/>
    <m/>
    <m/>
  </r>
  <r>
    <n v="561"/>
    <x v="6"/>
    <s v="Night"/>
    <x v="0"/>
    <n v="2000708025"/>
    <n v="2620"/>
    <n v="240"/>
    <n v="0"/>
    <s v="U03968"/>
    <s v="L1193/94"/>
    <x v="30"/>
    <m/>
    <m/>
    <m/>
    <n v="0"/>
    <m/>
    <m/>
  </r>
  <r>
    <n v="562"/>
    <x v="6"/>
    <s v="Night"/>
    <x v="0"/>
    <n v="2000708375"/>
    <n v="2000"/>
    <n v="200"/>
    <n v="0"/>
    <s v="U03968"/>
    <s v="L1077"/>
    <x v="33"/>
    <m/>
    <m/>
    <m/>
    <n v="0"/>
    <m/>
    <m/>
  </r>
  <r>
    <n v="563"/>
    <x v="6"/>
    <s v="Night"/>
    <x v="0"/>
    <n v="2000708715"/>
    <n v="1360"/>
    <n v="200"/>
    <n v="0"/>
    <s v="U03968"/>
    <s v="L1186"/>
    <x v="34"/>
    <m/>
    <m/>
    <m/>
    <n v="0"/>
    <m/>
    <m/>
  </r>
  <r>
    <n v="564"/>
    <x v="6"/>
    <s v="Night"/>
    <x v="0"/>
    <n v="2000708452"/>
    <n v="2448"/>
    <n v="150"/>
    <n v="0"/>
    <s v="U03968"/>
    <s v="L1144/47"/>
    <x v="138"/>
    <m/>
    <m/>
    <m/>
    <n v="0"/>
    <m/>
    <m/>
  </r>
  <r>
    <n v="565"/>
    <x v="6"/>
    <s v="Night"/>
    <x v="0"/>
    <n v="2000708454"/>
    <n v="4239"/>
    <n v="240"/>
    <n v="0"/>
    <s v="U03968"/>
    <s v="L1172/73"/>
    <x v="7"/>
    <m/>
    <m/>
    <m/>
    <n v="0"/>
    <m/>
    <m/>
  </r>
  <r>
    <n v="566"/>
    <x v="6"/>
    <s v="Night"/>
    <x v="0"/>
    <n v="2000708775"/>
    <n v="6400"/>
    <n v="200"/>
    <n v="0"/>
    <s v="U03968"/>
    <s v="L1174/75"/>
    <x v="139"/>
    <m/>
    <m/>
    <m/>
    <n v="0"/>
    <m/>
    <m/>
  </r>
  <r>
    <n v="567"/>
    <x v="6"/>
    <s v="Night"/>
    <x v="0"/>
    <n v="2000708919"/>
    <n v="1344"/>
    <n v="160"/>
    <n v="0"/>
    <s v="U03968"/>
    <s v="L1128/29"/>
    <x v="11"/>
    <m/>
    <m/>
    <m/>
    <n v="0"/>
    <m/>
    <m/>
  </r>
  <r>
    <n v="568"/>
    <x v="6"/>
    <s v="Night"/>
    <x v="0"/>
    <n v="2000708717"/>
    <n v="1360"/>
    <n v="150"/>
    <n v="0"/>
    <s v="U03968"/>
    <s v="L1186"/>
    <x v="35"/>
    <m/>
    <m/>
    <m/>
    <n v="0"/>
    <m/>
    <m/>
  </r>
  <r>
    <n v="569"/>
    <x v="6"/>
    <s v="Night"/>
    <x v="0"/>
    <n v="2000708364"/>
    <n v="1352"/>
    <n v="45"/>
    <n v="0"/>
    <s v="U05944"/>
    <s v="L1188/89"/>
    <x v="84"/>
    <m/>
    <m/>
    <m/>
    <n v="0"/>
    <m/>
    <m/>
  </r>
  <r>
    <n v="570"/>
    <x v="6"/>
    <s v="Night"/>
    <x v="0"/>
    <n v="2000708024"/>
    <n v="1792"/>
    <n v="892"/>
    <n v="0"/>
    <s v="U05944"/>
    <s v="L1193/94"/>
    <x v="119"/>
    <m/>
    <m/>
    <m/>
    <n v="0"/>
    <m/>
    <m/>
  </r>
  <r>
    <n v="571"/>
    <x v="6"/>
    <s v="Night"/>
    <x v="0"/>
    <n v="2000708770"/>
    <n v="7830"/>
    <n v="300"/>
    <n v="0"/>
    <s v="U05944"/>
    <s v="L1112/13"/>
    <x v="75"/>
    <m/>
    <m/>
    <m/>
    <n v="0"/>
    <m/>
    <m/>
  </r>
  <r>
    <n v="572"/>
    <x v="6"/>
    <s v="Night"/>
    <x v="0"/>
    <n v="2000708694"/>
    <n v="1320"/>
    <n v="120"/>
    <n v="0"/>
    <s v="U05944"/>
    <s v="L1188/89"/>
    <x v="130"/>
    <m/>
    <m/>
    <m/>
    <n v="0"/>
    <m/>
    <m/>
  </r>
  <r>
    <n v="573"/>
    <x v="6"/>
    <s v="Night"/>
    <x v="1"/>
    <n v="2000708160"/>
    <n v="600"/>
    <n v="100"/>
    <n v="0"/>
    <s v="U15759"/>
    <s v="PSLV"/>
    <x v="53"/>
    <m/>
    <m/>
    <m/>
    <n v="0"/>
    <m/>
    <m/>
  </r>
  <r>
    <n v="574"/>
    <x v="6"/>
    <s v="Night"/>
    <x v="1"/>
    <n v="2000708163"/>
    <n v="1020"/>
    <n v="150"/>
    <n v="0"/>
    <s v="U15759"/>
    <s v="SHANKS"/>
    <x v="22"/>
    <m/>
    <m/>
    <m/>
    <n v="0"/>
    <m/>
    <m/>
  </r>
  <r>
    <n v="575"/>
    <x v="6"/>
    <s v="Night"/>
    <x v="1"/>
    <n v="2000708155"/>
    <n v="500"/>
    <n v="100"/>
    <n v="0"/>
    <s v="U15759"/>
    <s v="PSHV"/>
    <x v="26"/>
    <m/>
    <m/>
    <m/>
    <n v="0"/>
    <m/>
    <m/>
  </r>
  <r>
    <n v="576"/>
    <x v="6"/>
    <s v="Night"/>
    <x v="1"/>
    <n v="2000708154"/>
    <n v="220"/>
    <n v="130"/>
    <n v="0"/>
    <s v="U15759"/>
    <s v="SHIBUKI"/>
    <x v="134"/>
    <m/>
    <m/>
    <m/>
    <n v="0"/>
    <m/>
    <m/>
  </r>
  <r>
    <n v="577"/>
    <x v="6"/>
    <s v="Night"/>
    <x v="1"/>
    <n v="2000707674"/>
    <n v="150"/>
    <n v="30"/>
    <n v="0"/>
    <s v="U15759"/>
    <s v="PSLV"/>
    <x v="135"/>
    <m/>
    <m/>
    <m/>
    <n v="0"/>
    <m/>
    <m/>
  </r>
  <r>
    <n v="578"/>
    <x v="6"/>
    <s v="Night"/>
    <x v="1"/>
    <n v="2000708162"/>
    <n v="700"/>
    <n v="70"/>
    <n v="0"/>
    <s v="U15759"/>
    <s v="FRANKY"/>
    <x v="81"/>
    <m/>
    <m/>
    <m/>
    <n v="0"/>
    <m/>
    <m/>
  </r>
  <r>
    <n v="579"/>
    <x v="6"/>
    <s v="Night"/>
    <x v="1"/>
    <n v="2000708158"/>
    <n v="300"/>
    <n v="100"/>
    <n v="0"/>
    <s v="U15759"/>
    <s v="PSHV"/>
    <x v="80"/>
    <m/>
    <m/>
    <m/>
    <n v="0"/>
    <m/>
    <m/>
  </r>
  <r>
    <n v="580"/>
    <x v="6"/>
    <s v="Night"/>
    <x v="1"/>
    <n v="2000708156"/>
    <n v="700"/>
    <n v="160"/>
    <n v="0"/>
    <s v="U15759"/>
    <s v="PSHV"/>
    <x v="25"/>
    <m/>
    <m/>
    <m/>
    <n v="0"/>
    <m/>
    <m/>
  </r>
  <r>
    <n v="581"/>
    <x v="7"/>
    <s v="Day"/>
    <x v="0"/>
    <n v="2000708688"/>
    <n v="810"/>
    <n v="131"/>
    <n v="0"/>
    <s v="U31065"/>
    <s v="L1193/94"/>
    <x v="21"/>
    <m/>
    <m/>
    <m/>
    <n v="0"/>
    <m/>
    <m/>
  </r>
  <r>
    <n v="582"/>
    <x v="7"/>
    <s v="Day"/>
    <x v="0"/>
    <n v="2000708689"/>
    <n v="360"/>
    <n v="60"/>
    <n v="0"/>
    <s v="U31065"/>
    <s v="L1193/94"/>
    <x v="140"/>
    <m/>
    <m/>
    <m/>
    <n v="0"/>
    <m/>
    <m/>
  </r>
  <r>
    <n v="583"/>
    <x v="7"/>
    <s v="Day"/>
    <x v="0"/>
    <n v="2000708774"/>
    <n v="238"/>
    <n v="35"/>
    <n v="0"/>
    <s v="U31065"/>
    <s v="L1161/65"/>
    <x v="141"/>
    <m/>
    <m/>
    <m/>
    <n v="0"/>
    <m/>
    <m/>
  </r>
  <r>
    <n v="584"/>
    <x v="7"/>
    <s v="Day"/>
    <x v="0"/>
    <n v="2000708024"/>
    <n v="1792"/>
    <n v="400"/>
    <n v="0"/>
    <s v="U26613"/>
    <s v="L1193/94"/>
    <x v="119"/>
    <m/>
    <m/>
    <m/>
    <n v="0"/>
    <m/>
    <m/>
  </r>
  <r>
    <n v="585"/>
    <x v="7"/>
    <s v="Day"/>
    <x v="0"/>
    <n v="2000708025"/>
    <n v="2620"/>
    <n v="120"/>
    <n v="0"/>
    <s v="U26613"/>
    <s v="L1193/94"/>
    <x v="30"/>
    <m/>
    <m/>
    <m/>
    <n v="0"/>
    <m/>
    <m/>
  </r>
  <r>
    <n v="586"/>
    <x v="7"/>
    <s v="Day"/>
    <x v="0"/>
    <n v="2000708720"/>
    <n v="1800"/>
    <n v="150"/>
    <n v="0"/>
    <s v="U26613"/>
    <s v="L1144/47"/>
    <x v="77"/>
    <m/>
    <m/>
    <m/>
    <n v="0"/>
    <m/>
    <m/>
  </r>
  <r>
    <n v="587"/>
    <x v="7"/>
    <s v="Day"/>
    <x v="0"/>
    <n v="2000707974"/>
    <n v="360"/>
    <n v="100"/>
    <n v="0"/>
    <s v="U26613"/>
    <s v="L1182"/>
    <x v="142"/>
    <m/>
    <m/>
    <m/>
    <n v="0"/>
    <m/>
    <m/>
  </r>
  <r>
    <n v="588"/>
    <x v="7"/>
    <s v="Day"/>
    <x v="0"/>
    <n v="2000707975"/>
    <n v="360"/>
    <n v="150"/>
    <n v="0"/>
    <s v="U26613"/>
    <s v="L1182"/>
    <x v="143"/>
    <m/>
    <m/>
    <m/>
    <n v="0"/>
    <m/>
    <m/>
  </r>
  <r>
    <n v="589"/>
    <x v="7"/>
    <s v="Day"/>
    <x v="0"/>
    <n v="2000708719"/>
    <n v="1800"/>
    <n v="200"/>
    <n v="0"/>
    <s v="U26613"/>
    <s v="L1144/47"/>
    <x v="92"/>
    <m/>
    <m/>
    <m/>
    <n v="0"/>
    <m/>
    <m/>
  </r>
  <r>
    <n v="590"/>
    <x v="7"/>
    <s v="Day"/>
    <x v="0"/>
    <n v="2000707973"/>
    <n v="360"/>
    <n v="100"/>
    <n v="0"/>
    <s v="U26613"/>
    <s v="L1182"/>
    <x v="144"/>
    <m/>
    <m/>
    <m/>
    <n v="0"/>
    <m/>
    <m/>
  </r>
  <r>
    <n v="591"/>
    <x v="7"/>
    <s v="Day"/>
    <x v="0"/>
    <n v="2000708916"/>
    <n v="2000"/>
    <n v="130"/>
    <n v="0"/>
    <s v="U26613"/>
    <s v="L1077"/>
    <x v="6"/>
    <m/>
    <m/>
    <m/>
    <n v="0"/>
    <m/>
    <m/>
  </r>
  <r>
    <n v="592"/>
    <x v="7"/>
    <s v="Day"/>
    <x v="0"/>
    <n v="2000709145"/>
    <n v="2096"/>
    <n v="400"/>
    <n v="0"/>
    <s v="U26613"/>
    <s v="L1193/94"/>
    <x v="119"/>
    <m/>
    <m/>
    <m/>
    <n v="0"/>
    <m/>
    <m/>
  </r>
  <r>
    <n v="593"/>
    <x v="7"/>
    <s v="Day"/>
    <x v="0"/>
    <n v="2000707222"/>
    <n v="1850"/>
    <n v="80"/>
    <n v="0"/>
    <s v="U27724"/>
    <s v="L1188/89"/>
    <x v="17"/>
    <m/>
    <m/>
    <m/>
    <n v="0"/>
    <m/>
    <m/>
  </r>
  <r>
    <n v="594"/>
    <x v="7"/>
    <s v="Day"/>
    <x v="0"/>
    <n v="2000708025"/>
    <n v="2620"/>
    <n v="120"/>
    <n v="0"/>
    <s v="U27724"/>
    <s v="L1193/94"/>
    <x v="30"/>
    <m/>
    <m/>
    <m/>
    <n v="0"/>
    <m/>
    <m/>
  </r>
  <r>
    <n v="595"/>
    <x v="7"/>
    <s v="Day"/>
    <x v="0"/>
    <n v="2000700021"/>
    <n v="2600"/>
    <n v="45"/>
    <n v="0"/>
    <s v="U27724"/>
    <s v="L1209/10"/>
    <x v="55"/>
    <m/>
    <m/>
    <m/>
    <n v="0"/>
    <m/>
    <m/>
  </r>
  <r>
    <n v="596"/>
    <x v="7"/>
    <s v="Day"/>
    <x v="0"/>
    <n v="2000709307"/>
    <n v="440"/>
    <n v="280"/>
    <n v="0"/>
    <s v="U27724"/>
    <s v="L1188/89"/>
    <x v="73"/>
    <m/>
    <m/>
    <m/>
    <n v="0"/>
    <m/>
    <m/>
  </r>
  <r>
    <n v="597"/>
    <x v="7"/>
    <s v="Day"/>
    <x v="0"/>
    <n v="2000708983"/>
    <n v="280"/>
    <n v="4"/>
    <n v="0"/>
    <s v="U27724"/>
    <s v="L1188/89"/>
    <x v="98"/>
    <m/>
    <m/>
    <m/>
    <n v="0"/>
    <m/>
    <m/>
  </r>
  <r>
    <n v="598"/>
    <x v="7"/>
    <s v="Day"/>
    <x v="0"/>
    <n v="2000707771"/>
    <n v="1036"/>
    <n v="90"/>
    <n v="0"/>
    <s v="U23987"/>
    <s v="L1209/10"/>
    <x v="68"/>
    <m/>
    <m/>
    <m/>
    <n v="0"/>
    <m/>
    <m/>
  </r>
  <r>
    <n v="599"/>
    <x v="7"/>
    <s v="Day"/>
    <x v="0"/>
    <n v="2000708364"/>
    <n v="1350"/>
    <n v="163"/>
    <n v="0"/>
    <s v="U23987"/>
    <s v="L1188/89"/>
    <x v="84"/>
    <m/>
    <m/>
    <m/>
    <n v="0"/>
    <m/>
    <m/>
  </r>
  <r>
    <n v="600"/>
    <x v="7"/>
    <s v="Day"/>
    <x v="0"/>
    <n v="2000708958"/>
    <n v="1080"/>
    <n v="180"/>
    <n v="0"/>
    <s v="U23987"/>
    <s v="L1170/71"/>
    <x v="45"/>
    <m/>
    <m/>
    <m/>
    <n v="0"/>
    <m/>
    <m/>
  </r>
  <r>
    <n v="601"/>
    <x v="7"/>
    <s v="Day"/>
    <x v="0"/>
    <n v="2000704807"/>
    <n v="1936"/>
    <n v="9"/>
    <n v="0"/>
    <s v="U23987"/>
    <s v="L1170/71"/>
    <x v="45"/>
    <m/>
    <m/>
    <m/>
    <n v="0"/>
    <m/>
    <m/>
  </r>
  <r>
    <n v="602"/>
    <x v="7"/>
    <s v="Day"/>
    <x v="0"/>
    <n v="2000701106"/>
    <n v="1530"/>
    <n v="66"/>
    <n v="0"/>
    <s v="U23987"/>
    <s v="L1209/10"/>
    <x v="55"/>
    <m/>
    <m/>
    <m/>
    <n v="0"/>
    <m/>
    <m/>
  </r>
  <r>
    <n v="603"/>
    <x v="7"/>
    <s v="Day"/>
    <x v="0"/>
    <n v="2000708003"/>
    <n v="2100"/>
    <n v="30"/>
    <n v="0"/>
    <s v="U30425"/>
    <s v="L1172/73"/>
    <x v="18"/>
    <m/>
    <m/>
    <m/>
    <n v="0"/>
    <m/>
    <m/>
  </r>
  <r>
    <n v="604"/>
    <x v="7"/>
    <s v="Day"/>
    <x v="0"/>
    <n v="2000708373"/>
    <n v="860"/>
    <n v="96"/>
    <n v="0"/>
    <s v="U30425"/>
    <s v="L1172/73"/>
    <x v="83"/>
    <m/>
    <m/>
    <m/>
    <n v="0"/>
    <m/>
    <m/>
  </r>
  <r>
    <n v="605"/>
    <x v="7"/>
    <s v="Day"/>
    <x v="0"/>
    <n v="2000707972"/>
    <n v="360"/>
    <n v="40"/>
    <n v="1"/>
    <s v="U30425"/>
    <s v="L1182"/>
    <x v="137"/>
    <s v="Khác "/>
    <s v="không bẻ bavia"/>
    <s v="JPP21, JP22"/>
    <n v="1"/>
    <s v="\\vn-file\QC Department\4.OQC\00. OQC Performance\03. Images\01. NG\20210112-NG-1030707972.jpg"/>
    <s v="\\vn-file\QC Department\4.OQC\00. OQC Performance\03. Images\02. OK\20210112-OK-1030707972.jpg"/>
  </r>
  <r>
    <n v="606"/>
    <x v="7"/>
    <s v="Day"/>
    <x v="0"/>
    <n v="2000708685"/>
    <n v="700"/>
    <n v="40"/>
    <n v="0"/>
    <s v="U30425"/>
    <s v="L1172/73"/>
    <x v="19"/>
    <m/>
    <m/>
    <m/>
    <n v="0"/>
    <m/>
    <m/>
  </r>
  <r>
    <n v="607"/>
    <x v="7"/>
    <s v="Day"/>
    <x v="0"/>
    <n v="2000708998"/>
    <n v="1100"/>
    <n v="80"/>
    <n v="0"/>
    <s v="U30425"/>
    <s v="L1144/47"/>
    <x v="42"/>
    <m/>
    <m/>
    <m/>
    <n v="0"/>
    <m/>
    <m/>
  </r>
  <r>
    <n v="608"/>
    <x v="7"/>
    <s v="Day"/>
    <x v="0"/>
    <n v="2000708686"/>
    <n v="150"/>
    <n v="100"/>
    <n v="0"/>
    <s v="U30425"/>
    <s v="L1172/73"/>
    <x v="145"/>
    <m/>
    <m/>
    <m/>
    <n v="0"/>
    <m/>
    <m/>
  </r>
  <r>
    <n v="609"/>
    <x v="7"/>
    <s v="Day"/>
    <x v="0"/>
    <n v="2000708694"/>
    <n v="1320"/>
    <n v="392"/>
    <n v="0"/>
    <s v="U09854"/>
    <s v="L1188/89"/>
    <x v="130"/>
    <m/>
    <m/>
    <m/>
    <n v="0"/>
    <m/>
    <m/>
  </r>
  <r>
    <n v="610"/>
    <x v="7"/>
    <s v="Day"/>
    <x v="0"/>
    <n v="2000708689"/>
    <n v="360"/>
    <n v="150"/>
    <n v="0"/>
    <s v="U09854"/>
    <s v="L1193/94"/>
    <x v="146"/>
    <m/>
    <m/>
    <m/>
    <n v="0"/>
    <m/>
    <m/>
  </r>
  <r>
    <n v="611"/>
    <x v="7"/>
    <s v="Day"/>
    <x v="0"/>
    <n v="2000707771"/>
    <n v="1036"/>
    <n v="45"/>
    <n v="0"/>
    <s v="U36008"/>
    <s v="L1209/10"/>
    <x v="68"/>
    <m/>
    <m/>
    <m/>
    <n v="0"/>
    <m/>
    <m/>
  </r>
  <r>
    <n v="612"/>
    <x v="7"/>
    <s v="Day"/>
    <x v="0"/>
    <n v="2000703335"/>
    <n v="3690"/>
    <n v="126"/>
    <n v="0"/>
    <s v="U36008"/>
    <s v="L1170/71"/>
    <x v="45"/>
    <m/>
    <m/>
    <m/>
    <n v="0"/>
    <m/>
    <m/>
  </r>
  <r>
    <n v="613"/>
    <x v="7"/>
    <s v="Day"/>
    <x v="0"/>
    <n v="2000704807"/>
    <n v="1936"/>
    <n v="45"/>
    <n v="0"/>
    <s v="U36008"/>
    <s v="L1170/71"/>
    <x v="45"/>
    <m/>
    <m/>
    <m/>
    <n v="0"/>
    <m/>
    <m/>
  </r>
  <r>
    <n v="614"/>
    <x v="7"/>
    <s v="Day"/>
    <x v="0"/>
    <n v="2000708364"/>
    <n v="1352"/>
    <n v="78"/>
    <n v="0"/>
    <s v="U36008"/>
    <s v="L1188/89"/>
    <x v="84"/>
    <m/>
    <m/>
    <m/>
    <n v="0"/>
    <m/>
    <m/>
  </r>
  <r>
    <n v="615"/>
    <x v="7"/>
    <s v="Day"/>
    <x v="0"/>
    <n v="2000708958"/>
    <n v="1080"/>
    <n v="90"/>
    <n v="0"/>
    <s v="U36008"/>
    <s v="L1170/71"/>
    <x v="45"/>
    <m/>
    <m/>
    <m/>
    <n v="0"/>
    <m/>
    <m/>
  </r>
  <r>
    <n v="616"/>
    <x v="7"/>
    <s v="Day"/>
    <x v="0"/>
    <n v="2000700021"/>
    <n v="2600"/>
    <n v="31"/>
    <n v="0"/>
    <s v="U36008"/>
    <s v="L1209/10"/>
    <x v="55"/>
    <m/>
    <m/>
    <m/>
    <n v="0"/>
    <m/>
    <m/>
  </r>
  <r>
    <n v="617"/>
    <x v="7"/>
    <s v="Day"/>
    <x v="1"/>
    <n v="2000708162"/>
    <n v="700"/>
    <n v="140"/>
    <n v="0"/>
    <s v="U30119"/>
    <s v="FRANKY"/>
    <x v="81"/>
    <m/>
    <m/>
    <m/>
    <n v="0"/>
    <m/>
    <m/>
  </r>
  <r>
    <n v="618"/>
    <x v="7"/>
    <s v="Day"/>
    <x v="1"/>
    <n v="2000708157"/>
    <n v="210"/>
    <n v="60"/>
    <n v="0"/>
    <s v="U30119"/>
    <s v="PSHV"/>
    <x v="96"/>
    <m/>
    <m/>
    <m/>
    <n v="0"/>
    <m/>
    <m/>
  </r>
  <r>
    <n v="619"/>
    <x v="7"/>
    <s v="Day"/>
    <x v="1"/>
    <n v="2000708154"/>
    <n v="220"/>
    <n v="70"/>
    <n v="0"/>
    <s v="U30119"/>
    <s v="SHIBUKI"/>
    <x v="134"/>
    <m/>
    <m/>
    <m/>
    <n v="0"/>
    <m/>
    <m/>
  </r>
  <r>
    <n v="620"/>
    <x v="7"/>
    <s v="Day"/>
    <x v="1"/>
    <n v="2000708163"/>
    <n v="1020"/>
    <n v="120"/>
    <n v="0"/>
    <s v="U30119"/>
    <s v="SHANKS"/>
    <x v="22"/>
    <m/>
    <m/>
    <m/>
    <n v="0"/>
    <m/>
    <m/>
  </r>
  <r>
    <n v="621"/>
    <x v="7"/>
    <s v="Day"/>
    <x v="1"/>
    <n v="2000707676"/>
    <n v="400"/>
    <n v="10"/>
    <n v="0"/>
    <s v="U30119"/>
    <s v="PSLV"/>
    <x v="49"/>
    <m/>
    <m/>
    <m/>
    <n v="0"/>
    <m/>
    <m/>
  </r>
  <r>
    <n v="622"/>
    <x v="7"/>
    <s v="Day"/>
    <x v="1"/>
    <n v="2000708752"/>
    <n v="200"/>
    <n v="190"/>
    <n v="0"/>
    <s v="U30119"/>
    <s v="PSLV"/>
    <x v="49"/>
    <m/>
    <m/>
    <m/>
    <n v="0"/>
    <m/>
    <m/>
  </r>
  <r>
    <n v="623"/>
    <x v="7"/>
    <s v="Day"/>
    <x v="1"/>
    <n v="2000708164"/>
    <n v="90"/>
    <n v="30"/>
    <n v="0"/>
    <s v="U30119"/>
    <s v="SHANKS"/>
    <x v="147"/>
    <m/>
    <m/>
    <m/>
    <n v="0"/>
    <m/>
    <m/>
  </r>
  <r>
    <n v="624"/>
    <x v="7"/>
    <s v="Day"/>
    <x v="1"/>
    <n v="2000707674"/>
    <n v="150"/>
    <n v="10"/>
    <n v="0"/>
    <s v="U30119"/>
    <s v="PSLV"/>
    <x v="135"/>
    <m/>
    <m/>
    <m/>
    <n v="0"/>
    <m/>
    <m/>
  </r>
  <r>
    <n v="625"/>
    <x v="7"/>
    <s v="Day"/>
    <x v="1"/>
    <n v="2000708167"/>
    <n v="800"/>
    <n v="150"/>
    <n v="0"/>
    <s v="U30119"/>
    <s v="SHANKS"/>
    <x v="67"/>
    <m/>
    <m/>
    <m/>
    <n v="0"/>
    <m/>
    <m/>
  </r>
  <r>
    <n v="626"/>
    <x v="7"/>
    <s v="Day"/>
    <x v="1"/>
    <n v="2000708749"/>
    <n v="700"/>
    <n v="110"/>
    <n v="0"/>
    <s v="U30119"/>
    <s v="PSHV"/>
    <x v="25"/>
    <m/>
    <m/>
    <m/>
    <n v="0"/>
    <m/>
    <m/>
  </r>
  <r>
    <n v="627"/>
    <x v="7"/>
    <s v="Night"/>
    <x v="0"/>
    <n v="2000708689"/>
    <n v="360"/>
    <n v="144"/>
    <n v="0"/>
    <s v="U27687"/>
    <s v="L1193/94"/>
    <x v="146"/>
    <m/>
    <m/>
    <m/>
    <n v="0"/>
    <m/>
    <m/>
  </r>
  <r>
    <n v="628"/>
    <x v="7"/>
    <s v="Night"/>
    <x v="0"/>
    <n v="2000708688"/>
    <n v="810"/>
    <n v="59"/>
    <n v="0"/>
    <s v="U27687"/>
    <s v="L1193/94_x0009_"/>
    <x v="21"/>
    <m/>
    <m/>
    <m/>
    <n v="0"/>
    <m/>
    <m/>
  </r>
  <r>
    <n v="629"/>
    <x v="7"/>
    <s v="Night"/>
    <x v="0"/>
    <n v="2000709017"/>
    <n v="630"/>
    <n v="218"/>
    <n v="0"/>
    <s v="U27687"/>
    <s v="L1193/94"/>
    <x v="104"/>
    <m/>
    <m/>
    <m/>
    <n v="0"/>
    <m/>
    <m/>
  </r>
  <r>
    <n v="630"/>
    <x v="7"/>
    <s v="Night"/>
    <x v="0"/>
    <n v="2000708554"/>
    <n v="48"/>
    <n v="48"/>
    <n v="0"/>
    <s v="U05944"/>
    <s v="L1106"/>
    <x v="115"/>
    <m/>
    <m/>
    <m/>
    <n v="0"/>
    <m/>
    <m/>
  </r>
  <r>
    <n v="631"/>
    <x v="7"/>
    <s v="Night"/>
    <x v="0"/>
    <n v="2000708555"/>
    <n v="48"/>
    <n v="48"/>
    <n v="0"/>
    <s v="U05944"/>
    <s v="L1106"/>
    <x v="148"/>
    <m/>
    <m/>
    <m/>
    <n v="0"/>
    <m/>
    <m/>
  </r>
  <r>
    <n v="632"/>
    <x v="7"/>
    <s v="Night"/>
    <x v="0"/>
    <n v="2000708551"/>
    <n v="56"/>
    <n v="56"/>
    <n v="0"/>
    <s v="U05944"/>
    <s v="L1105"/>
    <x v="149"/>
    <m/>
    <m/>
    <m/>
    <n v="0"/>
    <m/>
    <m/>
  </r>
  <r>
    <n v="633"/>
    <x v="7"/>
    <s v="Night"/>
    <x v="0"/>
    <n v="2000708552"/>
    <n v="56"/>
    <n v="56"/>
    <n v="0"/>
    <s v="U05944"/>
    <s v="L1105"/>
    <x v="150"/>
    <m/>
    <m/>
    <m/>
    <n v="0"/>
    <m/>
    <m/>
  </r>
  <r>
    <n v="634"/>
    <x v="7"/>
    <s v="Night"/>
    <x v="0"/>
    <n v="2000708553"/>
    <n v="56"/>
    <n v="56"/>
    <n v="0"/>
    <s v="U05944"/>
    <s v="L1105"/>
    <x v="151"/>
    <m/>
    <m/>
    <m/>
    <n v="0"/>
    <m/>
    <m/>
  </r>
  <r>
    <n v="635"/>
    <x v="7"/>
    <s v="Night"/>
    <x v="0"/>
    <n v="2000708779"/>
    <n v="1300"/>
    <n v="30"/>
    <n v="0"/>
    <s v="U05944"/>
    <s v="L1209/10"/>
    <x v="55"/>
    <m/>
    <m/>
    <m/>
    <n v="0"/>
    <m/>
    <m/>
  </r>
  <r>
    <n v="636"/>
    <x v="7"/>
    <s v="Night"/>
    <x v="0"/>
    <n v="2000707770"/>
    <n v="990"/>
    <n v="123"/>
    <n v="0"/>
    <s v="U29686"/>
    <s v="L1209/10"/>
    <x v="55"/>
    <m/>
    <m/>
    <m/>
    <n v="0"/>
    <m/>
    <m/>
  </r>
  <r>
    <n v="637"/>
    <x v="7"/>
    <s v="Night"/>
    <x v="0"/>
    <n v="2000708958"/>
    <n v="1080"/>
    <n v="225"/>
    <n v="0"/>
    <s v="U29686"/>
    <s v="L1170/71"/>
    <x v="45"/>
    <m/>
    <m/>
    <m/>
    <n v="0"/>
    <m/>
    <m/>
  </r>
  <r>
    <n v="638"/>
    <x v="7"/>
    <s v="Night"/>
    <x v="0"/>
    <n v="2000707771"/>
    <n v="1036"/>
    <n v="36"/>
    <n v="0"/>
    <s v="U29686"/>
    <s v="L1209/10"/>
    <x v="68"/>
    <m/>
    <m/>
    <m/>
    <n v="0"/>
    <m/>
    <m/>
  </r>
  <r>
    <n v="639"/>
    <x v="7"/>
    <s v="Night"/>
    <x v="0"/>
    <n v="2000707770"/>
    <n v="990"/>
    <n v="90"/>
    <n v="0"/>
    <s v="U29686"/>
    <s v="L1209/10"/>
    <x v="55"/>
    <m/>
    <m/>
    <m/>
    <n v="0"/>
    <m/>
    <m/>
  </r>
  <r>
    <n v="641"/>
    <x v="7"/>
    <s v="Night"/>
    <x v="0"/>
    <n v="2000708779"/>
    <n v="1300"/>
    <n v="75"/>
    <n v="0"/>
    <s v="U29686"/>
    <s v="L1209/10"/>
    <x v="55"/>
    <m/>
    <m/>
    <m/>
    <n v="0"/>
    <m/>
    <m/>
  </r>
  <r>
    <n v="642"/>
    <x v="7"/>
    <s v="Night"/>
    <x v="0"/>
    <n v="2000708774"/>
    <n v="238"/>
    <n v="105"/>
    <n v="0"/>
    <s v="U32991"/>
    <s v="L1161/65"/>
    <x v="152"/>
    <m/>
    <m/>
    <m/>
    <n v="0"/>
    <m/>
    <m/>
  </r>
  <r>
    <n v="643"/>
    <x v="7"/>
    <s v="Night"/>
    <x v="0"/>
    <n v="2000708562"/>
    <n v="510"/>
    <n v="60"/>
    <n v="0"/>
    <s v="U32991"/>
    <s v="L1193/94"/>
    <x v="104"/>
    <m/>
    <m/>
    <m/>
    <n v="0"/>
    <m/>
    <m/>
  </r>
  <r>
    <n v="644"/>
    <x v="7"/>
    <s v="Night"/>
    <x v="0"/>
    <n v="2000708687"/>
    <n v="380"/>
    <n v="20"/>
    <n v="0"/>
    <s v="U32991"/>
    <s v="L1172/73"/>
    <x v="103"/>
    <m/>
    <m/>
    <m/>
    <n v="0"/>
    <m/>
    <m/>
  </r>
  <r>
    <n v="645"/>
    <x v="7"/>
    <s v="Night"/>
    <x v="0"/>
    <n v="2000708025"/>
    <n v="2620"/>
    <n v="240"/>
    <n v="0"/>
    <s v="U03968"/>
    <s v="L1193/94"/>
    <x v="30"/>
    <m/>
    <m/>
    <m/>
    <n v="0"/>
    <m/>
    <m/>
  </r>
  <r>
    <n v="646"/>
    <x v="7"/>
    <s v="Night"/>
    <x v="0"/>
    <n v="2000708405"/>
    <n v="3700"/>
    <n v="200"/>
    <n v="0"/>
    <s v="U03968"/>
    <s v="L1174/75"/>
    <x v="62"/>
    <m/>
    <m/>
    <m/>
    <n v="0"/>
    <m/>
    <m/>
  </r>
  <r>
    <n v="647"/>
    <x v="7"/>
    <s v="Night"/>
    <x v="0"/>
    <n v="2000708026"/>
    <n v="4230"/>
    <n v="300"/>
    <n v="0"/>
    <s v="U03968"/>
    <s v="T515"/>
    <x v="15"/>
    <m/>
    <m/>
    <m/>
    <n v="0"/>
    <m/>
    <m/>
  </r>
  <r>
    <n v="648"/>
    <x v="7"/>
    <s v="Night"/>
    <x v="0"/>
    <n v="2000708917"/>
    <n v="2000"/>
    <n v="160"/>
    <n v="0"/>
    <s v="U03968"/>
    <s v="L1077"/>
    <x v="36"/>
    <m/>
    <m/>
    <m/>
    <n v="0"/>
    <m/>
    <m/>
  </r>
  <r>
    <n v="649"/>
    <x v="7"/>
    <s v="Night"/>
    <x v="0"/>
    <n v="2000708721"/>
    <n v="1800"/>
    <n v="150"/>
    <n v="0"/>
    <s v="U03968"/>
    <s v="L1144/47"/>
    <x v="13"/>
    <m/>
    <m/>
    <m/>
    <n v="0"/>
    <m/>
    <m/>
  </r>
  <r>
    <n v="650"/>
    <x v="7"/>
    <s v="Night"/>
    <x v="0"/>
    <n v="2000708914"/>
    <n v="2000"/>
    <n v="200"/>
    <n v="0"/>
    <s v="U03968"/>
    <s v="L1077"/>
    <x v="10"/>
    <m/>
    <m/>
    <m/>
    <n v="0"/>
    <m/>
    <m/>
  </r>
  <r>
    <n v="651"/>
    <x v="7"/>
    <s v="Night"/>
    <x v="0"/>
    <n v="2000709308"/>
    <n v="2016"/>
    <n v="160"/>
    <n v="0"/>
    <s v="U03968"/>
    <s v="L1128/29"/>
    <x v="11"/>
    <m/>
    <m/>
    <m/>
    <n v="0"/>
    <m/>
    <m/>
  </r>
  <r>
    <n v="652"/>
    <x v="7"/>
    <s v="Night"/>
    <x v="0"/>
    <n v="2000709117"/>
    <n v="7860"/>
    <n v="300"/>
    <n v="0"/>
    <s v="U03968"/>
    <s v="L1112/13"/>
    <x v="75"/>
    <m/>
    <m/>
    <m/>
    <n v="0"/>
    <m/>
    <m/>
  </r>
  <r>
    <n v="653"/>
    <x v="7"/>
    <s v="Night"/>
    <x v="0"/>
    <n v="2000708686"/>
    <n v="150"/>
    <n v="50"/>
    <n v="0"/>
    <s v="U18660"/>
    <s v="L1172/73"/>
    <x v="145"/>
    <m/>
    <m/>
    <m/>
    <n v="0"/>
    <m/>
    <m/>
  </r>
  <r>
    <n v="654"/>
    <x v="7"/>
    <s v="Night"/>
    <x v="0"/>
    <n v="2000708685"/>
    <n v="700"/>
    <n v="40"/>
    <n v="0"/>
    <s v="U18660"/>
    <s v="L1172/73"/>
    <x v="19"/>
    <m/>
    <m/>
    <m/>
    <n v="0"/>
    <m/>
    <m/>
  </r>
  <r>
    <n v="655"/>
    <x v="7"/>
    <s v="Night"/>
    <x v="0"/>
    <n v="2000708003"/>
    <n v="2100"/>
    <n v="90"/>
    <n v="0"/>
    <s v="U18660"/>
    <s v="L1172/73"/>
    <x v="18"/>
    <m/>
    <m/>
    <m/>
    <n v="0"/>
    <m/>
    <m/>
  </r>
  <r>
    <n v="656"/>
    <x v="7"/>
    <s v="Night"/>
    <x v="0"/>
    <n v="2000708368"/>
    <n v="3990"/>
    <n v="240"/>
    <n v="0"/>
    <s v="U18660"/>
    <s v="L1168/69"/>
    <x v="37"/>
    <m/>
    <m/>
    <m/>
    <n v="0"/>
    <m/>
    <m/>
  </r>
  <r>
    <n v="657"/>
    <x v="7"/>
    <s v="Night"/>
    <x v="0"/>
    <n v="2000707770"/>
    <n v="990"/>
    <n v="180"/>
    <n v="0"/>
    <s v="U18660"/>
    <s v="L1209/10"/>
    <x v="55"/>
    <m/>
    <m/>
    <m/>
    <n v="0"/>
    <m/>
    <m/>
  </r>
  <r>
    <n v="658"/>
    <x v="7"/>
    <s v="Night"/>
    <x v="0"/>
    <n v="2000707779"/>
    <n v="1300"/>
    <n v="45"/>
    <n v="0"/>
    <s v="U18660"/>
    <s v="L1209/10"/>
    <x v="55"/>
    <m/>
    <m/>
    <m/>
    <n v="0"/>
    <m/>
    <m/>
  </r>
  <r>
    <n v="659"/>
    <x v="7"/>
    <s v="Night"/>
    <x v="0"/>
    <n v="2000709307"/>
    <n v="440"/>
    <n v="41"/>
    <n v="0"/>
    <s v="U27723"/>
    <s v="L1188/89"/>
    <x v="73"/>
    <m/>
    <m/>
    <m/>
    <n v="0"/>
    <m/>
    <m/>
  </r>
  <r>
    <n v="660"/>
    <x v="7"/>
    <s v="Night"/>
    <x v="0"/>
    <n v="2000708983"/>
    <n v="280"/>
    <n v="265"/>
    <n v="0"/>
    <s v="U27723"/>
    <s v="L1188/89"/>
    <x v="98"/>
    <m/>
    <m/>
    <m/>
    <n v="0"/>
    <m/>
    <m/>
  </r>
  <r>
    <n v="661"/>
    <x v="7"/>
    <s v="Night"/>
    <x v="0"/>
    <n v="2000707223"/>
    <n v="363"/>
    <n v="3"/>
    <n v="0"/>
    <s v="U27723"/>
    <s v="L1188/89"/>
    <x v="98"/>
    <m/>
    <m/>
    <m/>
    <n v="0"/>
    <m/>
    <m/>
  </r>
  <r>
    <n v="662"/>
    <x v="7"/>
    <s v="Night"/>
    <x v="0"/>
    <n v="2000703089"/>
    <n v="960"/>
    <n v="11"/>
    <n v="0"/>
    <s v="U27723"/>
    <s v="L1188/89"/>
    <x v="98"/>
    <m/>
    <m/>
    <m/>
    <n v="0"/>
    <m/>
    <m/>
  </r>
  <r>
    <n v="663"/>
    <x v="7"/>
    <s v="Night"/>
    <x v="0"/>
    <n v="2000708984"/>
    <n v="120"/>
    <n v="120"/>
    <n v="0"/>
    <s v="U27723"/>
    <s v="L1188/89"/>
    <x v="54"/>
    <m/>
    <m/>
    <m/>
    <n v="0"/>
    <m/>
    <m/>
  </r>
  <r>
    <n v="664"/>
    <x v="7"/>
    <s v="Night"/>
    <x v="0"/>
    <n v="2000707406"/>
    <n v="3700"/>
    <n v="110"/>
    <n v="0"/>
    <s v="U36206"/>
    <s v="L1174/75"/>
    <x v="3"/>
    <m/>
    <m/>
    <m/>
    <n v="0"/>
    <m/>
    <m/>
  </r>
  <r>
    <n v="665"/>
    <x v="7"/>
    <s v="Night"/>
    <x v="0"/>
    <n v="2000708708"/>
    <n v="300"/>
    <n v="100"/>
    <n v="0"/>
    <s v="U36206"/>
    <s v="L1144/47"/>
    <x v="89"/>
    <m/>
    <m/>
    <m/>
    <n v="0"/>
    <m/>
    <m/>
  </r>
  <r>
    <n v="666"/>
    <x v="7"/>
    <s v="Night"/>
    <x v="0"/>
    <n v="2000708709"/>
    <n v="1090"/>
    <n v="130"/>
    <n v="0"/>
    <s v="U36206"/>
    <s v="L1144/47"/>
    <x v="120"/>
    <m/>
    <m/>
    <m/>
    <n v="0"/>
    <m/>
    <m/>
  </r>
  <r>
    <n v="667"/>
    <x v="7"/>
    <s v="Night"/>
    <x v="1"/>
    <n v="2000708754"/>
    <n v="560"/>
    <n v="70"/>
    <n v="0"/>
    <s v="U15759"/>
    <s v="FLORA"/>
    <x v="28"/>
    <m/>
    <m/>
    <m/>
    <n v="0"/>
    <m/>
    <m/>
  </r>
  <r>
    <n v="668"/>
    <x v="7"/>
    <s v="Night"/>
    <x v="1"/>
    <n v="2000708750"/>
    <n v="440"/>
    <n v="40"/>
    <n v="0"/>
    <s v="U15759"/>
    <s v="PSLV"/>
    <x v="153"/>
    <m/>
    <m/>
    <m/>
    <n v="0"/>
    <m/>
    <m/>
  </r>
  <r>
    <n v="669"/>
    <x v="7"/>
    <s v="Night"/>
    <x v="1"/>
    <n v="2000708755"/>
    <n v="800"/>
    <n v="180"/>
    <n v="0"/>
    <s v="U15759"/>
    <s v="SHANKS"/>
    <x v="67"/>
    <m/>
    <m/>
    <m/>
    <n v="0"/>
    <m/>
    <m/>
  </r>
  <r>
    <n v="670"/>
    <x v="7"/>
    <s v="Night"/>
    <x v="1"/>
    <n v="2000708163"/>
    <n v="1020"/>
    <n v="90"/>
    <n v="0"/>
    <s v="U15759"/>
    <s v="SHANKS"/>
    <x v="22"/>
    <m/>
    <m/>
    <m/>
    <n v="0"/>
    <m/>
    <m/>
  </r>
  <r>
    <n v="671"/>
    <x v="7"/>
    <s v="Night"/>
    <x v="1"/>
    <n v="2000708748"/>
    <n v="500"/>
    <n v="140"/>
    <n v="0"/>
    <s v="U15759"/>
    <s v="PSHV"/>
    <x v="26"/>
    <m/>
    <m/>
    <m/>
    <n v="0"/>
    <m/>
    <m/>
  </r>
  <r>
    <n v="672"/>
    <x v="7"/>
    <s v="Night"/>
    <x v="1"/>
    <n v="2000708753"/>
    <n v="490"/>
    <n v="160"/>
    <n v="0"/>
    <s v="U15759"/>
    <s v="PSLV"/>
    <x v="53"/>
    <m/>
    <m/>
    <m/>
    <n v="0"/>
    <m/>
    <m/>
  </r>
  <r>
    <n v="673"/>
    <x v="7"/>
    <s v="Night"/>
    <x v="1"/>
    <n v="2000708756"/>
    <n v="650"/>
    <n v="210"/>
    <n v="0"/>
    <s v="U15759"/>
    <s v="SHANKS"/>
    <x v="24"/>
    <m/>
    <m/>
    <m/>
    <n v="0"/>
    <m/>
    <m/>
  </r>
  <r>
    <n v="674"/>
    <x v="8"/>
    <s v="Day"/>
    <x v="0"/>
    <n v="2000708774"/>
    <n v="238"/>
    <n v="98"/>
    <n v="0"/>
    <s v="U31065"/>
    <s v="L1161/65"/>
    <x v="152"/>
    <m/>
    <m/>
    <m/>
    <n v="0"/>
    <m/>
    <m/>
  </r>
  <r>
    <n v="675"/>
    <x v="8"/>
    <s v="Day"/>
    <x v="0"/>
    <n v="2000708779"/>
    <n v="1300"/>
    <n v="75"/>
    <n v="0"/>
    <s v="U31065"/>
    <s v="L1209/10 "/>
    <x v="55"/>
    <m/>
    <m/>
    <m/>
    <n v="0"/>
    <m/>
    <m/>
  </r>
  <r>
    <n v="676"/>
    <x v="8"/>
    <s v="Day"/>
    <x v="0"/>
    <n v="2000708733"/>
    <n v="300"/>
    <n v="15"/>
    <n v="0"/>
    <s v="U31065"/>
    <s v="L1151/52"/>
    <x v="154"/>
    <m/>
    <m/>
    <m/>
    <n v="0"/>
    <m/>
    <m/>
  </r>
  <r>
    <n v="677"/>
    <x v="8"/>
    <s v="Day"/>
    <x v="0"/>
    <n v="2000709019"/>
    <n v="630"/>
    <n v="90"/>
    <n v="0"/>
    <s v="U31065"/>
    <s v="L1193/94"/>
    <x v="104"/>
    <m/>
    <m/>
    <m/>
    <n v="0"/>
    <m/>
    <m/>
  </r>
  <r>
    <n v="678"/>
    <x v="8"/>
    <s v="Day"/>
    <x v="0"/>
    <n v="2000708562"/>
    <n v="510"/>
    <n v="40"/>
    <n v="0"/>
    <s v="U31065"/>
    <s v="L1193/94"/>
    <x v="104"/>
    <m/>
    <m/>
    <m/>
    <n v="0"/>
    <m/>
    <m/>
  </r>
  <r>
    <n v="679"/>
    <x v="8"/>
    <s v="Day"/>
    <x v="0"/>
    <n v="2000705510"/>
    <n v="10"/>
    <n v="2"/>
    <n v="0"/>
    <s v="U31065"/>
    <s v="L1197/98"/>
    <x v="155"/>
    <m/>
    <m/>
    <m/>
    <n v="0"/>
    <m/>
    <m/>
  </r>
  <r>
    <n v="680"/>
    <x v="8"/>
    <s v="Day"/>
    <x v="0"/>
    <n v="2000705511"/>
    <n v="10"/>
    <n v="2"/>
    <n v="0"/>
    <s v="U31065"/>
    <s v="L1197/98"/>
    <x v="155"/>
    <m/>
    <m/>
    <m/>
    <n v="0"/>
    <m/>
    <m/>
  </r>
  <r>
    <n v="681"/>
    <x v="8"/>
    <s v="Day"/>
    <x v="0"/>
    <n v="2000705499"/>
    <n v="37"/>
    <n v="3"/>
    <n v="0"/>
    <s v="U31065"/>
    <s v="L1197/98"/>
    <x v="156"/>
    <m/>
    <m/>
    <m/>
    <n v="0"/>
    <m/>
    <m/>
  </r>
  <r>
    <n v="682"/>
    <x v="8"/>
    <s v="Day"/>
    <x v="0"/>
    <n v="2000705498"/>
    <n v="37"/>
    <n v="3"/>
    <n v="0"/>
    <s v="U31065"/>
    <s v="L1197/98"/>
    <x v="156"/>
    <m/>
    <m/>
    <m/>
    <n v="0"/>
    <m/>
    <m/>
  </r>
  <r>
    <n v="683"/>
    <x v="8"/>
    <s v="Day"/>
    <x v="0"/>
    <n v="2000705511"/>
    <n v="10"/>
    <n v="2"/>
    <n v="0"/>
    <s v="U09854"/>
    <s v="L1197/98"/>
    <x v="155"/>
    <m/>
    <m/>
    <m/>
    <n v="0"/>
    <m/>
    <m/>
  </r>
  <r>
    <n v="684"/>
    <x v="8"/>
    <s v="Day"/>
    <x v="0"/>
    <n v="2000705510"/>
    <n v="10"/>
    <n v="2"/>
    <n v="0"/>
    <s v="U09854"/>
    <s v="L1197/98"/>
    <x v="155"/>
    <m/>
    <m/>
    <m/>
    <n v="0"/>
    <m/>
    <m/>
  </r>
  <r>
    <n v="685"/>
    <x v="8"/>
    <s v="Day"/>
    <x v="0"/>
    <n v="2000708779"/>
    <n v="1300"/>
    <n v="270"/>
    <n v="0"/>
    <s v="U09854"/>
    <s v="L1209/10"/>
    <x v="55"/>
    <m/>
    <m/>
    <m/>
    <n v="0"/>
    <m/>
    <m/>
  </r>
  <r>
    <n v="686"/>
    <x v="8"/>
    <s v="Day"/>
    <x v="0"/>
    <n v="2000705510"/>
    <n v="10"/>
    <n v="6"/>
    <n v="0"/>
    <s v="U09854"/>
    <s v="L1197/98"/>
    <x v="155"/>
    <m/>
    <m/>
    <m/>
    <n v="0"/>
    <m/>
    <m/>
  </r>
  <r>
    <n v="687"/>
    <x v="8"/>
    <s v="Day"/>
    <x v="0"/>
    <n v="2000705511"/>
    <n v="10"/>
    <n v="6"/>
    <n v="0"/>
    <s v="U09854"/>
    <s v="L1197/98"/>
    <x v="155"/>
    <m/>
    <m/>
    <m/>
    <n v="0"/>
    <m/>
    <m/>
  </r>
  <r>
    <n v="688"/>
    <x v="8"/>
    <s v="Day"/>
    <x v="0"/>
    <n v="2000709017"/>
    <n v="630"/>
    <n v="134"/>
    <n v="0"/>
    <s v="U09854"/>
    <s v="L1193/94"/>
    <x v="104"/>
    <m/>
    <m/>
    <m/>
    <n v="0"/>
    <m/>
    <m/>
  </r>
  <r>
    <n v="689"/>
    <x v="8"/>
    <s v="Day"/>
    <x v="0"/>
    <n v="2000708553"/>
    <n v="56"/>
    <n v="56"/>
    <n v="0"/>
    <s v="U09854"/>
    <s v="L1105"/>
    <x v="151"/>
    <m/>
    <m/>
    <m/>
    <n v="0"/>
    <m/>
    <m/>
  </r>
  <r>
    <n v="690"/>
    <x v="8"/>
    <s v="Day"/>
    <x v="0"/>
    <n v="2000708552"/>
    <n v="56"/>
    <n v="56"/>
    <n v="0"/>
    <s v="U09854"/>
    <s v="L1105"/>
    <x v="150"/>
    <m/>
    <m/>
    <m/>
    <n v="0"/>
    <m/>
    <m/>
  </r>
  <r>
    <n v="691"/>
    <x v="8"/>
    <s v="Day"/>
    <x v="0"/>
    <n v="2000708551"/>
    <n v="56"/>
    <n v="56"/>
    <n v="0"/>
    <s v="U09854"/>
    <s v="L1105"/>
    <x v="149"/>
    <m/>
    <m/>
    <m/>
    <n v="0"/>
    <m/>
    <m/>
  </r>
  <r>
    <n v="692"/>
    <x v="8"/>
    <s v="Day"/>
    <x v="0"/>
    <n v="2000708555"/>
    <n v="48"/>
    <n v="48"/>
    <n v="0"/>
    <s v="U09854"/>
    <s v="L1106"/>
    <x v="157"/>
    <m/>
    <m/>
    <m/>
    <n v="0"/>
    <m/>
    <m/>
  </r>
  <r>
    <n v="693"/>
    <x v="8"/>
    <s v="Day"/>
    <x v="0"/>
    <n v="2000708554"/>
    <n v="48"/>
    <n v="48"/>
    <n v="0"/>
    <s v="U09854"/>
    <s v="L1106"/>
    <x v="115"/>
    <m/>
    <m/>
    <m/>
    <n v="0"/>
    <m/>
    <m/>
  </r>
  <r>
    <n v="694"/>
    <x v="8"/>
    <s v="Day"/>
    <x v="0"/>
    <n v="2000708913"/>
    <n v="48"/>
    <n v="48"/>
    <n v="0"/>
    <s v="U09854"/>
    <s v="L1172/73"/>
    <x v="145"/>
    <m/>
    <m/>
    <m/>
    <n v="0"/>
    <m/>
    <m/>
  </r>
  <r>
    <n v="695"/>
    <x v="8"/>
    <s v="Day"/>
    <x v="0"/>
    <n v="2000705498"/>
    <n v="37"/>
    <n v="3"/>
    <n v="0"/>
    <s v="U09854"/>
    <s v="L1197/98"/>
    <x v="156"/>
    <m/>
    <m/>
    <m/>
    <n v="0"/>
    <m/>
    <m/>
  </r>
  <r>
    <n v="696"/>
    <x v="8"/>
    <s v="Day"/>
    <x v="0"/>
    <n v="2000705499"/>
    <n v="37"/>
    <n v="3"/>
    <n v="0"/>
    <s v="U09854"/>
    <s v="L1197/98"/>
    <x v="156"/>
    <m/>
    <m/>
    <m/>
    <n v="0"/>
    <m/>
    <m/>
  </r>
  <r>
    <n v="697"/>
    <x v="8"/>
    <s v="Day"/>
    <x v="0"/>
    <n v="2000709277"/>
    <n v="100"/>
    <n v="100"/>
    <n v="0"/>
    <s v="U09854"/>
    <s v="L1193/94"/>
    <x v="158"/>
    <m/>
    <m/>
    <m/>
    <n v="0"/>
    <m/>
    <m/>
  </r>
  <r>
    <n v="698"/>
    <x v="8"/>
    <s v="Day"/>
    <x v="0"/>
    <n v="2000709272"/>
    <n v="100"/>
    <n v="100"/>
    <n v="0"/>
    <s v="U09854"/>
    <s v="L1193/94"/>
    <x v="159"/>
    <m/>
    <m/>
    <m/>
    <n v="0"/>
    <m/>
    <m/>
  </r>
  <r>
    <n v="699"/>
    <x v="8"/>
    <s v="Day"/>
    <x v="0"/>
    <n v="2000709273"/>
    <n v="100"/>
    <n v="100"/>
    <n v="0"/>
    <s v="U09854"/>
    <s v="L1193/94"/>
    <x v="160"/>
    <m/>
    <m/>
    <m/>
    <n v="0"/>
    <m/>
    <m/>
  </r>
  <r>
    <n v="700"/>
    <x v="8"/>
    <s v="Day"/>
    <x v="0"/>
    <n v="2000709274"/>
    <n v="100"/>
    <n v="100"/>
    <n v="0"/>
    <s v="U09854"/>
    <s v="L1193/94"/>
    <x v="161"/>
    <m/>
    <m/>
    <m/>
    <n v="0"/>
    <m/>
    <m/>
  </r>
  <r>
    <n v="701"/>
    <x v="8"/>
    <s v="Day"/>
    <x v="0"/>
    <n v="2000709275"/>
    <n v="100"/>
    <n v="100"/>
    <n v="0"/>
    <s v="U09854"/>
    <s v="L1193/94"/>
    <x v="162"/>
    <m/>
    <m/>
    <m/>
    <n v="0"/>
    <m/>
    <m/>
  </r>
  <r>
    <n v="702"/>
    <x v="8"/>
    <s v="Day"/>
    <x v="0"/>
    <n v="2000709276"/>
    <n v="100"/>
    <n v="100"/>
    <n v="0"/>
    <s v="U09854"/>
    <s v="L1193/94"/>
    <x v="163"/>
    <m/>
    <m/>
    <m/>
    <n v="0"/>
    <m/>
    <m/>
  </r>
  <r>
    <n v="703"/>
    <x v="8"/>
    <s v="Day"/>
    <x v="0"/>
    <n v="2000708406"/>
    <n v="3700"/>
    <n v="40"/>
    <n v="0"/>
    <s v="U30425"/>
    <s v="L1174/75"/>
    <x v="3"/>
    <m/>
    <m/>
    <m/>
    <n v="0"/>
    <m/>
    <m/>
  </r>
  <r>
    <n v="704"/>
    <x v="8"/>
    <s v="Day"/>
    <x v="0"/>
    <n v="2000708913"/>
    <n v="48"/>
    <n v="48"/>
    <n v="0"/>
    <s v="U30425"/>
    <s v="L1172/73"/>
    <x v="145"/>
    <m/>
    <m/>
    <m/>
    <n v="0"/>
    <m/>
    <m/>
  </r>
  <r>
    <n v="705"/>
    <x v="8"/>
    <s v="Day"/>
    <x v="0"/>
    <n v="2000708371"/>
    <n v="2100"/>
    <n v="30"/>
    <n v="0"/>
    <s v="U30425"/>
    <s v="L1172/73"/>
    <x v="18"/>
    <m/>
    <m/>
    <m/>
    <n v="0"/>
    <m/>
    <m/>
  </r>
  <r>
    <n v="706"/>
    <x v="8"/>
    <s v="Day"/>
    <x v="0"/>
    <n v="2000708022"/>
    <n v="6000"/>
    <n v="200"/>
    <n v="0"/>
    <s v="U30425"/>
    <s v="L1112/13"/>
    <x v="8"/>
    <m/>
    <m/>
    <m/>
    <n v="0"/>
    <m/>
    <m/>
  </r>
  <r>
    <n v="707"/>
    <x v="8"/>
    <s v="Day"/>
    <x v="0"/>
    <n v="2000708693"/>
    <n v="3700"/>
    <n v="20"/>
    <n v="0"/>
    <s v="U30425"/>
    <s v="L1174/75"/>
    <x v="3"/>
    <m/>
    <m/>
    <m/>
    <n v="0"/>
    <m/>
    <m/>
  </r>
  <r>
    <n v="708"/>
    <x v="8"/>
    <s v="Day"/>
    <x v="0"/>
    <n v="2000708999"/>
    <n v="420"/>
    <n v="80"/>
    <n v="0"/>
    <s v="U30425"/>
    <s v="L1172/73"/>
    <x v="83"/>
    <m/>
    <m/>
    <m/>
    <n v="0"/>
    <m/>
    <m/>
  </r>
  <r>
    <n v="709"/>
    <x v="8"/>
    <s v="Day"/>
    <x v="0"/>
    <n v="2000709108"/>
    <n v="380"/>
    <n v="70"/>
    <n v="0"/>
    <s v="U30425"/>
    <s v="L1144/47"/>
    <x v="120"/>
    <m/>
    <m/>
    <m/>
    <n v="0"/>
    <m/>
    <m/>
  </r>
  <r>
    <n v="710"/>
    <x v="8"/>
    <s v="Day"/>
    <x v="0"/>
    <n v="2000708958"/>
    <n v="1080"/>
    <n v="225"/>
    <n v="0"/>
    <s v="U09749"/>
    <s v="L1170/71"/>
    <x v="45"/>
    <m/>
    <m/>
    <m/>
    <n v="0"/>
    <m/>
    <m/>
  </r>
  <r>
    <n v="711"/>
    <x v="8"/>
    <s v="Day"/>
    <x v="0"/>
    <n v="2000709145"/>
    <n v="2096"/>
    <n v="200"/>
    <n v="0"/>
    <s v="U07492"/>
    <s v="L1193/94"/>
    <x v="119"/>
    <m/>
    <m/>
    <m/>
    <n v="0"/>
    <m/>
    <m/>
  </r>
  <r>
    <n v="712"/>
    <x v="8"/>
    <s v="Day"/>
    <x v="0"/>
    <n v="2000708958"/>
    <n v="1080"/>
    <n v="128"/>
    <n v="0"/>
    <s v="U07492"/>
    <s v="L1170/71"/>
    <x v="45"/>
    <m/>
    <m/>
    <m/>
    <n v="0"/>
    <m/>
    <m/>
  </r>
  <r>
    <n v="713"/>
    <x v="8"/>
    <s v="Day"/>
    <x v="0"/>
    <n v="2000709307"/>
    <n v="440"/>
    <n v="119"/>
    <n v="0"/>
    <s v="U27724"/>
    <s v="L1188/89"/>
    <x v="73"/>
    <m/>
    <m/>
    <m/>
    <n v="0"/>
    <m/>
    <m/>
  </r>
  <r>
    <n v="714"/>
    <x v="8"/>
    <s v="Day"/>
    <x v="0"/>
    <n v="2000706645"/>
    <n v="1032"/>
    <n v="2"/>
    <n v="0"/>
    <s v="U27724"/>
    <s v="L1188/89"/>
    <x v="54"/>
    <m/>
    <m/>
    <m/>
    <n v="0"/>
    <m/>
    <m/>
  </r>
  <r>
    <n v="715"/>
    <x v="8"/>
    <s v="Day"/>
    <x v="0"/>
    <n v="2000708695"/>
    <n v="240"/>
    <n v="239"/>
    <n v="0"/>
    <s v="U27724"/>
    <s v="L1188/89"/>
    <x v="43"/>
    <m/>
    <m/>
    <m/>
    <n v="0"/>
    <m/>
    <m/>
  </r>
  <r>
    <n v="716"/>
    <x v="8"/>
    <s v="Day"/>
    <x v="0"/>
    <n v="2000709635"/>
    <n v="646"/>
    <n v="260"/>
    <n v="0"/>
    <s v="U27724"/>
    <s v="L1188/89"/>
    <x v="95"/>
    <m/>
    <m/>
    <m/>
    <n v="0"/>
    <m/>
    <m/>
  </r>
  <r>
    <n v="717"/>
    <x v="8"/>
    <s v="Day"/>
    <x v="0"/>
    <n v="2000708779"/>
    <n v="300"/>
    <n v="675"/>
    <n v="0"/>
    <s v="U23987"/>
    <s v="L1209/10"/>
    <x v="55"/>
    <m/>
    <m/>
    <m/>
    <n v="0"/>
    <m/>
    <m/>
  </r>
  <r>
    <n v="718"/>
    <x v="8"/>
    <s v="Day"/>
    <x v="0"/>
    <n v="2000708958"/>
    <n v="1080"/>
    <n v="135"/>
    <n v="0"/>
    <s v="U23987"/>
    <s v="L1170/71"/>
    <x v="45"/>
    <m/>
    <m/>
    <m/>
    <n v="0"/>
    <m/>
    <m/>
  </r>
  <r>
    <n v="719"/>
    <x v="8"/>
    <s v="Day"/>
    <x v="0"/>
    <n v="2000708025"/>
    <n v="2620"/>
    <n v="240"/>
    <n v="0"/>
    <s v="U26613"/>
    <s v="L1193/94"/>
    <x v="164"/>
    <m/>
    <m/>
    <m/>
    <n v="0"/>
    <m/>
    <m/>
  </r>
  <r>
    <n v="720"/>
    <x v="8"/>
    <s v="Day"/>
    <x v="0"/>
    <n v="2000708376"/>
    <n v="2000"/>
    <n v="200"/>
    <n v="0"/>
    <s v="U26613"/>
    <s v="L1077"/>
    <x v="6"/>
    <m/>
    <m/>
    <m/>
    <n v="0"/>
    <m/>
    <m/>
  </r>
  <r>
    <n v="721"/>
    <x v="8"/>
    <s v="Day"/>
    <x v="0"/>
    <n v="2000708453"/>
    <n v="3600"/>
    <n v="200"/>
    <n v="0"/>
    <s v="U26613"/>
    <s v="L1144/47"/>
    <x v="14"/>
    <m/>
    <m/>
    <m/>
    <n v="0"/>
    <m/>
    <m/>
  </r>
  <r>
    <n v="722"/>
    <x v="8"/>
    <s v="Day"/>
    <x v="0"/>
    <n v="2000708915"/>
    <n v="2000"/>
    <n v="200"/>
    <n v="0"/>
    <s v="U26613"/>
    <s v="L1077"/>
    <x v="33"/>
    <m/>
    <m/>
    <m/>
    <n v="0"/>
    <m/>
    <m/>
  </r>
  <r>
    <n v="723"/>
    <x v="8"/>
    <s v="Day"/>
    <x v="0"/>
    <n v="2000709145"/>
    <n v="2096"/>
    <n v="400"/>
    <n v="0"/>
    <s v="U26613"/>
    <s v="L1193/94"/>
    <x v="119"/>
    <m/>
    <m/>
    <m/>
    <n v="0"/>
    <m/>
    <m/>
  </r>
  <r>
    <n v="724"/>
    <x v="8"/>
    <s v="Day"/>
    <x v="0"/>
    <n v="2000696619"/>
    <n v="150"/>
    <n v="1"/>
    <n v="0"/>
    <s v="U26613"/>
    <s v="L1172/73"/>
    <x v="165"/>
    <m/>
    <m/>
    <m/>
    <n v="0"/>
    <m/>
    <m/>
  </r>
  <r>
    <n v="725"/>
    <x v="8"/>
    <s v="Day"/>
    <x v="0"/>
    <n v="2000709145"/>
    <n v="2096"/>
    <n v="200"/>
    <n v="0"/>
    <s v="U26613"/>
    <s v="L1193/94"/>
    <x v="119"/>
    <m/>
    <m/>
    <m/>
    <n v="0"/>
    <m/>
    <m/>
  </r>
  <r>
    <n v="726"/>
    <x v="8"/>
    <s v="Day"/>
    <x v="1"/>
    <n v="2000708750"/>
    <n v="440"/>
    <n v="100"/>
    <n v="0"/>
    <s v="U30119"/>
    <s v="PSLV"/>
    <x v="153"/>
    <m/>
    <m/>
    <m/>
    <n v="0"/>
    <m/>
    <m/>
  </r>
  <r>
    <n v="727"/>
    <x v="8"/>
    <s v="Day"/>
    <x v="1"/>
    <n v="2000708754"/>
    <n v="560"/>
    <n v="310"/>
    <n v="0"/>
    <s v="U30119"/>
    <s v="FLORA"/>
    <x v="28"/>
    <m/>
    <m/>
    <m/>
    <n v="0"/>
    <m/>
    <m/>
  </r>
  <r>
    <n v="728"/>
    <x v="8"/>
    <s v="Day"/>
    <x v="1"/>
    <n v="2000708974"/>
    <n v="700"/>
    <n v="160"/>
    <n v="0"/>
    <s v="U30119"/>
    <s v="PSHV"/>
    <x v="25"/>
    <m/>
    <m/>
    <m/>
    <n v="0"/>
    <m/>
    <m/>
  </r>
  <r>
    <n v="729"/>
    <x v="8"/>
    <s v="Day"/>
    <x v="1"/>
    <n v="2000708976"/>
    <n v="585"/>
    <n v="160"/>
    <n v="0"/>
    <s v="U30119"/>
    <s v="PSHV"/>
    <x v="80"/>
    <m/>
    <m/>
    <m/>
    <n v="0"/>
    <m/>
    <m/>
  </r>
  <r>
    <n v="730"/>
    <x v="8"/>
    <s v="Day"/>
    <x v="1"/>
    <n v="2000708975"/>
    <n v="300"/>
    <n v="100"/>
    <n v="0"/>
    <s v="U30119"/>
    <s v="PSLV"/>
    <x v="166"/>
    <m/>
    <m/>
    <m/>
    <n v="0"/>
    <m/>
    <m/>
  </r>
  <r>
    <n v="731"/>
    <x v="8"/>
    <s v="Day"/>
    <x v="1"/>
    <n v="2000708980"/>
    <n v="785"/>
    <n v="60"/>
    <n v="0"/>
    <s v="U30119"/>
    <s v="SHANKS"/>
    <x v="22"/>
    <m/>
    <m/>
    <m/>
    <n v="0"/>
    <m/>
    <m/>
  </r>
  <r>
    <n v="732"/>
    <x v="8"/>
    <s v="Night"/>
    <x v="0"/>
    <n v="2000708779"/>
    <n v="1300"/>
    <n v="85"/>
    <n v="0"/>
    <s v="U29686"/>
    <s v="L1209/10"/>
    <x v="55"/>
    <m/>
    <m/>
    <m/>
    <n v="0"/>
    <m/>
    <m/>
  </r>
  <r>
    <n v="733"/>
    <x v="8"/>
    <s v="Night"/>
    <x v="0"/>
    <n v="2000705984"/>
    <n v="2120"/>
    <n v="77"/>
    <n v="0"/>
    <s v="U29686"/>
    <s v="L1188/89_x0009_"/>
    <x v="109"/>
    <m/>
    <m/>
    <m/>
    <n v="0"/>
    <m/>
    <m/>
  </r>
  <r>
    <n v="734"/>
    <x v="8"/>
    <s v="Night"/>
    <x v="0"/>
    <n v="2000706633"/>
    <n v="1800"/>
    <n v="135"/>
    <n v="0"/>
    <s v="U29686"/>
    <s v="L1188/89"/>
    <x v="109"/>
    <m/>
    <m/>
    <m/>
    <n v="0"/>
    <m/>
    <m/>
  </r>
  <r>
    <n v="735"/>
    <x v="8"/>
    <s v="Night"/>
    <x v="0"/>
    <n v="2000708959"/>
    <n v="1132"/>
    <n v="270"/>
    <n v="0"/>
    <s v="U29686"/>
    <s v="L1209/10"/>
    <x v="55"/>
    <m/>
    <m/>
    <m/>
    <n v="0"/>
    <m/>
    <m/>
  </r>
  <r>
    <n v="736"/>
    <x v="8"/>
    <s v="Night"/>
    <x v="0"/>
    <n v="2000708960"/>
    <n v="300"/>
    <n v="45"/>
    <n v="0"/>
    <s v="U29686"/>
    <s v="L1209/10"/>
    <x v="68"/>
    <m/>
    <m/>
    <m/>
    <n v="0"/>
    <m/>
    <m/>
  </r>
  <r>
    <n v="737"/>
    <x v="8"/>
    <s v="Night"/>
    <x v="0"/>
    <n v="2000708772"/>
    <n v="4210"/>
    <n v="300"/>
    <n v="0"/>
    <s v="U03968"/>
    <s v="T515"/>
    <x v="15"/>
    <m/>
    <m/>
    <m/>
    <n v="0"/>
    <m/>
    <m/>
  </r>
  <r>
    <n v="738"/>
    <x v="8"/>
    <s v="Night"/>
    <x v="0"/>
    <n v="2000708455"/>
    <n v="300"/>
    <n v="150"/>
    <n v="0"/>
    <s v="U03968"/>
    <s v="L1172"/>
    <x v="165"/>
    <m/>
    <m/>
    <m/>
    <n v="0"/>
    <m/>
    <m/>
  </r>
  <r>
    <n v="739"/>
    <x v="8"/>
    <s v="Night"/>
    <x v="0"/>
    <n v="2000709588"/>
    <n v="2032"/>
    <n v="160"/>
    <n v="0"/>
    <s v="U03968"/>
    <s v="L1128/29"/>
    <x v="11"/>
    <m/>
    <m/>
    <m/>
    <n v="0"/>
    <m/>
    <m/>
  </r>
  <r>
    <n v="740"/>
    <x v="8"/>
    <s v="Night"/>
    <x v="0"/>
    <n v="2000708623"/>
    <n v="1808"/>
    <n v="160"/>
    <n v="0"/>
    <s v="U03968"/>
    <s v="L1112/13"/>
    <x v="8"/>
    <m/>
    <m/>
    <m/>
    <n v="0"/>
    <m/>
    <m/>
  </r>
  <r>
    <n v="741"/>
    <x v="8"/>
    <s v="Night"/>
    <x v="0"/>
    <n v="2000708692"/>
    <n v="3700"/>
    <n v="300"/>
    <n v="0"/>
    <s v="U03968"/>
    <s v="L1174/75"/>
    <x v="62"/>
    <m/>
    <m/>
    <m/>
    <n v="0"/>
    <m/>
    <m/>
  </r>
  <r>
    <n v="742"/>
    <x v="8"/>
    <s v="Night"/>
    <x v="0"/>
    <n v="2000709005"/>
    <n v="600"/>
    <n v="100"/>
    <n v="0"/>
    <s v="U03968"/>
    <s v="L1077"/>
    <x v="33"/>
    <m/>
    <m/>
    <m/>
    <n v="0"/>
    <m/>
    <m/>
  </r>
  <r>
    <n v="743"/>
    <x v="8"/>
    <s v="Night"/>
    <x v="0"/>
    <n v="2000709007"/>
    <n v="600"/>
    <n v="120"/>
    <n v="0"/>
    <s v="U03968"/>
    <s v="L1077"/>
    <x v="36"/>
    <m/>
    <m/>
    <m/>
    <n v="0"/>
    <m/>
    <m/>
  </r>
  <r>
    <n v="744"/>
    <x v="8"/>
    <s v="Night"/>
    <x v="0"/>
    <n v="2000708773"/>
    <n v="990"/>
    <n v="330"/>
    <n v="0"/>
    <s v="U03968"/>
    <s v="L1151/52"/>
    <x v="167"/>
    <m/>
    <m/>
    <m/>
    <n v="0"/>
    <m/>
    <m/>
  </r>
  <r>
    <n v="745"/>
    <x v="8"/>
    <s v="Night"/>
    <x v="0"/>
    <n v="2000709635"/>
    <n v="646"/>
    <n v="382"/>
    <n v="0"/>
    <s v="U27723"/>
    <s v="L1188/89"/>
    <x v="95"/>
    <m/>
    <m/>
    <m/>
    <n v="0"/>
    <m/>
    <m/>
  </r>
  <r>
    <n v="746"/>
    <x v="8"/>
    <s v="Night"/>
    <x v="0"/>
    <n v="2000708672"/>
    <n v="2001"/>
    <n v="120"/>
    <n v="0"/>
    <s v="U27723"/>
    <s v="L1168/69"/>
    <x v="37"/>
    <m/>
    <m/>
    <m/>
    <n v="0"/>
    <m/>
    <m/>
  </r>
  <r>
    <n v="747"/>
    <x v="8"/>
    <s v="Night"/>
    <x v="0"/>
    <n v="2000709636"/>
    <n v="126"/>
    <n v="20"/>
    <n v="0"/>
    <s v="U27723"/>
    <s v="L1188/89"/>
    <x v="60"/>
    <m/>
    <m/>
    <m/>
    <n v="0"/>
    <m/>
    <m/>
  </r>
  <r>
    <n v="748"/>
    <x v="8"/>
    <s v="Night"/>
    <x v="0"/>
    <n v="2000708779"/>
    <n v="1300"/>
    <n v="45"/>
    <n v="0"/>
    <s v="U18660"/>
    <s v="L1209/10"/>
    <x v="55"/>
    <m/>
    <m/>
    <m/>
    <n v="0"/>
    <m/>
    <m/>
  </r>
  <r>
    <n v="749"/>
    <x v="8"/>
    <s v="Night"/>
    <x v="0"/>
    <n v="2000708959"/>
    <n v="1132"/>
    <n v="84"/>
    <n v="0"/>
    <s v="U18660"/>
    <s v="L1209/10"/>
    <x v="55"/>
    <m/>
    <m/>
    <m/>
    <n v="0"/>
    <m/>
    <m/>
  </r>
  <r>
    <n v="750"/>
    <x v="8"/>
    <s v="Night"/>
    <x v="0"/>
    <n v="2000708960"/>
    <n v="1300"/>
    <n v="135"/>
    <n v="0"/>
    <s v="U18660"/>
    <s v="L1209/10"/>
    <x v="68"/>
    <m/>
    <m/>
    <m/>
    <n v="0"/>
    <m/>
    <m/>
  </r>
  <r>
    <n v="751"/>
    <x v="8"/>
    <s v="Night"/>
    <x v="0"/>
    <n v="2000708371"/>
    <n v="2100"/>
    <n v="35"/>
    <n v="0"/>
    <s v="U18660"/>
    <s v="L1172/73"/>
    <x v="18"/>
    <m/>
    <m/>
    <m/>
    <n v="0"/>
    <m/>
    <m/>
  </r>
  <r>
    <n v="752"/>
    <x v="8"/>
    <s v="Night"/>
    <x v="0"/>
    <n v="2000709636"/>
    <n v="126"/>
    <n v="105"/>
    <n v="0"/>
    <s v="U05944"/>
    <s v="L1188/89"/>
    <x v="60"/>
    <m/>
    <m/>
    <m/>
    <n v="0"/>
    <m/>
    <m/>
  </r>
  <r>
    <n v="753"/>
    <x v="8"/>
    <s v="Night"/>
    <x v="0"/>
    <n v="2000709637"/>
    <n v="280"/>
    <n v="1"/>
    <n v="0"/>
    <s v="U05944"/>
    <s v="L1188/89"/>
    <x v="168"/>
    <m/>
    <m/>
    <m/>
    <n v="0"/>
    <m/>
    <m/>
  </r>
  <r>
    <n v="754"/>
    <x v="8"/>
    <s v="Night"/>
    <x v="0"/>
    <n v="2000708959"/>
    <n v="1132"/>
    <n v="90"/>
    <n v="0"/>
    <s v="U05944"/>
    <s v="L1209/10"/>
    <x v="55"/>
    <m/>
    <m/>
    <m/>
    <n v="0"/>
    <m/>
    <m/>
  </r>
  <r>
    <n v="755"/>
    <x v="8"/>
    <s v="Night"/>
    <x v="0"/>
    <n v="2000709017"/>
    <n v="630"/>
    <n v="188"/>
    <n v="0"/>
    <s v="U27687"/>
    <s v="L1193/94"/>
    <x v="104"/>
    <m/>
    <m/>
    <m/>
    <n v="0"/>
    <m/>
    <m/>
  </r>
  <r>
    <n v="756"/>
    <x v="8"/>
    <s v="Night"/>
    <x v="0"/>
    <n v="2000708562"/>
    <n v="510"/>
    <n v="19"/>
    <n v="0"/>
    <s v="U27687"/>
    <s v="L1193/94"/>
    <x v="104"/>
    <m/>
    <m/>
    <m/>
    <n v="0"/>
    <m/>
    <m/>
  </r>
  <r>
    <n v="757"/>
    <x v="8"/>
    <s v="Night"/>
    <x v="0"/>
    <n v="2000710125"/>
    <n v="1300"/>
    <n v="100"/>
    <n v="0"/>
    <s v="U27687"/>
    <s v="L1172/73"/>
    <x v="19"/>
    <m/>
    <m/>
    <m/>
    <n v="0"/>
    <m/>
    <m/>
  </r>
  <r>
    <n v="758"/>
    <x v="8"/>
    <s v="Night"/>
    <x v="0"/>
    <n v="2000709017"/>
    <n v="630"/>
    <n v="30"/>
    <n v="0"/>
    <s v="U27687"/>
    <s v="L1193/94"/>
    <x v="104"/>
    <m/>
    <m/>
    <m/>
    <n v="0"/>
    <m/>
    <m/>
  </r>
  <r>
    <n v="759"/>
    <x v="8"/>
    <s v="Night"/>
    <x v="0"/>
    <n v="2000708960"/>
    <n v="1300"/>
    <n v="90"/>
    <n v="0"/>
    <s v="U27687"/>
    <s v="L1209/10"/>
    <x v="68"/>
    <m/>
    <m/>
    <m/>
    <n v="0"/>
    <m/>
    <m/>
  </r>
  <r>
    <n v="760"/>
    <x v="8"/>
    <s v="Night"/>
    <x v="0"/>
    <n v="2000708959"/>
    <n v="1132"/>
    <n v="15"/>
    <n v="0"/>
    <s v="U27687"/>
    <s v="L1209/10"/>
    <x v="55"/>
    <m/>
    <m/>
    <m/>
    <n v="0"/>
    <m/>
    <m/>
  </r>
  <r>
    <n v="761"/>
    <x v="8"/>
    <s v="Night"/>
    <x v="0"/>
    <n v="2000705510"/>
    <n v="10"/>
    <n v="6"/>
    <n v="0"/>
    <s v="U32991"/>
    <s v="L1197/98"/>
    <x v="155"/>
    <m/>
    <m/>
    <m/>
    <n v="0"/>
    <m/>
    <m/>
  </r>
  <r>
    <n v="762"/>
    <x v="8"/>
    <s v="Night"/>
    <x v="0"/>
    <n v="2000705511"/>
    <n v="10"/>
    <n v="6"/>
    <n v="0"/>
    <s v="U32991"/>
    <s v="L1197/98"/>
    <x v="155"/>
    <m/>
    <m/>
    <m/>
    <n v="0"/>
    <m/>
    <m/>
  </r>
  <r>
    <n v="763"/>
    <x v="8"/>
    <s v="Night"/>
    <x v="0"/>
    <n v="2000708733"/>
    <n v="300"/>
    <n v="90"/>
    <n v="0"/>
    <s v="U32991"/>
    <s v="L1151/52"/>
    <x v="154"/>
    <m/>
    <m/>
    <m/>
    <n v="0"/>
    <m/>
    <m/>
  </r>
  <r>
    <n v="764"/>
    <x v="8"/>
    <s v="Night"/>
    <x v="0"/>
    <n v="2000708706"/>
    <n v="600"/>
    <n v="80"/>
    <n v="1"/>
    <s v="U32991"/>
    <s v="L1144/47"/>
    <x v="39"/>
    <s v="Hàn giả"/>
    <m/>
    <s v="Q410"/>
    <n v="1"/>
    <s v="\\vn-file\QC Department\4.OQC\00. OQC Performance\03. Images\01. NG\20210113-NG-0450708706.jpg"/>
    <m/>
  </r>
  <r>
    <n v="765"/>
    <x v="8"/>
    <s v="Night"/>
    <x v="0"/>
    <n v="2000709321"/>
    <n v="90"/>
    <n v="90"/>
    <n v="0"/>
    <s v="U32991"/>
    <s v="L1172/73"/>
    <x v="169"/>
    <m/>
    <m/>
    <m/>
    <n v="0"/>
    <m/>
    <m/>
  </r>
  <r>
    <n v="766"/>
    <x v="8"/>
    <s v="Night"/>
    <x v="0"/>
    <n v="2000709100"/>
    <n v="20"/>
    <n v="18"/>
    <n v="0"/>
    <s v="U32991"/>
    <s v="L1144/47"/>
    <x v="170"/>
    <m/>
    <m/>
    <m/>
    <n v="0"/>
    <m/>
    <m/>
  </r>
  <r>
    <n v="767"/>
    <x v="8"/>
    <s v="Night"/>
    <x v="0"/>
    <n v="2000708960"/>
    <n v="1300"/>
    <n v="90"/>
    <n v="0"/>
    <s v="U32991"/>
    <s v="L1209/10"/>
    <x v="68"/>
    <m/>
    <m/>
    <m/>
    <n v="0"/>
    <m/>
    <m/>
  </r>
  <r>
    <n v="768"/>
    <x v="8"/>
    <s v="Night"/>
    <x v="0"/>
    <n v="2000709108"/>
    <n v="380"/>
    <n v="10"/>
    <n v="0"/>
    <s v="U36206"/>
    <s v="L1144/47"/>
    <x v="120"/>
    <m/>
    <m/>
    <m/>
    <n v="0"/>
    <m/>
    <m/>
  </r>
  <r>
    <n v="769"/>
    <x v="8"/>
    <s v="Night"/>
    <x v="0"/>
    <n v="2000709107"/>
    <n v="340"/>
    <n v="80"/>
    <n v="0"/>
    <s v="U36206"/>
    <s v="L1144/47"/>
    <x v="1"/>
    <m/>
    <m/>
    <m/>
    <n v="0"/>
    <m/>
    <m/>
  </r>
  <r>
    <n v="770"/>
    <x v="8"/>
    <s v="Night"/>
    <x v="0"/>
    <n v="2000709008"/>
    <n v="600"/>
    <n v="80"/>
    <n v="0"/>
    <s v="U36206"/>
    <s v="L1077"/>
    <x v="2"/>
    <m/>
    <m/>
    <m/>
    <n v="0"/>
    <m/>
    <m/>
  </r>
  <r>
    <n v="771"/>
    <x v="8"/>
    <s v="Night"/>
    <x v="0"/>
    <n v="2000708693"/>
    <n v="3700"/>
    <n v="100"/>
    <n v="0"/>
    <s v="U36206"/>
    <s v="L1174/75"/>
    <x v="3"/>
    <m/>
    <m/>
    <m/>
    <n v="0"/>
    <m/>
    <m/>
  </r>
  <r>
    <n v="772"/>
    <x v="8"/>
    <s v="Night"/>
    <x v="0"/>
    <n v="2000709099"/>
    <n v="220"/>
    <n v="20"/>
    <n v="0"/>
    <s v="U36206"/>
    <s v="L1144/47"/>
    <x v="57"/>
    <m/>
    <m/>
    <m/>
    <n v="0"/>
    <m/>
    <m/>
  </r>
  <r>
    <n v="773"/>
    <x v="8"/>
    <s v="Night"/>
    <x v="0"/>
    <n v="2000709016"/>
    <n v="1120"/>
    <n v="90"/>
    <n v="0"/>
    <s v="U36206"/>
    <s v="L1174/75"/>
    <x v="171"/>
    <m/>
    <m/>
    <m/>
    <n v="0"/>
    <m/>
    <m/>
  </r>
  <r>
    <n v="774"/>
    <x v="8"/>
    <s v="Night"/>
    <x v="0"/>
    <n v="2000709101"/>
    <n v="40"/>
    <n v="20"/>
    <n v="0"/>
    <s v="U36206"/>
    <s v="L1144/47"/>
    <x v="88"/>
    <m/>
    <m/>
    <m/>
    <n v="0"/>
    <m/>
    <m/>
  </r>
  <r>
    <n v="775"/>
    <x v="8"/>
    <s v="Night"/>
    <x v="0"/>
    <n v="2000708998"/>
    <n v="1100"/>
    <n v="120"/>
    <n v="0"/>
    <s v="U36206"/>
    <s v="L1144/47"/>
    <x v="59"/>
    <m/>
    <m/>
    <m/>
    <n v="0"/>
    <m/>
    <m/>
  </r>
  <r>
    <n v="776"/>
    <x v="8"/>
    <s v="Night"/>
    <x v="1"/>
    <n v="2000708754"/>
    <n v="560"/>
    <n v="50"/>
    <n v="0"/>
    <s v="U15759"/>
    <s v="FLORA"/>
    <x v="28"/>
    <m/>
    <m/>
    <m/>
    <n v="0"/>
    <m/>
    <m/>
  </r>
  <r>
    <n v="777"/>
    <x v="8"/>
    <s v="Night"/>
    <x v="1"/>
    <n v="2000706937"/>
    <n v="152"/>
    <n v="30"/>
    <n v="0"/>
    <s v="U15759"/>
    <s v="ZAKUZO"/>
    <x v="114"/>
    <m/>
    <m/>
    <m/>
    <n v="0"/>
    <m/>
    <m/>
  </r>
  <r>
    <n v="778"/>
    <x v="8"/>
    <s v="Night"/>
    <x v="1"/>
    <n v="2000708976"/>
    <n v="585"/>
    <n v="100"/>
    <n v="0"/>
    <s v="U15759"/>
    <s v="PSHV"/>
    <x v="80"/>
    <m/>
    <m/>
    <m/>
    <n v="0"/>
    <m/>
    <m/>
  </r>
  <r>
    <n v="779"/>
    <x v="8"/>
    <s v="Night"/>
    <x v="1"/>
    <n v="2000708977"/>
    <n v="266"/>
    <n v="45"/>
    <n v="0"/>
    <s v="U15759"/>
    <s v="PSLV"/>
    <x v="129"/>
    <m/>
    <m/>
    <m/>
    <n v="0"/>
    <m/>
    <m/>
  </r>
  <r>
    <n v="780"/>
    <x v="8"/>
    <s v="Night"/>
    <x v="1"/>
    <n v="2000709152"/>
    <n v="500"/>
    <n v="90"/>
    <n v="0"/>
    <s v="U15759"/>
    <s v="PSHV"/>
    <x v="26"/>
    <m/>
    <m/>
    <m/>
    <n v="0"/>
    <m/>
    <m/>
  </r>
  <r>
    <n v="781"/>
    <x v="8"/>
    <s v="Night"/>
    <x v="1"/>
    <n v="2000709498"/>
    <n v="879"/>
    <n v="150"/>
    <n v="0"/>
    <s v="U15759"/>
    <s v="SHANKS"/>
    <x v="22"/>
    <m/>
    <m/>
    <m/>
    <n v="0"/>
    <m/>
    <m/>
  </r>
  <r>
    <n v="782"/>
    <x v="8"/>
    <s v="Night"/>
    <x v="1"/>
    <n v="2000708980"/>
    <n v="785"/>
    <n v="150"/>
    <n v="0"/>
    <s v="U15759"/>
    <s v="SHANKS"/>
    <x v="22"/>
    <m/>
    <m/>
    <m/>
    <n v="0"/>
    <m/>
    <m/>
  </r>
  <r>
    <n v="783"/>
    <x v="8"/>
    <s v="Night"/>
    <x v="1"/>
    <n v="2000706942"/>
    <n v="420"/>
    <n v="60"/>
    <n v="0"/>
    <s v="U15759"/>
    <s v="SHANKS"/>
    <x v="106"/>
    <m/>
    <m/>
    <m/>
    <n v="0"/>
    <m/>
    <m/>
  </r>
  <r>
    <n v="784"/>
    <x v="8"/>
    <s v="Night"/>
    <x v="1"/>
    <n v="2000708981"/>
    <n v="700"/>
    <n v="175"/>
    <n v="0"/>
    <s v="U15759"/>
    <s v="SHANKS"/>
    <x v="172"/>
    <m/>
    <m/>
    <m/>
    <n v="0"/>
    <m/>
    <m/>
  </r>
  <r>
    <n v="785"/>
    <x v="8"/>
    <s v="Night"/>
    <x v="1"/>
    <n v="2000709346"/>
    <n v="192"/>
    <n v="96"/>
    <n v="0"/>
    <s v="U15759"/>
    <s v="SHANKS"/>
    <x v="52"/>
    <m/>
    <m/>
    <m/>
    <n v="0"/>
    <m/>
    <m/>
  </r>
  <r>
    <n v="786"/>
    <x v="9"/>
    <s v="Day"/>
    <x v="0"/>
    <n v="2000708959"/>
    <n v="1132"/>
    <n v="45"/>
    <n v="0"/>
    <s v="U36008"/>
    <s v="L1209/10"/>
    <x v="55"/>
    <m/>
    <m/>
    <m/>
    <n v="0"/>
    <m/>
    <m/>
  </r>
  <r>
    <n v="787"/>
    <x v="9"/>
    <s v="Day"/>
    <x v="0"/>
    <n v="2000708960"/>
    <n v="1300"/>
    <n v="495"/>
    <n v="0"/>
    <s v="U36008"/>
    <s v="L1209/10"/>
    <x v="68"/>
    <m/>
    <m/>
    <m/>
    <n v="0"/>
    <m/>
    <m/>
  </r>
  <r>
    <n v="788"/>
    <x v="9"/>
    <s v="Day"/>
    <x v="0"/>
    <n v="2000708364"/>
    <n v="1352"/>
    <n v="47"/>
    <n v="0"/>
    <s v="U36008"/>
    <s v="L1188/89"/>
    <x v="84"/>
    <m/>
    <m/>
    <m/>
    <n v="0"/>
    <m/>
    <m/>
  </r>
  <r>
    <n v="789"/>
    <x v="9"/>
    <s v="Day"/>
    <x v="0"/>
    <n v="2000706264"/>
    <n v="544"/>
    <n v="4"/>
    <n v="0"/>
    <s v="U36008"/>
    <s v="L1188/89"/>
    <x v="84"/>
    <m/>
    <m/>
    <m/>
    <n v="0"/>
    <m/>
    <m/>
  </r>
  <r>
    <n v="790"/>
    <x v="9"/>
    <s v="Day"/>
    <x v="0"/>
    <n v="2000708733"/>
    <n v="300"/>
    <n v="145"/>
    <n v="0"/>
    <s v="U31065"/>
    <s v="L1151/52"/>
    <x v="154"/>
    <m/>
    <m/>
    <m/>
    <n v="0"/>
    <m/>
    <m/>
  </r>
  <r>
    <n v="791"/>
    <x v="9"/>
    <s v="Day"/>
    <x v="0"/>
    <n v="2000709018"/>
    <n v="150"/>
    <n v="53"/>
    <n v="0"/>
    <s v="U31065"/>
    <s v="L1193/94"/>
    <x v="104"/>
    <m/>
    <m/>
    <m/>
    <n v="0"/>
    <m/>
    <m/>
  </r>
  <r>
    <n v="792"/>
    <x v="9"/>
    <s v="Day"/>
    <x v="0"/>
    <n v="2000708798"/>
    <n v="1183"/>
    <n v="997"/>
    <n v="0"/>
    <s v="U09749"/>
    <s v="L1151/52"/>
    <x v="173"/>
    <m/>
    <m/>
    <m/>
    <n v="0"/>
    <m/>
    <m/>
  </r>
  <r>
    <n v="793"/>
    <x v="9"/>
    <s v="Day"/>
    <x v="0"/>
    <n v="2000709145"/>
    <n v="2096"/>
    <n v="400"/>
    <n v="0"/>
    <s v="U07492"/>
    <s v="L1193/94"/>
    <x v="119"/>
    <m/>
    <m/>
    <m/>
    <n v="0"/>
    <m/>
    <m/>
  </r>
  <r>
    <n v="794"/>
    <x v="9"/>
    <s v="Day"/>
    <x v="0"/>
    <n v="2000709594"/>
    <n v="2004"/>
    <n v="200"/>
    <n v="0"/>
    <s v="U07492"/>
    <s v="L1174/75"/>
    <x v="66"/>
    <m/>
    <m/>
    <m/>
    <n v="0"/>
    <m/>
    <m/>
  </r>
  <r>
    <n v="795"/>
    <x v="9"/>
    <s v="Day"/>
    <x v="0"/>
    <n v="2000709116"/>
    <n v="4220"/>
    <n v="240"/>
    <n v="0"/>
    <s v="U07492"/>
    <s v="T515"/>
    <x v="15"/>
    <m/>
    <m/>
    <m/>
    <n v="0"/>
    <m/>
    <m/>
  </r>
  <r>
    <n v="796"/>
    <x v="9"/>
    <s v="Day"/>
    <x v="0"/>
    <n v="2000708687"/>
    <n v="380"/>
    <n v="360"/>
    <n v="0"/>
    <s v="U09854"/>
    <s v="L1172/73"/>
    <x v="103"/>
    <m/>
    <m/>
    <m/>
    <n v="0"/>
    <m/>
    <m/>
  </r>
  <r>
    <n v="797"/>
    <x v="9"/>
    <s v="Day"/>
    <x v="0"/>
    <n v="2000708949"/>
    <n v="1020"/>
    <n v="240"/>
    <n v="0"/>
    <s v="U09854"/>
    <s v="L1172/73"/>
    <x v="99"/>
    <m/>
    <m/>
    <m/>
    <n v="0"/>
    <m/>
    <m/>
  </r>
  <r>
    <n v="798"/>
    <x v="9"/>
    <s v="Day"/>
    <x v="0"/>
    <n v="2000708995"/>
    <n v="1100"/>
    <n v="100"/>
    <n v="0"/>
    <s v="U26613"/>
    <s v="L1144/47"/>
    <x v="64"/>
    <m/>
    <m/>
    <m/>
    <n v="0"/>
    <m/>
    <m/>
  </r>
  <r>
    <n v="799"/>
    <x v="9"/>
    <s v="Day"/>
    <x v="0"/>
    <n v="2000708996"/>
    <n v="1100"/>
    <n v="100"/>
    <n v="0"/>
    <s v="U26613"/>
    <s v="L1144/47"/>
    <x v="63"/>
    <m/>
    <m/>
    <m/>
    <n v="0"/>
    <m/>
    <m/>
  </r>
  <r>
    <n v="800"/>
    <x v="9"/>
    <s v="Day"/>
    <x v="0"/>
    <n v="2000709978"/>
    <n v="6000"/>
    <n v="300"/>
    <n v="0"/>
    <s v="U26613"/>
    <s v="L1112/13"/>
    <x v="75"/>
    <m/>
    <m/>
    <m/>
    <n v="0"/>
    <m/>
    <m/>
  </r>
  <r>
    <n v="801"/>
    <x v="9"/>
    <s v="Day"/>
    <x v="0"/>
    <n v="2000709004"/>
    <n v="600"/>
    <n v="100"/>
    <n v="0"/>
    <s v="U26613"/>
    <s v="L1077"/>
    <x v="10"/>
    <m/>
    <m/>
    <m/>
    <n v="0"/>
    <m/>
    <m/>
  </r>
  <r>
    <n v="802"/>
    <x v="9"/>
    <s v="Day"/>
    <x v="0"/>
    <n v="2000709006"/>
    <n v="600"/>
    <n v="80"/>
    <n v="0"/>
    <s v="U26613"/>
    <s v="L1077"/>
    <x v="6"/>
    <m/>
    <m/>
    <m/>
    <n v="0"/>
    <m/>
    <m/>
  </r>
  <r>
    <n v="803"/>
    <x v="9"/>
    <s v="Day"/>
    <x v="0"/>
    <n v="2000709558"/>
    <n v="1600"/>
    <n v="200"/>
    <n v="0"/>
    <s v="U26613"/>
    <s v="L1077"/>
    <x v="36"/>
    <m/>
    <m/>
    <m/>
    <n v="0"/>
    <m/>
    <m/>
  </r>
  <r>
    <n v="804"/>
    <x v="9"/>
    <s v="Day"/>
    <x v="0"/>
    <n v="2000709557"/>
    <n v="1600"/>
    <n v="160"/>
    <n v="0"/>
    <s v="U26613"/>
    <s v="L1077"/>
    <x v="6"/>
    <m/>
    <m/>
    <m/>
    <n v="0"/>
    <m/>
    <m/>
  </r>
  <r>
    <n v="805"/>
    <x v="9"/>
    <s v="Day"/>
    <x v="0"/>
    <n v="2000709145"/>
    <n v="2096"/>
    <n v="400"/>
    <n v="0"/>
    <s v="U26613"/>
    <s v="L1193/94"/>
    <x v="119"/>
    <m/>
    <m/>
    <m/>
    <n v="0"/>
    <m/>
    <m/>
  </r>
  <r>
    <n v="806"/>
    <x v="9"/>
    <s v="Day"/>
    <x v="0"/>
    <n v="2000709830"/>
    <n v="896"/>
    <n v="100"/>
    <n v="0"/>
    <s v="U26613"/>
    <s v="L1105"/>
    <x v="174"/>
    <m/>
    <m/>
    <m/>
    <n v="0"/>
    <m/>
    <m/>
  </r>
  <r>
    <n v="807"/>
    <x v="9"/>
    <s v="Day"/>
    <x v="0"/>
    <n v="2000709555"/>
    <n v="1600"/>
    <n v="150"/>
    <n v="0"/>
    <s v="U26613"/>
    <s v="L1077"/>
    <x v="10"/>
    <m/>
    <m/>
    <m/>
    <n v="0"/>
    <m/>
    <m/>
  </r>
  <r>
    <n v="808"/>
    <x v="9"/>
    <s v="Day"/>
    <x v="0"/>
    <n v="2000708954"/>
    <n v="3000"/>
    <n v="120"/>
    <n v="0"/>
    <s v="U30425"/>
    <s v="L1168/69"/>
    <x v="37"/>
    <m/>
    <m/>
    <m/>
    <n v="0"/>
    <m/>
    <m/>
  </r>
  <r>
    <n v="809"/>
    <x v="9"/>
    <s v="Day"/>
    <x v="0"/>
    <n v="2000709845"/>
    <n v="440"/>
    <n v="80"/>
    <n v="0"/>
    <s v="U30425"/>
    <s v="L1144/47"/>
    <x v="5"/>
    <m/>
    <m/>
    <m/>
    <n v="0"/>
    <m/>
    <m/>
  </r>
  <r>
    <n v="810"/>
    <x v="9"/>
    <s v="Day"/>
    <x v="0"/>
    <n v="2000709559"/>
    <n v="1600"/>
    <n v="120"/>
    <n v="0"/>
    <s v="U30425"/>
    <s v="L1077"/>
    <x v="2"/>
    <m/>
    <m/>
    <m/>
    <n v="0"/>
    <m/>
    <m/>
  </r>
  <r>
    <n v="811"/>
    <x v="9"/>
    <s v="Day"/>
    <x v="0"/>
    <n v="2000710125"/>
    <n v="1300"/>
    <n v="20"/>
    <n v="0"/>
    <s v="U30425"/>
    <s v="L1172/73"/>
    <x v="19"/>
    <m/>
    <m/>
    <m/>
    <n v="0"/>
    <m/>
    <m/>
  </r>
  <r>
    <n v="812"/>
    <x v="9"/>
    <s v="Day"/>
    <x v="0"/>
    <n v="2000708726"/>
    <n v="800"/>
    <n v="80"/>
    <n v="0"/>
    <s v="U30425"/>
    <s v="L1144/47"/>
    <x v="59"/>
    <m/>
    <m/>
    <m/>
    <n v="0"/>
    <m/>
    <m/>
  </r>
  <r>
    <n v="813"/>
    <x v="9"/>
    <s v="Day"/>
    <x v="0"/>
    <n v="2000708959"/>
    <n v="1132"/>
    <n v="45"/>
    <n v="0"/>
    <s v="U26987"/>
    <s v="L1209/10"/>
    <x v="55"/>
    <m/>
    <m/>
    <m/>
    <n v="0"/>
    <m/>
    <m/>
  </r>
  <r>
    <n v="814"/>
    <x v="9"/>
    <s v="Day"/>
    <x v="0"/>
    <n v="2000708960"/>
    <n v="1300"/>
    <n v="270"/>
    <n v="0"/>
    <s v="U26987"/>
    <s v="L1209/10"/>
    <x v="68"/>
    <m/>
    <m/>
    <m/>
    <n v="0"/>
    <m/>
    <m/>
  </r>
  <r>
    <n v="815"/>
    <x v="9"/>
    <s v="Day"/>
    <x v="0"/>
    <n v="2000705984"/>
    <n v="2120"/>
    <n v="81"/>
    <n v="0"/>
    <s v="U26987"/>
    <s v="L1188/89"/>
    <x v="109"/>
    <m/>
    <m/>
    <m/>
    <n v="0"/>
    <m/>
    <m/>
  </r>
  <r>
    <n v="816"/>
    <x v="9"/>
    <s v="Day"/>
    <x v="0"/>
    <n v="2000704810"/>
    <n v="1350"/>
    <n v="17"/>
    <n v="0"/>
    <s v="U26987"/>
    <s v="L1170/71"/>
    <x v="117"/>
    <m/>
    <m/>
    <m/>
    <n v="0"/>
    <m/>
    <m/>
  </r>
  <r>
    <n v="817"/>
    <x v="9"/>
    <s v="Day"/>
    <x v="0"/>
    <n v="2000708959"/>
    <n v="1132"/>
    <n v="30"/>
    <n v="0"/>
    <s v="U27724"/>
    <s v="L1209/10"/>
    <x v="55"/>
    <m/>
    <m/>
    <m/>
    <n v="0"/>
    <m/>
    <m/>
  </r>
  <r>
    <n v="818"/>
    <x v="9"/>
    <s v="Day"/>
    <x v="0"/>
    <n v="2000709637"/>
    <n v="280"/>
    <n v="278"/>
    <n v="0"/>
    <s v="U27724"/>
    <s v="L1188/89"/>
    <x v="168"/>
    <m/>
    <m/>
    <m/>
    <n v="0"/>
    <m/>
    <m/>
  </r>
  <r>
    <n v="819"/>
    <x v="9"/>
    <s v="Day"/>
    <x v="0"/>
    <n v="2000710122"/>
    <n v="640"/>
    <n v="240"/>
    <n v="0"/>
    <s v="U27724"/>
    <s v="L1188/89"/>
    <x v="130"/>
    <m/>
    <m/>
    <m/>
    <n v="0"/>
    <m/>
    <m/>
  </r>
  <r>
    <n v="820"/>
    <x v="9"/>
    <s v="Day"/>
    <x v="0"/>
    <n v="2000708694"/>
    <n v="1320"/>
    <n v="8"/>
    <n v="0"/>
    <s v="U27724"/>
    <s v="L1188/89"/>
    <x v="130"/>
    <m/>
    <m/>
    <m/>
    <n v="0"/>
    <m/>
    <m/>
  </r>
  <r>
    <n v="821"/>
    <x v="9"/>
    <s v="Day"/>
    <x v="0"/>
    <n v="2000708949"/>
    <n v="1020"/>
    <n v="135"/>
    <n v="0"/>
    <s v="U27724"/>
    <s v="L1172/73"/>
    <x v="99"/>
    <m/>
    <m/>
    <m/>
    <n v="0"/>
    <m/>
    <m/>
  </r>
  <r>
    <n v="822"/>
    <x v="9"/>
    <s v="Day"/>
    <x v="1"/>
    <n v="2000708754"/>
    <n v="560"/>
    <n v="130"/>
    <n v="0"/>
    <s v="U30119"/>
    <s v="FLORA"/>
    <x v="28"/>
    <m/>
    <m/>
    <m/>
    <n v="0"/>
    <m/>
    <m/>
  </r>
  <r>
    <n v="823"/>
    <x v="9"/>
    <s v="Day"/>
    <x v="1"/>
    <n v="2000709358"/>
    <n v="360"/>
    <n v="357"/>
    <n v="0"/>
    <s v="U30119"/>
    <s v="BORUTO"/>
    <x v="111"/>
    <m/>
    <m/>
    <m/>
    <n v="0"/>
    <m/>
    <m/>
  </r>
  <r>
    <n v="824"/>
    <x v="9"/>
    <s v="Day"/>
    <x v="1"/>
    <n v="2000709498"/>
    <n v="879"/>
    <n v="60"/>
    <n v="0"/>
    <s v="U30119"/>
    <s v="SHANKS"/>
    <x v="22"/>
    <m/>
    <m/>
    <m/>
    <n v="0"/>
    <m/>
    <m/>
  </r>
  <r>
    <n v="825"/>
    <x v="9"/>
    <s v="Day"/>
    <x v="1"/>
    <n v="2000709348"/>
    <n v="700"/>
    <n v="100"/>
    <n v="0"/>
    <s v="U30119"/>
    <s v="PSHV"/>
    <x v="25"/>
    <m/>
    <m/>
    <m/>
    <n v="0"/>
    <m/>
    <m/>
  </r>
  <r>
    <n v="826"/>
    <x v="9"/>
    <s v="Day"/>
    <x v="1"/>
    <n v="2000709347"/>
    <n v="500"/>
    <n v="80"/>
    <n v="0"/>
    <s v="U30119"/>
    <s v="PSHV"/>
    <x v="26"/>
    <m/>
    <m/>
    <m/>
    <n v="0"/>
    <m/>
    <m/>
  </r>
  <r>
    <n v="827"/>
    <x v="9"/>
    <s v="Day"/>
    <x v="1"/>
    <n v="2000709357"/>
    <n v="450"/>
    <n v="180"/>
    <n v="0"/>
    <s v="U30119"/>
    <s v="BORUTO"/>
    <x v="107"/>
    <m/>
    <m/>
    <m/>
    <n v="0"/>
    <m/>
    <m/>
  </r>
  <r>
    <n v="828"/>
    <x v="9"/>
    <s v="Day"/>
    <x v="1"/>
    <n v="2000708970"/>
    <n v="160"/>
    <n v="60"/>
    <n v="0"/>
    <s v="U30119"/>
    <s v="FLORA"/>
    <x v="28"/>
    <m/>
    <m/>
    <m/>
    <n v="0"/>
    <m/>
    <m/>
  </r>
  <r>
    <n v="829"/>
    <x v="9"/>
    <s v="Day"/>
    <x v="1"/>
    <n v="2000708752"/>
    <n v="200"/>
    <n v="10"/>
    <n v="0"/>
    <s v="U30119"/>
    <s v="PSLV"/>
    <x v="49"/>
    <m/>
    <m/>
    <m/>
    <n v="0"/>
    <m/>
    <m/>
  </r>
  <r>
    <n v="830"/>
    <x v="9"/>
    <s v="Day"/>
    <x v="1"/>
    <n v="2000709361"/>
    <n v="600"/>
    <n v="140"/>
    <n v="0"/>
    <s v="U30119"/>
    <s v="PSLV"/>
    <x v="49"/>
    <m/>
    <m/>
    <m/>
    <n v="0"/>
    <m/>
    <m/>
  </r>
  <r>
    <n v="831"/>
    <x v="9"/>
    <s v="Night"/>
    <x v="0"/>
    <n v="2000708960"/>
    <n v="1300"/>
    <n v="175"/>
    <n v="1"/>
    <s v="U29686"/>
    <s v="L1209/10"/>
    <x v="68"/>
    <s v="Bong, vỡ linh kiện"/>
    <m/>
    <s v="NF2762"/>
    <n v="1"/>
    <s v="\\vn-file\QC Department\4.OQC\00. OQC Performance\03. Images\01. NG\20210114-NG-2035708960.jpg"/>
    <s v="\\vn-file\QC Department\4.OQC\00. OQC Performance\03. Images\02. OK\20210114-OK-2035708960.jpg"/>
  </r>
  <r>
    <n v="832"/>
    <x v="9"/>
    <s v="Night"/>
    <x v="0"/>
    <n v="2000706583"/>
    <n v="3050"/>
    <n v="30"/>
    <n v="0"/>
    <s v="U29686"/>
    <s v="L1209/10_x0009_"/>
    <x v="44"/>
    <m/>
    <m/>
    <m/>
    <n v="0"/>
    <m/>
    <m/>
  </r>
  <r>
    <n v="833"/>
    <x v="9"/>
    <s v="Night"/>
    <x v="0"/>
    <n v="2000703496"/>
    <n v="1080"/>
    <n v="7"/>
    <n v="0"/>
    <s v="U29686"/>
    <s v="L1209/10"/>
    <x v="68"/>
    <m/>
    <m/>
    <m/>
    <n v="0"/>
    <m/>
    <m/>
  </r>
  <r>
    <n v="834"/>
    <x v="9"/>
    <s v="Night"/>
    <x v="0"/>
    <n v="2000709566"/>
    <n v="816"/>
    <n v="503"/>
    <n v="0"/>
    <s v="U29686"/>
    <s v="L1209/10"/>
    <x v="68"/>
    <m/>
    <m/>
    <m/>
    <n v="0"/>
    <m/>
    <m/>
  </r>
  <r>
    <n v="835"/>
    <x v="9"/>
    <s v="Night"/>
    <x v="0"/>
    <n v="2000707771"/>
    <n v="1036"/>
    <n v="18"/>
    <n v="0"/>
    <s v="U29686"/>
    <s v="L1209/10"/>
    <x v="68"/>
    <m/>
    <m/>
    <m/>
    <n v="0"/>
    <m/>
    <m/>
  </r>
  <r>
    <n v="836"/>
    <x v="9"/>
    <s v="Night"/>
    <x v="0"/>
    <n v="2000709662"/>
    <n v="1306"/>
    <n v="105"/>
    <n v="1"/>
    <s v="U29686"/>
    <s v="L1170/71"/>
    <x v="117"/>
    <s v="Thừa linh kiện"/>
    <m/>
    <s v="OCB"/>
    <n v="1"/>
    <s v="\\vn-file\QC Department\4.OQC\00. OQC Performance\03. Images\01. NG\20210114-NG-0745709662.jpg"/>
    <s v="\\vn-file\QC Department\4.OQC\00. OQC Performance\03. Images\02. OK\20210114-OK-0745709662.jpg"/>
  </r>
  <r>
    <n v="837"/>
    <x v="9"/>
    <s v="Night"/>
    <x v="0"/>
    <n v="2000704810"/>
    <n v="1350"/>
    <n v="45"/>
    <n v="0"/>
    <s v="U29686"/>
    <s v="L1170/71"/>
    <x v="117"/>
    <m/>
    <m/>
    <m/>
    <n v="0"/>
    <m/>
    <m/>
  </r>
  <r>
    <n v="838"/>
    <x v="9"/>
    <s v="Night"/>
    <x v="0"/>
    <n v="2000709831"/>
    <n v="3825"/>
    <n v="300"/>
    <n v="0"/>
    <s v="U03968"/>
    <s v="L1172/73"/>
    <x v="7"/>
    <m/>
    <m/>
    <m/>
    <n v="0"/>
    <m/>
    <m/>
  </r>
  <r>
    <n v="839"/>
    <x v="9"/>
    <s v="Night"/>
    <x v="0"/>
    <n v="2000708456"/>
    <n v="300"/>
    <n v="150"/>
    <n v="0"/>
    <s v="U03968"/>
    <s v="L1172/73"/>
    <x v="175"/>
    <m/>
    <m/>
    <m/>
    <n v="0"/>
    <m/>
    <m/>
  </r>
  <r>
    <n v="840"/>
    <x v="9"/>
    <s v="Night"/>
    <x v="0"/>
    <n v="2000708798"/>
    <n v="1183"/>
    <n v="185"/>
    <n v="0"/>
    <s v="U03968"/>
    <s v="L1151/52"/>
    <x v="176"/>
    <m/>
    <m/>
    <m/>
    <n v="0"/>
    <m/>
    <m/>
  </r>
  <r>
    <n v="841"/>
    <x v="9"/>
    <s v="Night"/>
    <x v="0"/>
    <n v="2000710284"/>
    <n v="6030"/>
    <n v="300"/>
    <n v="0"/>
    <s v="U03968"/>
    <s v="L1112/13"/>
    <x v="75"/>
    <m/>
    <m/>
    <m/>
    <n v="0"/>
    <m/>
    <m/>
  </r>
  <r>
    <n v="842"/>
    <x v="9"/>
    <s v="Night"/>
    <x v="0"/>
    <n v="2000708724"/>
    <n v="800"/>
    <n v="150"/>
    <n v="0"/>
    <s v="U03968"/>
    <s v="L1144/47"/>
    <x v="77"/>
    <m/>
    <m/>
    <m/>
    <n v="0"/>
    <m/>
    <m/>
  </r>
  <r>
    <n v="843"/>
    <x v="9"/>
    <s v="Night"/>
    <x v="0"/>
    <n v="2000709879"/>
    <n v="2048"/>
    <n v="125"/>
    <n v="0"/>
    <s v="U03968"/>
    <s v="L1128/29"/>
    <x v="11"/>
    <m/>
    <m/>
    <m/>
    <n v="0"/>
    <m/>
    <m/>
  </r>
  <r>
    <n v="844"/>
    <x v="9"/>
    <s v="Night"/>
    <x v="0"/>
    <n v="2000708625"/>
    <n v="4208"/>
    <n v="200"/>
    <n v="0"/>
    <s v="U03968"/>
    <s v="L1112/13"/>
    <x v="177"/>
    <m/>
    <m/>
    <m/>
    <n v="0"/>
    <m/>
    <m/>
  </r>
  <r>
    <n v="845"/>
    <x v="9"/>
    <s v="Night"/>
    <x v="0"/>
    <n v="2000709556"/>
    <n v="1600"/>
    <n v="150"/>
    <n v="0"/>
    <s v="U03968"/>
    <s v="L1077"/>
    <x v="33"/>
    <m/>
    <m/>
    <m/>
    <n v="0"/>
    <m/>
    <m/>
  </r>
  <r>
    <n v="846"/>
    <x v="9"/>
    <s v="Night"/>
    <x v="0"/>
    <n v="2000709013"/>
    <n v="1120"/>
    <n v="200"/>
    <n v="0"/>
    <s v="U03968"/>
    <s v="L1174/75"/>
    <x v="62"/>
    <m/>
    <m/>
    <m/>
    <n v="0"/>
    <m/>
    <m/>
  </r>
  <r>
    <n v="847"/>
    <x v="9"/>
    <s v="Night"/>
    <x v="0"/>
    <n v="2000708456"/>
    <n v="300"/>
    <n v="150"/>
    <n v="0"/>
    <s v="U03968"/>
    <s v="L1172/73"/>
    <x v="175"/>
    <m/>
    <m/>
    <m/>
    <n v="0"/>
    <m/>
    <m/>
  </r>
  <r>
    <n v="848"/>
    <x v="9"/>
    <s v="Night"/>
    <x v="0"/>
    <n v="2000709120"/>
    <n v="35"/>
    <n v="35"/>
    <n v="0"/>
    <s v="U03968"/>
    <s v="L1151/52"/>
    <x v="173"/>
    <m/>
    <m/>
    <m/>
    <n v="0"/>
    <m/>
    <m/>
  </r>
  <r>
    <n v="849"/>
    <x v="9"/>
    <s v="Night"/>
    <x v="0"/>
    <n v="2000708723"/>
    <n v="800"/>
    <n v="100"/>
    <n v="0"/>
    <s v="U03968"/>
    <s v="L1144/47"/>
    <x v="92"/>
    <m/>
    <m/>
    <m/>
    <n v="0"/>
    <m/>
    <m/>
  </r>
  <r>
    <n v="850"/>
    <x v="9"/>
    <s v="Night"/>
    <x v="0"/>
    <n v="2000708726"/>
    <n v="800"/>
    <n v="150"/>
    <n v="0"/>
    <s v="U03968"/>
    <s v="L1144/47"/>
    <x v="13"/>
    <m/>
    <m/>
    <m/>
    <n v="0"/>
    <m/>
    <m/>
  </r>
  <r>
    <n v="851"/>
    <x v="9"/>
    <s v="Night"/>
    <x v="0"/>
    <n v="2000709662"/>
    <n v="1306"/>
    <n v="180"/>
    <n v="0"/>
    <s v="U05944"/>
    <s v="L1170/71"/>
    <x v="117"/>
    <m/>
    <m/>
    <m/>
    <n v="0"/>
    <m/>
    <m/>
  </r>
  <r>
    <n v="852"/>
    <x v="9"/>
    <s v="Night"/>
    <x v="0"/>
    <n v="2000708693"/>
    <n v="3700"/>
    <n v="100"/>
    <n v="0"/>
    <s v="U36206"/>
    <s v="L1174/75"/>
    <x v="3"/>
    <m/>
    <m/>
    <m/>
    <n v="0"/>
    <m/>
    <m/>
  </r>
  <r>
    <n v="853"/>
    <x v="9"/>
    <s v="Night"/>
    <x v="0"/>
    <n v="2000709015"/>
    <n v="900"/>
    <n v="80"/>
    <n v="0"/>
    <s v="U36206"/>
    <s v="L1174/75"/>
    <x v="61"/>
    <m/>
    <m/>
    <m/>
    <n v="0"/>
    <m/>
    <m/>
  </r>
  <r>
    <n v="854"/>
    <x v="9"/>
    <s v="Night"/>
    <x v="0"/>
    <n v="2000709738"/>
    <n v="1480"/>
    <n v="130"/>
    <n v="0"/>
    <s v="U36206"/>
    <s v="L1144/47"/>
    <x v="56"/>
    <m/>
    <m/>
    <m/>
    <n v="0"/>
    <m/>
    <m/>
  </r>
  <r>
    <n v="855"/>
    <x v="9"/>
    <s v="Night"/>
    <x v="0"/>
    <n v="2000709842"/>
    <n v="1800"/>
    <n v="180"/>
    <n v="0"/>
    <s v="U36206"/>
    <s v="L1077"/>
    <x v="2"/>
    <m/>
    <m/>
    <m/>
    <n v="0"/>
    <m/>
    <m/>
  </r>
  <r>
    <n v="856"/>
    <x v="9"/>
    <s v="Night"/>
    <x v="0"/>
    <n v="2000709808"/>
    <n v="900"/>
    <n v="80"/>
    <n v="0"/>
    <s v="U36206"/>
    <s v="L1144/47"/>
    <x v="59"/>
    <m/>
    <m/>
    <m/>
    <n v="0"/>
    <m/>
    <m/>
  </r>
  <r>
    <n v="857"/>
    <x v="9"/>
    <s v="Night"/>
    <x v="0"/>
    <n v="2000708959"/>
    <n v="1132"/>
    <n v="45"/>
    <n v="0"/>
    <s v="U18660"/>
    <s v="L1209/10"/>
    <x v="55"/>
    <m/>
    <m/>
    <m/>
    <n v="0"/>
    <m/>
    <m/>
  </r>
  <r>
    <n v="858"/>
    <x v="9"/>
    <s v="Night"/>
    <x v="0"/>
    <n v="2000708949"/>
    <n v="1020"/>
    <n v="90"/>
    <n v="0"/>
    <s v="U18660"/>
    <s v="L1172/73"/>
    <x v="99"/>
    <m/>
    <m/>
    <m/>
    <n v="0"/>
    <m/>
    <m/>
  </r>
  <r>
    <n v="859"/>
    <x v="9"/>
    <s v="Night"/>
    <x v="0"/>
    <n v="2000708371"/>
    <n v="2100"/>
    <n v="60"/>
    <n v="0"/>
    <s v="U18660"/>
    <s v="L1172/73"/>
    <x v="18"/>
    <m/>
    <m/>
    <m/>
    <n v="0"/>
    <m/>
    <m/>
  </r>
  <r>
    <n v="860"/>
    <x v="9"/>
    <s v="Night"/>
    <x v="0"/>
    <n v="2000710124"/>
    <n v="240"/>
    <n v="2"/>
    <n v="0"/>
    <s v="U18660"/>
    <s v="L1188/89"/>
    <x v="178"/>
    <m/>
    <m/>
    <m/>
    <n v="0"/>
    <m/>
    <m/>
  </r>
  <r>
    <n v="861"/>
    <x v="9"/>
    <s v="Night"/>
    <x v="0"/>
    <n v="2000688217"/>
    <n v="840"/>
    <n v="4"/>
    <n v="0"/>
    <s v="U18660"/>
    <s v="L1188/89"/>
    <x v="178"/>
    <m/>
    <m/>
    <m/>
    <n v="0"/>
    <m/>
    <m/>
  </r>
  <r>
    <n v="862"/>
    <x v="9"/>
    <s v="Night"/>
    <x v="0"/>
    <n v="2000710124"/>
    <n v="240"/>
    <n v="140"/>
    <n v="0"/>
    <s v="U18660"/>
    <s v="L1188/89"/>
    <x v="178"/>
    <m/>
    <m/>
    <m/>
    <n v="0"/>
    <m/>
    <m/>
  </r>
  <r>
    <n v="863"/>
    <x v="9"/>
    <s v="Night"/>
    <x v="0"/>
    <n v="2000708983"/>
    <n v="280"/>
    <n v="4"/>
    <n v="0"/>
    <s v="U27723"/>
    <s v="L1188/89"/>
    <x v="98"/>
    <m/>
    <m/>
    <m/>
    <n v="0"/>
    <m/>
    <m/>
  </r>
  <r>
    <n v="864"/>
    <x v="9"/>
    <s v="Night"/>
    <x v="0"/>
    <n v="2000710122"/>
    <n v="640"/>
    <n v="394"/>
    <n v="0"/>
    <s v="U27723"/>
    <s v="L1188/89"/>
    <x v="130"/>
    <m/>
    <m/>
    <m/>
    <n v="0"/>
    <m/>
    <m/>
  </r>
  <r>
    <n v="865"/>
    <x v="9"/>
    <s v="Night"/>
    <x v="0"/>
    <n v="2000708954"/>
    <n v="3000"/>
    <n v="120"/>
    <n v="0"/>
    <s v="U27723"/>
    <s v="L1168/69"/>
    <x v="37"/>
    <m/>
    <m/>
    <m/>
    <n v="0"/>
    <m/>
    <m/>
  </r>
  <r>
    <n v="866"/>
    <x v="9"/>
    <s v="Night"/>
    <x v="0"/>
    <n v="2000709659"/>
    <n v="3000"/>
    <n v="120"/>
    <n v="0"/>
    <s v="U27723"/>
    <s v="L1168/69"/>
    <x v="37"/>
    <m/>
    <m/>
    <m/>
    <n v="0"/>
    <m/>
    <m/>
  </r>
  <r>
    <n v="867"/>
    <x v="9"/>
    <s v="Night"/>
    <x v="0"/>
    <n v="2000708949"/>
    <n v="1020"/>
    <n v="195"/>
    <n v="0"/>
    <s v="U27687"/>
    <s v="L1172/73"/>
    <x v="99"/>
    <m/>
    <m/>
    <m/>
    <n v="0"/>
    <m/>
    <m/>
  </r>
  <r>
    <n v="868"/>
    <x v="9"/>
    <s v="Night"/>
    <x v="0"/>
    <n v="2000709587"/>
    <n v="900"/>
    <n v="80"/>
    <n v="0"/>
    <s v="U27687"/>
    <s v="L1172/73"/>
    <x v="18"/>
    <m/>
    <m/>
    <m/>
    <n v="0"/>
    <m/>
    <m/>
  </r>
  <r>
    <n v="869"/>
    <x v="9"/>
    <s v="Night"/>
    <x v="0"/>
    <n v="2000709622"/>
    <n v="1309"/>
    <n v="90"/>
    <n v="0"/>
    <s v="U27687"/>
    <s v="L1172/73"/>
    <x v="117"/>
    <m/>
    <m/>
    <m/>
    <n v="0"/>
    <m/>
    <m/>
  </r>
  <r>
    <n v="870"/>
    <x v="9"/>
    <s v="Night"/>
    <x v="0"/>
    <n v="2000707785"/>
    <n v="630"/>
    <n v="10"/>
    <n v="0"/>
    <s v="U27687"/>
    <s v="L1193/94"/>
    <x v="21"/>
    <m/>
    <m/>
    <m/>
    <n v="0"/>
    <m/>
    <m/>
  </r>
  <r>
    <n v="871"/>
    <x v="9"/>
    <s v="Night"/>
    <x v="0"/>
    <n v="2000710121"/>
    <n v="510"/>
    <n v="75"/>
    <n v="0"/>
    <s v="U27687"/>
    <s v="L1193/94"/>
    <x v="123"/>
    <m/>
    <m/>
    <m/>
    <n v="0"/>
    <m/>
    <m/>
  </r>
  <r>
    <n v="873"/>
    <x v="9"/>
    <s v="Night"/>
    <x v="0"/>
    <n v="2000707785"/>
    <n v="630"/>
    <n v="39"/>
    <n v="0"/>
    <s v="U32991"/>
    <s v="L1193/94"/>
    <x v="21"/>
    <m/>
    <m/>
    <m/>
    <n v="0"/>
    <m/>
    <m/>
  </r>
  <r>
    <n v="874"/>
    <x v="9"/>
    <s v="Night"/>
    <x v="0"/>
    <n v="2000709566"/>
    <n v="816"/>
    <n v="45"/>
    <n v="0"/>
    <s v="U32991"/>
    <s v="L1209/10"/>
    <x v="179"/>
    <m/>
    <m/>
    <m/>
    <n v="0"/>
    <m/>
    <m/>
  </r>
  <r>
    <n v="875"/>
    <x v="9"/>
    <s v="Night"/>
    <x v="0"/>
    <n v="2000708733"/>
    <n v="300"/>
    <n v="46"/>
    <n v="0"/>
    <s v="U32991"/>
    <s v="L1151/52"/>
    <x v="154"/>
    <m/>
    <m/>
    <m/>
    <n v="0"/>
    <m/>
    <m/>
  </r>
  <r>
    <n v="876"/>
    <x v="9"/>
    <s v="Night"/>
    <x v="0"/>
    <n v="2000709638"/>
    <n v="900"/>
    <n v="80"/>
    <n v="0"/>
    <s v="U32991"/>
    <s v="L1172/73"/>
    <x v="19"/>
    <m/>
    <m/>
    <m/>
    <n v="0"/>
    <m/>
    <m/>
  </r>
  <r>
    <n v="877"/>
    <x v="9"/>
    <s v="Night"/>
    <x v="1"/>
    <n v="2000709361"/>
    <n v="600"/>
    <n v="107"/>
    <n v="0"/>
    <s v="U32991"/>
    <s v="PSLV"/>
    <x v="49"/>
    <m/>
    <m/>
    <m/>
    <n v="0"/>
    <m/>
    <m/>
  </r>
  <r>
    <n v="878"/>
    <x v="9"/>
    <s v="Night"/>
    <x v="1"/>
    <n v="2000709351"/>
    <n v="190"/>
    <n v="30"/>
    <n v="0"/>
    <s v="U32991"/>
    <s v="PSLV"/>
    <x v="79"/>
    <m/>
    <m/>
    <m/>
    <n v="0"/>
    <m/>
    <m/>
  </r>
  <r>
    <n v="879"/>
    <x v="9"/>
    <s v="Night"/>
    <x v="1"/>
    <n v="2000709361"/>
    <n v="600"/>
    <n v="210"/>
    <n v="0"/>
    <s v="U15759"/>
    <s v="PSLV"/>
    <x v="49"/>
    <m/>
    <m/>
    <m/>
    <n v="0"/>
    <m/>
    <m/>
  </r>
  <r>
    <n v="880"/>
    <x v="9"/>
    <s v="Night"/>
    <x v="1"/>
    <n v="2000708979"/>
    <n v="800"/>
    <n v="180"/>
    <n v="0"/>
    <s v="U15759"/>
    <s v="SHANKS"/>
    <x v="67"/>
    <m/>
    <m/>
    <m/>
    <n v="0"/>
    <m/>
    <m/>
  </r>
  <r>
    <n v="881"/>
    <x v="9"/>
    <s v="Night"/>
    <x v="1"/>
    <n v="2000709356"/>
    <n v="800"/>
    <n v="180"/>
    <n v="0"/>
    <s v="U15759"/>
    <s v="SHANKS"/>
    <x v="67"/>
    <m/>
    <m/>
    <m/>
    <n v="0"/>
    <m/>
    <m/>
  </r>
  <r>
    <n v="882"/>
    <x v="9"/>
    <s v="Night"/>
    <x v="1"/>
    <n v="2000708978"/>
    <n v="160"/>
    <n v="80"/>
    <n v="0"/>
    <s v="U15759"/>
    <s v="FROLA"/>
    <x v="28"/>
    <m/>
    <m/>
    <m/>
    <n v="0"/>
    <m/>
    <m/>
  </r>
  <r>
    <n v="883"/>
    <x v="9"/>
    <s v="Night"/>
    <x v="1"/>
    <n v="2000708161"/>
    <n v="55"/>
    <n v="30"/>
    <n v="0"/>
    <s v="U15759"/>
    <s v="FLORA"/>
    <x v="180"/>
    <m/>
    <m/>
    <m/>
    <n v="0"/>
    <m/>
    <m/>
  </r>
  <r>
    <n v="884"/>
    <x v="9"/>
    <s v="Night"/>
    <x v="1"/>
    <n v="2000709665"/>
    <n v="650"/>
    <n v="35"/>
    <n v="0"/>
    <s v="U15759"/>
    <s v="SHANKS"/>
    <x v="24"/>
    <m/>
    <m/>
    <m/>
    <n v="0"/>
    <m/>
    <m/>
  </r>
  <r>
    <n v="885"/>
    <x v="9"/>
    <s v="Night"/>
    <x v="1"/>
    <n v="2000708751"/>
    <n v="70"/>
    <n v="25"/>
    <n v="0"/>
    <s v="U15759"/>
    <s v="SHIBUKI"/>
    <x v="113"/>
    <m/>
    <m/>
    <m/>
    <n v="0"/>
    <m/>
    <m/>
  </r>
  <r>
    <n v="886"/>
    <x v="9"/>
    <s v="Night"/>
    <x v="0"/>
    <n v="2000709018"/>
    <n v="150"/>
    <n v="90"/>
    <n v="0"/>
    <s v="U32991"/>
    <s v="L1193/94_x0009_"/>
    <x v="116"/>
    <m/>
    <m/>
    <s v="J442"/>
    <n v="0"/>
    <m/>
    <m/>
  </r>
  <r>
    <n v="887"/>
    <x v="10"/>
    <s v="Day"/>
    <x v="0"/>
    <n v="2000704810"/>
    <n v="1350"/>
    <n v="36"/>
    <n v="0"/>
    <s v="U36008"/>
    <s v="L1170/71"/>
    <x v="117"/>
    <m/>
    <m/>
    <m/>
    <n v="0"/>
    <m/>
    <m/>
  </r>
  <r>
    <n v="889"/>
    <x v="10"/>
    <s v="Day"/>
    <x v="0"/>
    <n v="2000709662"/>
    <n v="1306"/>
    <n v="495"/>
    <n v="0"/>
    <s v="U36008"/>
    <s v="L1170/71"/>
    <x v="117"/>
    <m/>
    <m/>
    <m/>
    <n v="0"/>
    <m/>
    <m/>
  </r>
  <r>
    <n v="890"/>
    <x v="10"/>
    <s v="Day"/>
    <x v="0"/>
    <n v="2000708959"/>
    <n v="1132"/>
    <n v="15"/>
    <n v="0"/>
    <s v="U36008"/>
    <s v="L1209/10"/>
    <x v="55"/>
    <m/>
    <m/>
    <m/>
    <n v="0"/>
    <m/>
    <m/>
  </r>
  <r>
    <n v="891"/>
    <x v="10"/>
    <s v="Day"/>
    <x v="0"/>
    <n v="2000695517"/>
    <n v="1170"/>
    <n v="5"/>
    <n v="0"/>
    <s v="U36008"/>
    <s v="L1170/71"/>
    <x v="117"/>
    <m/>
    <m/>
    <m/>
    <n v="0"/>
    <m/>
    <m/>
  </r>
  <r>
    <n v="892"/>
    <x v="10"/>
    <s v="Day"/>
    <x v="0"/>
    <n v="2000699212"/>
    <n v="674"/>
    <n v="3"/>
    <n v="0"/>
    <s v="U36008"/>
    <s v="L1170/71"/>
    <x v="117"/>
    <m/>
    <m/>
    <m/>
    <n v="0"/>
    <m/>
    <m/>
  </r>
  <r>
    <n v="893"/>
    <x v="10"/>
    <s v="Day"/>
    <x v="0"/>
    <n v="2000702157"/>
    <n v="2070"/>
    <n v="4"/>
    <n v="0"/>
    <s v="U36008"/>
    <s v="L1170/71"/>
    <x v="117"/>
    <m/>
    <m/>
    <m/>
    <n v="0"/>
    <m/>
    <m/>
  </r>
  <r>
    <n v="894"/>
    <x v="10"/>
    <s v="Day"/>
    <x v="0"/>
    <n v="2000710138"/>
    <n v="404"/>
    <n v="65"/>
    <n v="0"/>
    <s v="U36008"/>
    <s v="L1188/89"/>
    <x v="109"/>
    <m/>
    <m/>
    <m/>
    <n v="0"/>
    <m/>
    <m/>
  </r>
  <r>
    <n v="895"/>
    <x v="10"/>
    <s v="Day"/>
    <x v="0"/>
    <n v="2000708949"/>
    <n v="1020"/>
    <n v="75"/>
    <n v="0"/>
    <s v="U09749"/>
    <s v="L1172/73"/>
    <x v="99"/>
    <m/>
    <m/>
    <m/>
    <n v="0"/>
    <m/>
    <m/>
  </r>
  <r>
    <n v="896"/>
    <x v="10"/>
    <s v="Day"/>
    <x v="0"/>
    <n v="2000708455"/>
    <n v="300"/>
    <n v="50"/>
    <n v="0"/>
    <s v="U09854"/>
    <s v="L1172/73"/>
    <x v="165"/>
    <m/>
    <m/>
    <m/>
    <n v="0"/>
    <m/>
    <m/>
  </r>
  <r>
    <n v="897"/>
    <x v="10"/>
    <s v="Day"/>
    <x v="0"/>
    <n v="2000708949"/>
    <n v="1020"/>
    <n v="30"/>
    <n v="0"/>
    <s v="U09854"/>
    <s v="L1172/73"/>
    <x v="99"/>
    <m/>
    <m/>
    <m/>
    <n v="0"/>
    <m/>
    <m/>
  </r>
  <r>
    <n v="898"/>
    <x v="10"/>
    <s v="Day"/>
    <x v="0"/>
    <n v="2000708773"/>
    <n v="990"/>
    <n v="659"/>
    <n v="0"/>
    <s v="U09854"/>
    <s v="L1151/52"/>
    <x v="167"/>
    <m/>
    <m/>
    <m/>
    <n v="0"/>
    <m/>
    <m/>
  </r>
  <r>
    <n v="899"/>
    <x v="10"/>
    <s v="Day"/>
    <x v="0"/>
    <n v="2000708025"/>
    <n v="2620"/>
    <n v="240"/>
    <n v="0"/>
    <s v="U09854"/>
    <s v="L1193/94"/>
    <x v="30"/>
    <m/>
    <m/>
    <m/>
    <n v="0"/>
    <m/>
    <m/>
  </r>
  <r>
    <n v="900"/>
    <x v="10"/>
    <s v="Day"/>
    <x v="0"/>
    <n v="2000705499"/>
    <n v="37"/>
    <n v="24"/>
    <n v="0"/>
    <s v="U09854"/>
    <s v="L1197/98"/>
    <x v="156"/>
    <m/>
    <m/>
    <m/>
    <n v="0"/>
    <m/>
    <m/>
  </r>
  <r>
    <n v="901"/>
    <x v="10"/>
    <s v="Day"/>
    <x v="0"/>
    <n v="2000705498"/>
    <n v="37"/>
    <n v="29"/>
    <n v="0"/>
    <s v="U09854"/>
    <s v="L1197/98"/>
    <x v="156"/>
    <m/>
    <m/>
    <m/>
    <n v="0"/>
    <m/>
    <m/>
  </r>
  <r>
    <n v="902"/>
    <x v="10"/>
    <s v="Day"/>
    <x v="0"/>
    <n v="2000710517"/>
    <n v="235"/>
    <n v="50"/>
    <n v="0"/>
    <s v="U09854"/>
    <s v="L1193/94"/>
    <x v="146"/>
    <m/>
    <m/>
    <m/>
    <n v="0"/>
    <m/>
    <m/>
  </r>
  <r>
    <n v="903"/>
    <x v="10"/>
    <s v="Day"/>
    <x v="0"/>
    <n v="2000709662"/>
    <n v="1306"/>
    <n v="74"/>
    <m/>
    <s v="U23987"/>
    <s v="L1170/71"/>
    <x v="117"/>
    <m/>
    <m/>
    <m/>
    <m/>
    <m/>
    <m/>
  </r>
  <r>
    <n v="904"/>
    <x v="10"/>
    <s v="Day"/>
    <x v="0"/>
    <n v="2000709840"/>
    <n v="1800"/>
    <n v="160"/>
    <n v="0"/>
    <s v="U26613"/>
    <s v="L1077"/>
    <x v="6"/>
    <m/>
    <m/>
    <m/>
    <n v="0"/>
    <m/>
    <m/>
  </r>
  <r>
    <n v="905"/>
    <x v="10"/>
    <s v="Day"/>
    <x v="0"/>
    <n v="2000709841"/>
    <n v="1800"/>
    <n v="200"/>
    <n v="0"/>
    <s v="U26613"/>
    <s v="L1077"/>
    <x v="36"/>
    <m/>
    <m/>
    <m/>
    <n v="0"/>
    <m/>
    <m/>
  </r>
  <r>
    <n v="906"/>
    <x v="10"/>
    <s v="Day"/>
    <x v="0"/>
    <n v="2000709014"/>
    <n v="900"/>
    <n v="200"/>
    <n v="0"/>
    <s v="U26613"/>
    <s v="L1174/75"/>
    <x v="62"/>
    <m/>
    <m/>
    <m/>
    <n v="0"/>
    <m/>
    <m/>
  </r>
  <r>
    <n v="907"/>
    <x v="10"/>
    <s v="Day"/>
    <x v="0"/>
    <n v="2000708997"/>
    <n v="1100"/>
    <n v="150"/>
    <n v="0"/>
    <s v="U26613"/>
    <s v="L1144/47"/>
    <x v="74"/>
    <m/>
    <m/>
    <m/>
    <n v="0"/>
    <m/>
    <m/>
  </r>
  <r>
    <n v="908"/>
    <x v="10"/>
    <s v="Day"/>
    <x v="0"/>
    <n v="2000709677"/>
    <n v="360"/>
    <n v="100"/>
    <n v="0"/>
    <s v="U26613"/>
    <s v="L1174/75"/>
    <x v="62"/>
    <m/>
    <m/>
    <m/>
    <n v="0"/>
    <m/>
    <m/>
  </r>
  <r>
    <n v="909"/>
    <x v="10"/>
    <s v="Day"/>
    <x v="0"/>
    <n v="2000709838"/>
    <n v="1800"/>
    <n v="150"/>
    <n v="0"/>
    <s v="U26613"/>
    <s v="L1077"/>
    <x v="10"/>
    <m/>
    <m/>
    <m/>
    <n v="0"/>
    <m/>
    <m/>
  </r>
  <r>
    <n v="910"/>
    <x v="10"/>
    <s v="Day"/>
    <x v="0"/>
    <n v="2000710290"/>
    <n v="4008"/>
    <n v="200"/>
    <n v="0"/>
    <s v="U26613"/>
    <s v="L1174/75"/>
    <x v="66"/>
    <m/>
    <m/>
    <m/>
    <n v="0"/>
    <m/>
    <m/>
  </r>
  <r>
    <n v="911"/>
    <x v="10"/>
    <s v="Day"/>
    <x v="0"/>
    <n v="2000709634"/>
    <n v="198"/>
    <n v="198"/>
    <n v="0"/>
    <s v="U26613"/>
    <s v="L1193/94"/>
    <x v="181"/>
    <m/>
    <m/>
    <m/>
    <n v="0"/>
    <m/>
    <m/>
  </r>
  <r>
    <n v="912"/>
    <x v="10"/>
    <s v="Day"/>
    <x v="0"/>
    <n v="2000710205"/>
    <n v="1000"/>
    <n v="80"/>
    <n v="0"/>
    <s v="U30425"/>
    <s v="L1144/47"/>
    <x v="101"/>
    <m/>
    <m/>
    <m/>
    <n v="0"/>
    <m/>
    <m/>
  </r>
  <r>
    <n v="913"/>
    <x v="10"/>
    <s v="Day"/>
    <x v="0"/>
    <n v="2000709678"/>
    <n v="360"/>
    <n v="80"/>
    <n v="0"/>
    <s v="U30425"/>
    <s v="L1174/75"/>
    <x v="61"/>
    <m/>
    <m/>
    <m/>
    <n v="0"/>
    <m/>
    <m/>
  </r>
  <r>
    <n v="914"/>
    <x v="10"/>
    <s v="Day"/>
    <x v="0"/>
    <n v="2000710514"/>
    <n v="410"/>
    <n v="80"/>
    <n v="0"/>
    <s v="U30425"/>
    <s v="L1105"/>
    <x v="126"/>
    <m/>
    <m/>
    <m/>
    <n v="0"/>
    <m/>
    <m/>
  </r>
  <r>
    <n v="915"/>
    <x v="10"/>
    <s v="Day"/>
    <x v="0"/>
    <n v="2000709652"/>
    <n v="1000"/>
    <n v="90"/>
    <n v="0"/>
    <s v="U30425"/>
    <s v="L1172/73"/>
    <x v="18"/>
    <m/>
    <m/>
    <m/>
    <n v="0"/>
    <m/>
    <m/>
  </r>
  <r>
    <n v="916"/>
    <x v="10"/>
    <s v="Day"/>
    <x v="0"/>
    <n v="2000710217"/>
    <n v="540"/>
    <n v="20"/>
    <n v="0"/>
    <s v="U30425"/>
    <s v="L1174/75"/>
    <x v="40"/>
    <m/>
    <m/>
    <m/>
    <n v="0"/>
    <m/>
    <m/>
  </r>
  <r>
    <n v="917"/>
    <x v="10"/>
    <s v="Day"/>
    <x v="0"/>
    <n v="2000710121"/>
    <n v="510"/>
    <n v="430"/>
    <n v="0"/>
    <s v="U31065"/>
    <s v="L1193/94"/>
    <x v="123"/>
    <m/>
    <m/>
    <m/>
    <n v="0"/>
    <m/>
    <m/>
  </r>
  <r>
    <n v="918"/>
    <x v="10"/>
    <s v="Day"/>
    <x v="0"/>
    <n v="2000710517"/>
    <n v="253"/>
    <n v="60"/>
    <n v="0"/>
    <s v="U31065"/>
    <s v="L1193/94"/>
    <x v="146"/>
    <m/>
    <m/>
    <m/>
    <n v="0"/>
    <m/>
    <m/>
  </r>
  <r>
    <n v="919"/>
    <x v="10"/>
    <s v="Day"/>
    <x v="0"/>
    <n v="2000710214"/>
    <n v="540"/>
    <n v="100"/>
    <n v="0"/>
    <s v="U07492"/>
    <s v="L1174/75"/>
    <x v="62"/>
    <m/>
    <m/>
    <m/>
    <n v="0"/>
    <m/>
    <m/>
  </r>
  <r>
    <n v="920"/>
    <x v="10"/>
    <s v="Day"/>
    <x v="0"/>
    <n v="2000710869"/>
    <n v="120"/>
    <n v="120"/>
    <n v="0"/>
    <s v="U07492"/>
    <s v="L1161/65"/>
    <x v="182"/>
    <m/>
    <m/>
    <m/>
    <n v="0"/>
    <m/>
    <m/>
  </r>
  <r>
    <n v="921"/>
    <x v="10"/>
    <s v="Day"/>
    <x v="0"/>
    <n v="2000710785"/>
    <n v="3630"/>
    <n v="300"/>
    <n v="0"/>
    <s v="U07492"/>
    <s v="L1112/13"/>
    <x v="75"/>
    <m/>
    <m/>
    <m/>
    <n v="0"/>
    <m/>
    <m/>
  </r>
  <r>
    <n v="922"/>
    <x v="10"/>
    <s v="Day"/>
    <x v="0"/>
    <n v="2000708455"/>
    <n v="300"/>
    <n v="100"/>
    <n v="0"/>
    <s v="U27724"/>
    <s v="L1172/73"/>
    <x v="165"/>
    <m/>
    <m/>
    <m/>
    <n v="0"/>
    <m/>
    <m/>
  </r>
  <r>
    <n v="923"/>
    <x v="10"/>
    <s v="Day"/>
    <x v="0"/>
    <n v="2000709647"/>
    <n v="120"/>
    <n v="120"/>
    <n v="0"/>
    <s v="U27724"/>
    <s v="L1188/89"/>
    <x v="136"/>
    <m/>
    <m/>
    <m/>
    <n v="0"/>
    <m/>
    <m/>
  </r>
  <r>
    <n v="924"/>
    <x v="10"/>
    <s v="Day"/>
    <x v="0"/>
    <n v="2000710124"/>
    <n v="240"/>
    <n v="96"/>
    <n v="0"/>
    <s v="U27724"/>
    <s v="L1188/89"/>
    <x v="178"/>
    <m/>
    <m/>
    <m/>
    <n v="0"/>
    <m/>
    <m/>
  </r>
  <r>
    <n v="925"/>
    <x v="10"/>
    <s v="Day"/>
    <x v="0"/>
    <n v="2000708983"/>
    <n v="280"/>
    <n v="1"/>
    <n v="0"/>
    <s v="U27724"/>
    <s v="L1188/89"/>
    <x v="98"/>
    <m/>
    <m/>
    <m/>
    <n v="0"/>
    <m/>
    <m/>
  </r>
  <r>
    <n v="926"/>
    <x v="10"/>
    <s v="Day"/>
    <x v="0"/>
    <n v="2000710123"/>
    <n v="200"/>
    <n v="199"/>
    <n v="0"/>
    <s v="U27724"/>
    <s v="L1188/89"/>
    <x v="183"/>
    <m/>
    <m/>
    <m/>
    <n v="0"/>
    <m/>
    <m/>
  </r>
  <r>
    <n v="927"/>
    <x v="10"/>
    <s v="Day"/>
    <x v="0"/>
    <n v="2000710140"/>
    <n v="520"/>
    <n v="240"/>
    <n v="0"/>
    <s v="U27724"/>
    <s v="L1188/89"/>
    <x v="130"/>
    <m/>
    <m/>
    <m/>
    <n v="0"/>
    <m/>
    <m/>
  </r>
  <r>
    <n v="928"/>
    <x v="10"/>
    <s v="Day"/>
    <x v="0"/>
    <n v="2000708949"/>
    <n v="1020"/>
    <n v="100"/>
    <n v="0"/>
    <s v="U27724"/>
    <s v="L1172/73"/>
    <x v="99"/>
    <m/>
    <m/>
    <m/>
    <n v="0"/>
    <m/>
    <m/>
  </r>
  <r>
    <n v="929"/>
    <x v="10"/>
    <s v="Day"/>
    <x v="1"/>
    <n v="2000709354"/>
    <n v="170"/>
    <n v="140"/>
    <n v="0"/>
    <s v="U23987"/>
    <s v="PSLV"/>
    <x v="23"/>
    <m/>
    <m/>
    <m/>
    <n v="0"/>
    <m/>
    <m/>
  </r>
  <r>
    <n v="930"/>
    <x v="10"/>
    <s v="Day"/>
    <x v="1"/>
    <n v="2000709361"/>
    <n v="600"/>
    <n v="140"/>
    <n v="0"/>
    <s v="U30119"/>
    <s v="PSLV"/>
    <x v="49"/>
    <m/>
    <m/>
    <m/>
    <n v="0"/>
    <m/>
    <m/>
  </r>
  <r>
    <n v="931"/>
    <x v="10"/>
    <s v="Day"/>
    <x v="1"/>
    <n v="2000709354"/>
    <n v="170"/>
    <n v="30"/>
    <n v="0"/>
    <s v="U30119"/>
    <s v="PSLV"/>
    <x v="184"/>
    <m/>
    <m/>
    <m/>
    <n v="0"/>
    <m/>
    <m/>
  </r>
  <r>
    <n v="932"/>
    <x v="10"/>
    <s v="Day"/>
    <x v="1"/>
    <n v="2000708978"/>
    <n v="160"/>
    <n v="14"/>
    <n v="0"/>
    <s v="U30119"/>
    <s v="FLORA"/>
    <x v="28"/>
    <m/>
    <m/>
    <m/>
    <n v="0"/>
    <m/>
    <m/>
  </r>
  <r>
    <n v="933"/>
    <x v="10"/>
    <s v="Day"/>
    <x v="1"/>
    <n v="2000708154"/>
    <n v="220"/>
    <n v="19"/>
    <n v="0"/>
    <s v="U30119"/>
    <s v="SHIBUKI"/>
    <x v="134"/>
    <m/>
    <m/>
    <m/>
    <n v="0"/>
    <m/>
    <m/>
  </r>
  <r>
    <n v="934"/>
    <x v="10"/>
    <s v="Day"/>
    <x v="1"/>
    <n v="2000708751"/>
    <n v="70"/>
    <n v="45"/>
    <n v="0"/>
    <s v="U30119"/>
    <s v="SHIBUKI"/>
    <x v="113"/>
    <m/>
    <m/>
    <m/>
    <n v="0"/>
    <m/>
    <m/>
  </r>
  <r>
    <n v="935"/>
    <x v="10"/>
    <s v="Day"/>
    <x v="1"/>
    <n v="2000710778"/>
    <n v="70"/>
    <n v="3"/>
    <n v="0"/>
    <s v="U30119"/>
    <s v="SHIBUKI"/>
    <x v="134"/>
    <m/>
    <m/>
    <m/>
    <n v="0"/>
    <m/>
    <m/>
  </r>
  <r>
    <n v="936"/>
    <x v="10"/>
    <s v="Day"/>
    <x v="1"/>
    <n v="2000709357"/>
    <n v="450"/>
    <n v="270"/>
    <n v="0"/>
    <s v="U30119"/>
    <s v="BORUTO"/>
    <x v="107"/>
    <m/>
    <m/>
    <m/>
    <n v="0"/>
    <m/>
    <m/>
  </r>
  <r>
    <n v="937"/>
    <x v="10"/>
    <s v="Day"/>
    <x v="1"/>
    <n v="2000709665"/>
    <n v="650"/>
    <n v="105"/>
    <n v="0"/>
    <s v="U30119"/>
    <s v="SHANKS"/>
    <x v="24"/>
    <m/>
    <m/>
    <m/>
    <n v="0"/>
    <m/>
    <m/>
  </r>
  <r>
    <n v="938"/>
    <x v="10"/>
    <s v="Day"/>
    <x v="1"/>
    <n v="2000709539"/>
    <n v="500"/>
    <n v="130"/>
    <n v="0"/>
    <s v="U30119"/>
    <s v="PSHV"/>
    <x v="26"/>
    <m/>
    <m/>
    <m/>
    <n v="0"/>
    <m/>
    <m/>
  </r>
  <r>
    <n v="939"/>
    <x v="10"/>
    <s v="Day"/>
    <x v="1"/>
    <n v="2000709541"/>
    <n v="350"/>
    <n v="110"/>
    <n v="0"/>
    <s v="U30119"/>
    <s v="PSHV"/>
    <x v="96"/>
    <m/>
    <m/>
    <m/>
    <n v="0"/>
    <m/>
    <m/>
  </r>
  <r>
    <n v="940"/>
    <x v="10"/>
    <s v="Day"/>
    <x v="1"/>
    <n v="2000709540"/>
    <n v="700"/>
    <n v="100"/>
    <n v="0"/>
    <s v="U30119"/>
    <s v="PSHV"/>
    <x v="25"/>
    <m/>
    <m/>
    <m/>
    <n v="0"/>
    <m/>
    <m/>
  </r>
  <r>
    <n v="941"/>
    <x v="10"/>
    <s v="Day"/>
    <x v="1"/>
    <n v="2000709547"/>
    <n v="528"/>
    <n v="96"/>
    <n v="0"/>
    <s v="U30119"/>
    <s v="FRANKY"/>
    <x v="51"/>
    <m/>
    <m/>
    <m/>
    <n v="0"/>
    <m/>
    <m/>
  </r>
  <r>
    <n v="942"/>
    <x v="10"/>
    <s v="Day"/>
    <x v="0"/>
    <n v="2000703703"/>
    <n v="810"/>
    <n v="1"/>
    <n v="0"/>
    <s v="U36008"/>
    <s v="L1170/71"/>
    <x v="117"/>
    <m/>
    <m/>
    <m/>
    <n v="0"/>
    <m/>
    <m/>
  </r>
  <r>
    <n v="943"/>
    <x v="10"/>
    <s v="Night"/>
    <x v="0"/>
    <n v="2000710138"/>
    <n v="404"/>
    <n v="152"/>
    <n v="0"/>
    <s v="U29686"/>
    <s v="L1188/89"/>
    <x v="109"/>
    <m/>
    <m/>
    <m/>
    <n v="0"/>
    <m/>
    <m/>
  </r>
  <r>
    <n v="944"/>
    <x v="10"/>
    <s v="Night"/>
    <x v="0"/>
    <n v="2000705984"/>
    <n v="2120"/>
    <n v="135"/>
    <n v="0"/>
    <s v="U29686"/>
    <s v="L1188/89"/>
    <x v="109"/>
    <m/>
    <m/>
    <m/>
    <n v="0"/>
    <m/>
    <m/>
  </r>
  <r>
    <n v="945"/>
    <x v="10"/>
    <s v="Night"/>
    <x v="0"/>
    <n v="2000708959"/>
    <n v="1132"/>
    <n v="48"/>
    <n v="0"/>
    <s v="U29686"/>
    <s v="L1209/10"/>
    <x v="55"/>
    <m/>
    <m/>
    <m/>
    <n v="0"/>
    <m/>
    <m/>
  </r>
  <r>
    <n v="946"/>
    <x v="10"/>
    <s v="Night"/>
    <x v="0"/>
    <n v="2000704810"/>
    <n v="1350"/>
    <n v="68"/>
    <n v="0"/>
    <s v="U29686"/>
    <s v="L1170/71"/>
    <x v="117"/>
    <m/>
    <m/>
    <m/>
    <n v="0"/>
    <m/>
    <m/>
  </r>
  <r>
    <n v="947"/>
    <x v="10"/>
    <s v="Night"/>
    <x v="0"/>
    <n v="2000710139"/>
    <n v="994"/>
    <n v="524"/>
    <n v="0"/>
    <s v="U29686"/>
    <s v="L1170/71"/>
    <x v="117"/>
    <m/>
    <m/>
    <m/>
    <n v="0"/>
    <m/>
    <m/>
  </r>
  <r>
    <n v="948"/>
    <x v="10"/>
    <s v="Night"/>
    <x v="0"/>
    <n v="2000710140"/>
    <n v="520"/>
    <n v="276"/>
    <n v="0"/>
    <s v="U27723"/>
    <s v="L1188/89"/>
    <x v="130"/>
    <m/>
    <m/>
    <m/>
    <n v="0"/>
    <m/>
    <m/>
  </r>
  <r>
    <n v="949"/>
    <x v="10"/>
    <s v="Night"/>
    <x v="0"/>
    <n v="2000710141"/>
    <n v="400"/>
    <n v="160"/>
    <n v="0"/>
    <s v="U27723"/>
    <s v="L1188/89"/>
    <x v="43"/>
    <m/>
    <m/>
    <m/>
    <n v="0"/>
    <m/>
    <m/>
  </r>
  <r>
    <n v="950"/>
    <x v="10"/>
    <s v="Night"/>
    <x v="0"/>
    <n v="2000709560"/>
    <n v="3000"/>
    <n v="120"/>
    <n v="0"/>
    <s v="U27723"/>
    <s v="L1168/69"/>
    <x v="37"/>
    <m/>
    <m/>
    <m/>
    <n v="0"/>
    <m/>
    <m/>
  </r>
  <r>
    <n v="951"/>
    <x v="10"/>
    <s v="Night"/>
    <x v="0"/>
    <n v="2000710513"/>
    <n v="410"/>
    <n v="80"/>
    <n v="0"/>
    <s v="U27723"/>
    <s v="L1105"/>
    <x v="151"/>
    <m/>
    <m/>
    <m/>
    <n v="0"/>
    <m/>
    <m/>
  </r>
  <r>
    <n v="952"/>
    <x v="10"/>
    <s v="Night"/>
    <x v="0"/>
    <n v="2000708035"/>
    <n v="600"/>
    <n v="100"/>
    <n v="0"/>
    <s v="U27723"/>
    <s v="L1182"/>
    <x v="124"/>
    <m/>
    <m/>
    <m/>
    <n v="0"/>
    <m/>
    <m/>
  </r>
  <r>
    <n v="953"/>
    <x v="10"/>
    <s v="Night"/>
    <x v="0"/>
    <n v="2000710298"/>
    <n v="240"/>
    <n v="50"/>
    <n v="0"/>
    <s v="U27723"/>
    <s v="L1182"/>
    <x v="142"/>
    <m/>
    <m/>
    <m/>
    <n v="0"/>
    <m/>
    <m/>
  </r>
  <r>
    <n v="954"/>
    <x v="10"/>
    <s v="Night"/>
    <x v="0"/>
    <n v="2000710297"/>
    <n v="240"/>
    <n v="100"/>
    <n v="0"/>
    <s v="U27723"/>
    <s v="L1182"/>
    <x v="144"/>
    <m/>
    <m/>
    <m/>
    <n v="0"/>
    <m/>
    <m/>
  </r>
  <r>
    <n v="955"/>
    <x v="10"/>
    <s v="Night"/>
    <x v="0"/>
    <n v="2000710299"/>
    <n v="240"/>
    <n v="50"/>
    <n v="0"/>
    <s v="U27723"/>
    <s v="L1182"/>
    <x v="143"/>
    <m/>
    <m/>
    <m/>
    <n v="0"/>
    <m/>
    <m/>
  </r>
  <r>
    <n v="956"/>
    <x v="10"/>
    <s v="Night"/>
    <x v="0"/>
    <n v="2000705498"/>
    <n v="37"/>
    <n v="29"/>
    <n v="0"/>
    <s v="U32991"/>
    <s v="L1197/98"/>
    <x v="156"/>
    <m/>
    <m/>
    <m/>
    <n v="0"/>
    <m/>
    <m/>
  </r>
  <r>
    <n v="957"/>
    <x v="10"/>
    <s v="Night"/>
    <x v="0"/>
    <n v="2000705499"/>
    <n v="37"/>
    <n v="24"/>
    <n v="0"/>
    <s v="U32991"/>
    <s v="L1197/98"/>
    <x v="156"/>
    <m/>
    <m/>
    <m/>
    <n v="0"/>
    <m/>
    <m/>
  </r>
  <r>
    <n v="958"/>
    <x v="10"/>
    <s v="Night"/>
    <x v="0"/>
    <n v="2000710517"/>
    <n v="235"/>
    <n v="125"/>
    <n v="0"/>
    <s v="U32991"/>
    <s v="L1193/94"/>
    <x v="146"/>
    <m/>
    <m/>
    <m/>
    <n v="0"/>
    <m/>
    <m/>
  </r>
  <r>
    <n v="959"/>
    <x v="10"/>
    <s v="Night"/>
    <x v="0"/>
    <n v="2000710518"/>
    <n v="390"/>
    <n v="90"/>
    <n v="0"/>
    <s v="U32991"/>
    <s v="L1193/94"/>
    <x v="116"/>
    <m/>
    <m/>
    <m/>
    <n v="0"/>
    <m/>
    <m/>
  </r>
  <r>
    <n v="960"/>
    <x v="10"/>
    <s v="Night"/>
    <x v="0"/>
    <n v="2000708025"/>
    <n v="2620"/>
    <n v="240"/>
    <n v="0"/>
    <s v="U32991"/>
    <s v="L1193/94"/>
    <x v="30"/>
    <m/>
    <m/>
    <m/>
    <n v="0"/>
    <m/>
    <m/>
  </r>
  <r>
    <n v="961"/>
    <x v="10"/>
    <s v="Night"/>
    <x v="0"/>
    <n v="2000706760"/>
    <n v="1720"/>
    <n v="40"/>
    <n v="0"/>
    <s v="U32991"/>
    <s v="L1151/52"/>
    <x v="85"/>
    <m/>
    <m/>
    <m/>
    <n v="0"/>
    <m/>
    <m/>
  </r>
  <r>
    <n v="962"/>
    <x v="10"/>
    <s v="Night"/>
    <x v="0"/>
    <n v="2000705364"/>
    <n v="760"/>
    <n v="40"/>
    <n v="0"/>
    <s v="U32991"/>
    <s v="L1151/52"/>
    <x v="185"/>
    <m/>
    <m/>
    <m/>
    <n v="0"/>
    <m/>
    <m/>
  </r>
  <r>
    <n v="963"/>
    <x v="10"/>
    <s v="Night"/>
    <x v="0"/>
    <n v="2000708949"/>
    <n v="1020"/>
    <n v="20"/>
    <n v="0"/>
    <s v="U27687"/>
    <s v="L1172/73"/>
    <x v="99"/>
    <m/>
    <m/>
    <m/>
    <n v="0"/>
    <m/>
    <m/>
  </r>
  <r>
    <n v="964"/>
    <x v="10"/>
    <s v="Night"/>
    <x v="0"/>
    <n v="2000709982"/>
    <n v="960"/>
    <n v="210"/>
    <n v="0"/>
    <s v="U27687"/>
    <s v="L1172/73"/>
    <x v="99"/>
    <m/>
    <m/>
    <m/>
    <n v="0"/>
    <m/>
    <m/>
  </r>
  <r>
    <n v="965"/>
    <x v="10"/>
    <s v="Night"/>
    <x v="0"/>
    <n v="2000710163"/>
    <n v="960"/>
    <n v="100"/>
    <n v="0"/>
    <s v="U27687"/>
    <s v="L1172/73"/>
    <x v="83"/>
    <m/>
    <m/>
    <m/>
    <n v="0"/>
    <m/>
    <m/>
  </r>
  <r>
    <n v="966"/>
    <x v="10"/>
    <s v="Night"/>
    <x v="0"/>
    <n v="2000708949"/>
    <n v="1020"/>
    <n v="15"/>
    <n v="0"/>
    <s v="U18660"/>
    <s v="L1172/73"/>
    <x v="99"/>
    <m/>
    <m/>
    <m/>
    <n v="0"/>
    <m/>
    <m/>
  </r>
  <r>
    <n v="967"/>
    <x v="10"/>
    <s v="Night"/>
    <x v="0"/>
    <n v="2000709982"/>
    <n v="960"/>
    <n v="225"/>
    <n v="0"/>
    <s v="U18660"/>
    <s v="L1172/73"/>
    <x v="99"/>
    <m/>
    <m/>
    <m/>
    <n v="0"/>
    <m/>
    <m/>
  </r>
  <r>
    <n v="968"/>
    <x v="10"/>
    <s v="Night"/>
    <x v="0"/>
    <n v="2000709982"/>
    <n v="960"/>
    <n v="75"/>
    <n v="0"/>
    <s v="U05944"/>
    <s v="L1172/73"/>
    <x v="99"/>
    <m/>
    <m/>
    <m/>
    <n v="0"/>
    <m/>
    <m/>
  </r>
  <r>
    <n v="969"/>
    <x v="10"/>
    <s v="Night"/>
    <x v="0"/>
    <n v="2000710217"/>
    <n v="540"/>
    <n v="60"/>
    <n v="0"/>
    <s v="U36206"/>
    <s v="L1174/75"/>
    <x v="40"/>
    <m/>
    <m/>
    <m/>
    <n v="0"/>
    <m/>
    <m/>
  </r>
  <r>
    <n v="970"/>
    <x v="10"/>
    <s v="Night"/>
    <x v="0"/>
    <n v="2000710216"/>
    <n v="2560"/>
    <n v="100"/>
    <n v="0"/>
    <s v="U36206"/>
    <s v="L1174/75"/>
    <x v="171"/>
    <m/>
    <m/>
    <m/>
    <n v="0"/>
    <m/>
    <m/>
  </r>
  <r>
    <n v="971"/>
    <x v="10"/>
    <s v="Night"/>
    <x v="0"/>
    <n v="2000710228"/>
    <n v="2000"/>
    <n v="180"/>
    <n v="0"/>
    <s v="U36206"/>
    <s v="L1077"/>
    <x v="2"/>
    <m/>
    <m/>
    <m/>
    <n v="0"/>
    <m/>
    <m/>
  </r>
  <r>
    <n v="972"/>
    <x v="10"/>
    <s v="Night"/>
    <x v="0"/>
    <n v="2000710204"/>
    <n v="640"/>
    <n v="100"/>
    <n v="0"/>
    <s v="U36206"/>
    <s v="L1144/47"/>
    <x v="71"/>
    <m/>
    <m/>
    <m/>
    <n v="0"/>
    <m/>
    <m/>
  </r>
  <r>
    <n v="973"/>
    <x v="10"/>
    <s v="Night"/>
    <x v="0"/>
    <n v="2000708025"/>
    <n v="2620"/>
    <n v="240"/>
    <n v="0"/>
    <s v="U03968"/>
    <s v="L1193/94"/>
    <x v="30"/>
    <m/>
    <m/>
    <m/>
    <n v="0"/>
    <m/>
    <m/>
  </r>
  <r>
    <n v="974"/>
    <x v="10"/>
    <s v="Night"/>
    <x v="0"/>
    <n v="2000709634"/>
    <n v="198"/>
    <n v="198"/>
    <n v="0"/>
    <s v="U03968"/>
    <s v="L1193/94"/>
    <x v="181"/>
    <m/>
    <m/>
    <m/>
    <n v="0"/>
    <m/>
    <m/>
  </r>
  <r>
    <n v="975"/>
    <x v="10"/>
    <s v="Night"/>
    <x v="0"/>
    <n v="2000709806"/>
    <n v="900"/>
    <n v="150"/>
    <n v="0"/>
    <s v="U03968"/>
    <s v="L1144/47"/>
    <x v="77"/>
    <m/>
    <m/>
    <m/>
    <n v="0"/>
    <m/>
    <m/>
  </r>
  <r>
    <n v="976"/>
    <x v="10"/>
    <s v="Night"/>
    <x v="0"/>
    <n v="2000709839"/>
    <n v="1800"/>
    <n v="200"/>
    <n v="0"/>
    <s v="U03968"/>
    <s v="L1077"/>
    <x v="33"/>
    <m/>
    <m/>
    <m/>
    <n v="0"/>
    <m/>
    <m/>
  </r>
  <r>
    <n v="977"/>
    <x v="10"/>
    <s v="Night"/>
    <x v="0"/>
    <n v="2000709878"/>
    <n v="4208"/>
    <n v="200"/>
    <n v="0"/>
    <s v="U03968"/>
    <s v="L1112/13"/>
    <x v="8"/>
    <m/>
    <m/>
    <m/>
    <n v="0"/>
    <m/>
    <m/>
  </r>
  <r>
    <n v="978"/>
    <x v="10"/>
    <s v="Night"/>
    <x v="0"/>
    <n v="2000701066"/>
    <n v="990"/>
    <n v="2"/>
    <n v="0"/>
    <s v="U03968"/>
    <s v="L1151/52"/>
    <x v="167"/>
    <m/>
    <m/>
    <m/>
    <n v="0"/>
    <m/>
    <m/>
  </r>
  <r>
    <n v="979"/>
    <x v="10"/>
    <s v="Night"/>
    <x v="0"/>
    <n v="2000708798"/>
    <n v="1183"/>
    <n v="1"/>
    <n v="0"/>
    <s v="U03968"/>
    <s v="L1151/52"/>
    <x v="173"/>
    <m/>
    <m/>
    <m/>
    <n v="0"/>
    <m/>
    <m/>
  </r>
  <r>
    <n v="980"/>
    <x v="10"/>
    <s v="Night"/>
    <x v="0"/>
    <n v="2000709979"/>
    <n v="2064"/>
    <n v="125"/>
    <n v="0"/>
    <s v="U03968"/>
    <s v="L1128/29"/>
    <x v="11"/>
    <m/>
    <m/>
    <m/>
    <n v="0"/>
    <m/>
    <m/>
  </r>
  <r>
    <n v="981"/>
    <x v="10"/>
    <s v="Night"/>
    <x v="0"/>
    <n v="2000709805"/>
    <n v="900"/>
    <n v="200"/>
    <n v="0"/>
    <s v="U03968"/>
    <s v="L1144/47"/>
    <x v="92"/>
    <m/>
    <m/>
    <m/>
    <n v="0"/>
    <m/>
    <m/>
  </r>
  <r>
    <n v="982"/>
    <x v="10"/>
    <s v="Night"/>
    <x v="0"/>
    <n v="2000710289"/>
    <n v="1740"/>
    <n v="200"/>
    <n v="0"/>
    <s v="U03968"/>
    <s v="L1174/75"/>
    <x v="139"/>
    <m/>
    <m/>
    <m/>
    <n v="0"/>
    <m/>
    <m/>
  </r>
  <r>
    <n v="983"/>
    <x v="10"/>
    <s v="Night"/>
    <x v="0"/>
    <n v="2000710512"/>
    <n v="410"/>
    <n v="80"/>
    <n v="0"/>
    <s v="U03968"/>
    <s v="L1105"/>
    <x v="150"/>
    <m/>
    <m/>
    <m/>
    <n v="0"/>
    <m/>
    <m/>
  </r>
  <r>
    <n v="984"/>
    <x v="10"/>
    <s v="Night"/>
    <x v="0"/>
    <n v="2000710511"/>
    <n v="410"/>
    <n v="80"/>
    <n v="0"/>
    <s v="U03968"/>
    <s v="L1105"/>
    <x v="149"/>
    <m/>
    <m/>
    <m/>
    <n v="0"/>
    <m/>
    <m/>
  </r>
  <r>
    <n v="985"/>
    <x v="10"/>
    <s v="Night"/>
    <x v="0"/>
    <n v="2000708025"/>
    <n v="2620"/>
    <n v="240"/>
    <n v="0"/>
    <s v="U03968"/>
    <s v="L1193/94"/>
    <x v="30"/>
    <m/>
    <m/>
    <m/>
    <n v="0"/>
    <m/>
    <m/>
  </r>
  <r>
    <n v="986"/>
    <x v="10"/>
    <s v="Night"/>
    <x v="0"/>
    <n v="2000709807"/>
    <n v="900"/>
    <n v="150"/>
    <n v="0"/>
    <s v="U03968"/>
    <s v="L1144/47"/>
    <x v="13"/>
    <m/>
    <m/>
    <m/>
    <n v="0"/>
    <m/>
    <m/>
  </r>
  <r>
    <n v="987"/>
    <x v="10"/>
    <s v="Night"/>
    <x v="1"/>
    <n v="2000708161"/>
    <n v="55"/>
    <n v="22"/>
    <n v="0"/>
    <s v="U15759"/>
    <s v="FLORA"/>
    <x v="180"/>
    <m/>
    <m/>
    <m/>
    <n v="0"/>
    <m/>
    <m/>
  </r>
  <r>
    <n v="988"/>
    <x v="10"/>
    <s v="Night"/>
    <x v="1"/>
    <n v="2000709355"/>
    <n v="700"/>
    <n v="210"/>
    <n v="0"/>
    <s v="U15759"/>
    <s v="FRANKY"/>
    <x v="81"/>
    <m/>
    <m/>
    <m/>
    <n v="0"/>
    <m/>
    <m/>
  </r>
  <r>
    <n v="989"/>
    <x v="10"/>
    <s v="Night"/>
    <x v="1"/>
    <n v="2000709353"/>
    <n v="120"/>
    <n v="30"/>
    <n v="0"/>
    <s v="U15759"/>
    <s v="PSLV"/>
    <x v="135"/>
    <m/>
    <m/>
    <m/>
    <n v="0"/>
    <m/>
    <m/>
  </r>
  <r>
    <n v="990"/>
    <x v="10"/>
    <s v="Night"/>
    <x v="1"/>
    <n v="2000709543"/>
    <n v="600"/>
    <n v="150"/>
    <n v="0"/>
    <s v="U15759"/>
    <s v="PSLV"/>
    <x v="49"/>
    <m/>
    <m/>
    <m/>
    <n v="0"/>
    <m/>
    <m/>
  </r>
  <r>
    <n v="991"/>
    <x v="10"/>
    <s v="Night"/>
    <x v="1"/>
    <n v="2000709540"/>
    <n v="700"/>
    <n v="70"/>
    <n v="0"/>
    <s v="U15759"/>
    <s v="PSHV"/>
    <x v="25"/>
    <m/>
    <m/>
    <m/>
    <n v="0"/>
    <m/>
    <m/>
  </r>
  <r>
    <n v="992"/>
    <x v="10"/>
    <s v="Night"/>
    <x v="1"/>
    <n v="2000708982"/>
    <n v="785"/>
    <n v="781"/>
    <n v="0"/>
    <s v="U15759"/>
    <s v="LVHV BOM"/>
    <x v="29"/>
    <m/>
    <m/>
    <m/>
    <n v="0"/>
    <m/>
    <m/>
  </r>
  <r>
    <n v="993"/>
    <x v="11"/>
    <s v="Night"/>
    <x v="1"/>
    <n v="2000709547"/>
    <n v="528"/>
    <n v="192"/>
    <n v="0"/>
    <s v="U30119"/>
    <s v="FRANKY"/>
    <x v="51"/>
    <m/>
    <m/>
    <m/>
    <n v="0"/>
    <m/>
    <m/>
  </r>
  <r>
    <n v="994"/>
    <x v="11"/>
    <s v="Night"/>
    <x v="1"/>
    <n v="2000709543"/>
    <n v="600"/>
    <n v="40"/>
    <n v="0"/>
    <s v="U30119"/>
    <s v="PSLV"/>
    <x v="49"/>
    <m/>
    <m/>
    <m/>
    <n v="0"/>
    <m/>
    <m/>
  </r>
  <r>
    <n v="995"/>
    <x v="11"/>
    <s v="Night"/>
    <x v="1"/>
    <n v="2000709355"/>
    <n v="700"/>
    <n v="210"/>
    <n v="0"/>
    <s v="U30119"/>
    <s v="FRANKY"/>
    <x v="81"/>
    <m/>
    <m/>
    <m/>
    <n v="0"/>
    <m/>
    <m/>
  </r>
  <r>
    <n v="996"/>
    <x v="11"/>
    <s v="Night"/>
    <x v="1"/>
    <n v="2000709352"/>
    <n v="14"/>
    <n v="14"/>
    <n v="0"/>
    <s v="U30119"/>
    <s v="PSLV"/>
    <x v="186"/>
    <m/>
    <m/>
    <m/>
    <n v="0"/>
    <m/>
    <m/>
  </r>
  <r>
    <n v="997"/>
    <x v="11"/>
    <s v="Night"/>
    <x v="1"/>
    <n v="2000705994"/>
    <n v="760"/>
    <n v="2"/>
    <n v="0"/>
    <s v="U30119"/>
    <s v="PSHV"/>
    <x v="50"/>
    <m/>
    <m/>
    <m/>
    <n v="0"/>
    <m/>
    <m/>
  </r>
  <r>
    <n v="998"/>
    <x v="11"/>
    <s v="Night"/>
    <x v="1"/>
    <n v="2000709666"/>
    <n v="650"/>
    <n v="315"/>
    <n v="0"/>
    <s v="U30119"/>
    <s v="SHANKS"/>
    <x v="24"/>
    <m/>
    <m/>
    <m/>
    <n v="0"/>
    <m/>
    <m/>
  </r>
  <r>
    <n v="999"/>
    <x v="11"/>
    <s v="Night"/>
    <x v="1"/>
    <n v="2000709353"/>
    <n v="120"/>
    <n v="50"/>
    <n v="0"/>
    <s v="U30119"/>
    <s v="PSLV"/>
    <x v="135"/>
    <m/>
    <m/>
    <m/>
    <n v="0"/>
    <m/>
    <m/>
  </r>
  <r>
    <n v="1000"/>
    <x v="11"/>
    <s v="Night"/>
    <x v="1"/>
    <n v="2000709541"/>
    <n v="350"/>
    <n v="80"/>
    <n v="0"/>
    <s v="U30119"/>
    <s v="PSHV"/>
    <x v="96"/>
    <m/>
    <m/>
    <m/>
    <n v="0"/>
    <m/>
    <m/>
  </r>
  <r>
    <n v="1001"/>
    <x v="11"/>
    <s v="Night"/>
    <x v="1"/>
    <n v="2000708981"/>
    <n v="700"/>
    <n v="140"/>
    <n v="0"/>
    <s v="U30119"/>
    <s v="SHANKS"/>
    <x v="187"/>
    <m/>
    <m/>
    <m/>
    <n v="0"/>
    <m/>
    <m/>
  </r>
  <r>
    <n v="1002"/>
    <x v="11"/>
    <s v="Day"/>
    <x v="1"/>
    <n v="2000709543"/>
    <n v="600"/>
    <n v="200"/>
    <n v="0"/>
    <s v="U15759"/>
    <s v="PSLV"/>
    <x v="49"/>
    <m/>
    <m/>
    <m/>
    <n v="0"/>
    <m/>
    <m/>
  </r>
  <r>
    <n v="1003"/>
    <x v="11"/>
    <s v="Day"/>
    <x v="1"/>
    <n v="2000709544"/>
    <n v="190"/>
    <n v="30"/>
    <n v="0"/>
    <s v="U15759"/>
    <s v="PSLV"/>
    <x v="129"/>
    <m/>
    <m/>
    <m/>
    <n v="0"/>
    <m/>
    <m/>
  </r>
  <r>
    <n v="1004"/>
    <x v="11"/>
    <s v="Day"/>
    <x v="1"/>
    <n v="2000709967"/>
    <n v="380"/>
    <n v="70"/>
    <n v="0"/>
    <s v="U15759"/>
    <s v="PSHV"/>
    <x v="50"/>
    <m/>
    <m/>
    <m/>
    <n v="0"/>
    <m/>
    <m/>
  </r>
  <r>
    <n v="1005"/>
    <x v="11"/>
    <s v="Day"/>
    <x v="1"/>
    <n v="2000709548"/>
    <n v="180"/>
    <n v="60"/>
    <n v="0"/>
    <s v="U15759"/>
    <s v="ZAKURO"/>
    <x v="114"/>
    <m/>
    <m/>
    <m/>
    <n v="0"/>
    <m/>
    <m/>
  </r>
  <r>
    <n v="1006"/>
    <x v="11"/>
    <s v="Day"/>
    <x v="1"/>
    <n v="2000709546"/>
    <n v="800"/>
    <n v="210"/>
    <n v="0"/>
    <s v="U15759"/>
    <s v="SHANKS"/>
    <x v="67"/>
    <m/>
    <m/>
    <m/>
    <n v="0"/>
    <m/>
    <m/>
  </r>
  <r>
    <n v="1007"/>
    <x v="11"/>
    <s v="Day"/>
    <x v="1"/>
    <n v="2000709666"/>
    <n v="650"/>
    <n v="70"/>
    <n v="0"/>
    <s v="U15759"/>
    <s v="SHANKS"/>
    <x v="24"/>
    <m/>
    <m/>
    <m/>
    <n v="0"/>
    <m/>
    <m/>
  </r>
  <r>
    <n v="1008"/>
    <x v="11"/>
    <s v="Day"/>
    <x v="0"/>
    <n v="2000709982"/>
    <n v="960"/>
    <n v="120"/>
    <n v="0"/>
    <s v="U15759"/>
    <s v="L1172/73"/>
    <x v="99"/>
    <m/>
    <m/>
    <m/>
    <n v="0"/>
    <m/>
    <m/>
  </r>
  <r>
    <n v="1009"/>
    <x v="12"/>
    <s v="Day"/>
    <x v="0"/>
    <n v="2000709982"/>
    <n v="960"/>
    <n v="150"/>
    <n v="0"/>
    <s v="U15759"/>
    <s v="L1172/73"/>
    <x v="99"/>
    <m/>
    <m/>
    <m/>
    <n v="0"/>
    <m/>
    <m/>
  </r>
  <r>
    <n v="1010"/>
    <x v="12"/>
    <s v="Day"/>
    <x v="0"/>
    <n v="2000709986"/>
    <n v="570"/>
    <n v="90"/>
    <n v="0"/>
    <s v="U15759"/>
    <s v="L1188/89_x0009_"/>
    <x v="110"/>
    <m/>
    <m/>
    <m/>
    <n v="0"/>
    <m/>
    <m/>
  </r>
  <r>
    <n v="1011"/>
    <x v="12"/>
    <s v="Day"/>
    <x v="0"/>
    <n v="2000710518"/>
    <n v="390"/>
    <n v="198"/>
    <n v="1"/>
    <s v="U15759"/>
    <s v="L1193/94"/>
    <x v="116"/>
    <s v="Dính thiếc "/>
    <m/>
    <s v="HS202"/>
    <n v="1"/>
    <s v="\\vn-file\QC Department\4.OQC\00. OQC Performance\03. Images\01. NG\20210118-NG-1340710518.jpg"/>
    <s v="\\vn-file\QC Department\4.OQC\00. OQC Performance\03. Images\02. OK\20210118-OK-1340710518.jpg"/>
  </r>
  <r>
    <n v="1012"/>
    <x v="12"/>
    <s v="Day"/>
    <x v="0"/>
    <n v="2000710203"/>
    <n v="20"/>
    <n v="20"/>
    <n v="0"/>
    <s v="U36206"/>
    <s v="T541"/>
    <x v="188"/>
    <m/>
    <m/>
    <m/>
    <n v="0"/>
    <m/>
    <m/>
  </r>
  <r>
    <n v="1013"/>
    <x v="12"/>
    <s v="Day"/>
    <x v="0"/>
    <n v="2000710476"/>
    <n v="240"/>
    <n v="20"/>
    <n v="0"/>
    <s v="U36206"/>
    <s v="L1144/47"/>
    <x v="88"/>
    <m/>
    <m/>
    <m/>
    <n v="0"/>
    <m/>
    <m/>
  </r>
  <r>
    <n v="1014"/>
    <x v="12"/>
    <s v="Day"/>
    <x v="0"/>
    <n v="2000710730"/>
    <n v="380"/>
    <n v="80"/>
    <n v="0"/>
    <s v="U36206"/>
    <s v="L1144/47"/>
    <x v="58"/>
    <m/>
    <m/>
    <m/>
    <n v="0"/>
    <m/>
    <m/>
  </r>
  <r>
    <n v="1015"/>
    <x v="12"/>
    <s v="Day"/>
    <x v="0"/>
    <n v="2000710296"/>
    <n v="240"/>
    <n v="20"/>
    <n v="0"/>
    <s v="U36206"/>
    <s v="L1182"/>
    <x v="189"/>
    <m/>
    <m/>
    <m/>
    <n v="0"/>
    <m/>
    <m/>
  </r>
  <r>
    <n v="1016"/>
    <x v="12"/>
    <s v="Day"/>
    <x v="0"/>
    <n v="2000710733"/>
    <n v="1600"/>
    <n v="140"/>
    <n v="0"/>
    <s v="U36206"/>
    <s v="L1144/47"/>
    <x v="170"/>
    <m/>
    <m/>
    <m/>
    <n v="0"/>
    <m/>
    <m/>
  </r>
  <r>
    <n v="1017"/>
    <x v="12"/>
    <s v="Day"/>
    <x v="0"/>
    <n v="2000710510"/>
    <n v="1360"/>
    <n v="160"/>
    <n v="0"/>
    <s v="U36206"/>
    <s v="L1186"/>
    <x v="4"/>
    <m/>
    <m/>
    <m/>
    <n v="0"/>
    <m/>
    <m/>
  </r>
  <r>
    <n v="1018"/>
    <x v="12"/>
    <s v="Day"/>
    <x v="0"/>
    <n v="2000710738"/>
    <n v="700"/>
    <n v="80"/>
    <n v="0"/>
    <s v="U36206"/>
    <s v="L1144/47"/>
    <x v="71"/>
    <m/>
    <m/>
    <m/>
    <n v="0"/>
    <m/>
    <m/>
  </r>
  <r>
    <n v="1019"/>
    <x v="12"/>
    <s v="Day"/>
    <x v="0"/>
    <n v="2000710219"/>
    <n v="3700"/>
    <n v="110"/>
    <n v="0"/>
    <s v="U36206"/>
    <s v="L1174/5"/>
    <x v="3"/>
    <m/>
    <m/>
    <m/>
    <n v="0"/>
    <m/>
    <m/>
  </r>
  <r>
    <n v="1020"/>
    <x v="12"/>
    <s v="Day"/>
    <x v="0"/>
    <n v="2000709662"/>
    <n v="1306"/>
    <n v="116"/>
    <n v="0"/>
    <s v="U05944"/>
    <s v="L1170/71"/>
    <x v="117"/>
    <m/>
    <m/>
    <m/>
    <n v="0"/>
    <m/>
    <m/>
  </r>
  <r>
    <n v="1021"/>
    <x v="12"/>
    <s v="Day"/>
    <x v="0"/>
    <n v="2000710139"/>
    <n v="994"/>
    <n v="90"/>
    <n v="0"/>
    <s v="U05944"/>
    <s v="L1170/71"/>
    <x v="117"/>
    <m/>
    <m/>
    <m/>
    <n v="0"/>
    <m/>
    <m/>
  </r>
  <r>
    <n v="1022"/>
    <x v="12"/>
    <s v="Day"/>
    <x v="0"/>
    <n v="2000709982"/>
    <n v="960"/>
    <n v="60"/>
    <n v="0"/>
    <s v="U18660"/>
    <s v="L1172/73"/>
    <x v="99"/>
    <m/>
    <m/>
    <m/>
    <n v="0"/>
    <m/>
    <m/>
  </r>
  <r>
    <n v="1023"/>
    <x v="12"/>
    <s v="Day"/>
    <x v="0"/>
    <n v="2000710668"/>
    <n v="510"/>
    <n v="80"/>
    <n v="0"/>
    <s v="U18660"/>
    <s v="L1172/73"/>
    <x v="83"/>
    <m/>
    <m/>
    <m/>
    <n v="0"/>
    <m/>
    <m/>
  </r>
  <r>
    <n v="1024"/>
    <x v="12"/>
    <s v="Day"/>
    <x v="0"/>
    <n v="2000710844"/>
    <n v="1472"/>
    <n v="60"/>
    <n v="0"/>
    <s v="U18660"/>
    <s v="L1172/73"/>
    <x v="20"/>
    <m/>
    <m/>
    <m/>
    <n v="0"/>
    <m/>
    <m/>
  </r>
  <r>
    <n v="1025"/>
    <x v="12"/>
    <s v="Day"/>
    <x v="0"/>
    <n v="2000710731"/>
    <n v="60"/>
    <n v="20"/>
    <n v="0"/>
    <s v="U18660"/>
    <s v="L1144/47"/>
    <x v="57"/>
    <m/>
    <m/>
    <m/>
    <n v="0"/>
    <m/>
    <m/>
  </r>
  <r>
    <n v="1026"/>
    <x v="12"/>
    <s v="Day"/>
    <x v="0"/>
    <n v="2000710804"/>
    <n v="1030"/>
    <n v="45"/>
    <n v="0"/>
    <s v="U18660"/>
    <s v="L1170/71"/>
    <x v="117"/>
    <m/>
    <m/>
    <m/>
    <n v="0"/>
    <m/>
    <m/>
  </r>
  <r>
    <n v="1027"/>
    <x v="12"/>
    <s v="Day"/>
    <x v="0"/>
    <n v="2000709662"/>
    <n v="1306"/>
    <n v="45"/>
    <n v="0"/>
    <s v="U18660"/>
    <s v="L1170/71"/>
    <x v="117"/>
    <m/>
    <m/>
    <m/>
    <n v="0"/>
    <m/>
    <m/>
  </r>
  <r>
    <n v="1028"/>
    <x v="12"/>
    <s v="Day"/>
    <x v="0"/>
    <n v="2000710139"/>
    <n v="994"/>
    <n v="30"/>
    <n v="0"/>
    <s v="U18660"/>
    <s v="L1170/71"/>
    <x v="190"/>
    <m/>
    <m/>
    <m/>
    <n v="0"/>
    <m/>
    <m/>
  </r>
  <r>
    <n v="1029"/>
    <x v="12"/>
    <s v="Day"/>
    <x v="0"/>
    <n v="2000709833"/>
    <n v="4220"/>
    <n v="300"/>
    <n v="0"/>
    <s v="U03968"/>
    <s v="T515"/>
    <x v="191"/>
    <m/>
    <m/>
    <m/>
    <n v="0"/>
    <m/>
    <m/>
  </r>
  <r>
    <n v="1030"/>
    <x v="12"/>
    <s v="Day"/>
    <x v="0"/>
    <n v="2000710215"/>
    <n v="2560"/>
    <n v="300"/>
    <n v="0"/>
    <s v="U03968"/>
    <s v="L1174/75"/>
    <x v="62"/>
    <m/>
    <m/>
    <m/>
    <n v="0"/>
    <m/>
    <m/>
  </r>
  <r>
    <n v="1031"/>
    <x v="12"/>
    <s v="Day"/>
    <x v="0"/>
    <n v="2000708025"/>
    <n v="2620"/>
    <n v="240"/>
    <n v="0"/>
    <s v="U03968"/>
    <s v="L1193/94"/>
    <x v="30"/>
    <m/>
    <m/>
    <m/>
    <n v="0"/>
    <m/>
    <m/>
  </r>
  <r>
    <n v="1032"/>
    <x v="12"/>
    <s v="Day"/>
    <x v="0"/>
    <n v="2000710224"/>
    <n v="2000"/>
    <n v="150"/>
    <n v="0"/>
    <s v="U03968"/>
    <s v="L1077"/>
    <x v="10"/>
    <m/>
    <m/>
    <m/>
    <n v="0"/>
    <m/>
    <m/>
  </r>
  <r>
    <n v="1033"/>
    <x v="12"/>
    <s v="Day"/>
    <x v="0"/>
    <n v="2000710227"/>
    <n v="2000"/>
    <n v="160"/>
    <n v="0"/>
    <s v="U03968"/>
    <s v="L1077"/>
    <x v="36"/>
    <m/>
    <m/>
    <m/>
    <n v="0"/>
    <m/>
    <m/>
  </r>
  <r>
    <n v="1034"/>
    <x v="12"/>
    <s v="Day"/>
    <x v="0"/>
    <n v="2000710786"/>
    <n v="4221"/>
    <n v="240"/>
    <n v="0"/>
    <s v="U03968"/>
    <s v="L1172/73"/>
    <x v="7"/>
    <m/>
    <m/>
    <m/>
    <n v="0"/>
    <m/>
    <m/>
  </r>
  <r>
    <n v="1035"/>
    <x v="12"/>
    <s v="Day"/>
    <x v="0"/>
    <n v="2000710508"/>
    <n v="1360"/>
    <n v="150"/>
    <m/>
    <s v="U03968"/>
    <s v="L1186"/>
    <x v="32"/>
    <m/>
    <m/>
    <m/>
    <m/>
    <m/>
    <m/>
  </r>
  <r>
    <n v="1036"/>
    <x v="12"/>
    <s v="Day"/>
    <x v="0"/>
    <n v="2000710294"/>
    <n v="1280"/>
    <n v="400"/>
    <n v="0"/>
    <s v="U03968"/>
    <s v="L1151/52"/>
    <x v="85"/>
    <m/>
    <m/>
    <m/>
    <n v="0"/>
    <m/>
    <m/>
  </r>
  <r>
    <n v="1037"/>
    <x v="12"/>
    <s v="Day"/>
    <x v="0"/>
    <n v="2000710507"/>
    <n v="1360"/>
    <n v="200"/>
    <n v="0"/>
    <s v="U03968"/>
    <s v="L1186"/>
    <x v="34"/>
    <m/>
    <m/>
    <m/>
    <n v="0"/>
    <m/>
    <m/>
  </r>
  <r>
    <n v="1038"/>
    <x v="12"/>
    <s v="Day"/>
    <x v="0"/>
    <n v="2000710139"/>
    <n v="994"/>
    <n v="20"/>
    <n v="0"/>
    <s v="U29686"/>
    <s v="L1170/71"/>
    <x v="117"/>
    <m/>
    <m/>
    <m/>
    <n v="0"/>
    <m/>
    <m/>
  </r>
  <r>
    <n v="1039"/>
    <x v="12"/>
    <s v="Day"/>
    <x v="0"/>
    <n v="2000710138"/>
    <n v="404"/>
    <n v="179"/>
    <n v="0"/>
    <s v="U29686"/>
    <s v="L1188/89"/>
    <x v="109"/>
    <m/>
    <m/>
    <m/>
    <n v="0"/>
    <m/>
    <m/>
  </r>
  <r>
    <n v="1040"/>
    <x v="12"/>
    <s v="Day"/>
    <x v="0"/>
    <n v="2000710800"/>
    <n v="540"/>
    <n v="296"/>
    <n v="0"/>
    <s v="U29686"/>
    <s v="L1188/89"/>
    <x v="109"/>
    <m/>
    <m/>
    <m/>
    <n v="0"/>
    <m/>
    <m/>
  </r>
  <r>
    <n v="1041"/>
    <x v="12"/>
    <s v="Day"/>
    <x v="0"/>
    <n v="2000709662"/>
    <n v="1306"/>
    <n v="200"/>
    <n v="0"/>
    <s v="U29686"/>
    <s v="L1170/71"/>
    <x v="117"/>
    <m/>
    <m/>
    <m/>
    <n v="0"/>
    <m/>
    <m/>
  </r>
  <r>
    <n v="1042"/>
    <x v="12"/>
    <s v="Day"/>
    <x v="0"/>
    <n v="2000710141"/>
    <n v="400"/>
    <n v="239"/>
    <n v="0"/>
    <s v="U27723"/>
    <s v="L1188/89"/>
    <x v="43"/>
    <m/>
    <m/>
    <m/>
    <n v="0"/>
    <m/>
    <m/>
  </r>
  <r>
    <n v="1043"/>
    <x v="12"/>
    <s v="Day"/>
    <x v="0"/>
    <n v="2000709648"/>
    <n v="82"/>
    <n v="82"/>
    <n v="0"/>
    <s v="U27723"/>
    <s v="L1188/89"/>
    <x v="54"/>
    <m/>
    <m/>
    <m/>
    <n v="0"/>
    <m/>
    <m/>
  </r>
  <r>
    <n v="1044"/>
    <x v="12"/>
    <s v="Day"/>
    <x v="0"/>
    <n v="2000710068"/>
    <n v="900"/>
    <n v="80"/>
    <n v="0"/>
    <s v="U27723"/>
    <s v="L1168/69"/>
    <x v="37"/>
    <m/>
    <m/>
    <m/>
    <n v="0"/>
    <m/>
    <m/>
  </r>
  <r>
    <n v="1045"/>
    <x v="12"/>
    <s v="Day"/>
    <x v="0"/>
    <n v="2000709560"/>
    <n v="3000"/>
    <n v="120"/>
    <n v="0"/>
    <s v="U27723"/>
    <s v="L1168/69"/>
    <x v="37"/>
    <m/>
    <m/>
    <m/>
    <n v="0"/>
    <m/>
    <m/>
  </r>
  <r>
    <n v="1046"/>
    <x v="12"/>
    <s v="Day"/>
    <x v="0"/>
    <n v="2000710800"/>
    <n v="540"/>
    <n v="45"/>
    <n v="0"/>
    <s v="U32991"/>
    <s v="L1188/89"/>
    <x v="109"/>
    <m/>
    <m/>
    <m/>
    <n v="0"/>
    <m/>
    <m/>
  </r>
  <r>
    <n v="1047"/>
    <x v="12"/>
    <s v="Day"/>
    <x v="1"/>
    <n v="2000709967"/>
    <n v="380"/>
    <n v="150"/>
    <n v="0"/>
    <s v="U32991"/>
    <s v="PSHV"/>
    <x v="50"/>
    <m/>
    <m/>
    <m/>
    <n v="0"/>
    <m/>
    <m/>
  </r>
  <r>
    <n v="1048"/>
    <x v="12"/>
    <s v="Day"/>
    <x v="1"/>
    <n v="2000709666"/>
    <n v="650"/>
    <n v="70"/>
    <n v="0"/>
    <s v="U32991"/>
    <s v="SHANKS"/>
    <x v="24"/>
    <m/>
    <m/>
    <m/>
    <n v="0"/>
    <m/>
    <m/>
  </r>
  <r>
    <n v="1049"/>
    <x v="12"/>
    <s v="Day"/>
    <x v="1"/>
    <n v="2000709543"/>
    <n v="600"/>
    <n v="190"/>
    <n v="0"/>
    <s v="U32991"/>
    <s v="PSLV"/>
    <x v="49"/>
    <m/>
    <m/>
    <m/>
    <n v="0"/>
    <m/>
    <m/>
  </r>
  <r>
    <n v="1050"/>
    <x v="12"/>
    <s v="Day"/>
    <x v="1"/>
    <n v="2000709967"/>
    <n v="380"/>
    <n v="80"/>
    <n v="0"/>
    <s v="U32991"/>
    <s v="PSHV"/>
    <x v="50"/>
    <m/>
    <m/>
    <m/>
    <n v="0"/>
    <m/>
    <m/>
  </r>
  <r>
    <n v="1051"/>
    <x v="12"/>
    <s v="Day"/>
    <x v="1"/>
    <n v="2000709964"/>
    <n v="585"/>
    <n v="80"/>
    <n v="0"/>
    <s v="U32991"/>
    <s v="PSHV"/>
    <x v="80"/>
    <m/>
    <m/>
    <m/>
    <n v="0"/>
    <m/>
    <m/>
  </r>
  <r>
    <n v="1052"/>
    <x v="12"/>
    <s v="Day"/>
    <x v="1"/>
    <n v="2000709963"/>
    <n v="420"/>
    <n v="80"/>
    <n v="0"/>
    <s v="U32991"/>
    <s v="SHANKS"/>
    <x v="153"/>
    <m/>
    <m/>
    <m/>
    <n v="0"/>
    <m/>
    <m/>
  </r>
  <r>
    <n v="1053"/>
    <x v="12"/>
    <s v="Night"/>
    <x v="0"/>
    <n v="2000710139"/>
    <n v="994"/>
    <n v="90"/>
    <n v="0"/>
    <s v="U23987"/>
    <s v="L1170/71"/>
    <x v="117"/>
    <m/>
    <m/>
    <m/>
    <n v="0"/>
    <m/>
    <m/>
  </r>
  <r>
    <n v="1054"/>
    <x v="12"/>
    <s v="Night"/>
    <x v="0"/>
    <n v="2000708778"/>
    <n v="856"/>
    <n v="30"/>
    <n v="0"/>
    <s v="U23987"/>
    <s v="L1170/71"/>
    <x v="46"/>
    <m/>
    <m/>
    <m/>
    <n v="0"/>
    <m/>
    <m/>
  </r>
  <r>
    <n v="1055"/>
    <x v="12"/>
    <s v="Night"/>
    <x v="0"/>
    <n v="2000710743"/>
    <n v="2400"/>
    <n v="160"/>
    <n v="0"/>
    <s v="U23987"/>
    <s v="L1144/47"/>
    <x v="59"/>
    <m/>
    <m/>
    <m/>
    <n v="0"/>
    <m/>
    <m/>
  </r>
  <r>
    <n v="1056"/>
    <x v="12"/>
    <s v="Night"/>
    <x v="0"/>
    <n v="2000710219"/>
    <n v="3700"/>
    <n v="110"/>
    <n v="0"/>
    <s v="U23987"/>
    <s v="L1174/75"/>
    <x v="3"/>
    <m/>
    <m/>
    <m/>
    <n v="0"/>
    <m/>
    <m/>
  </r>
  <r>
    <n v="1057"/>
    <x v="12"/>
    <s v="Night"/>
    <x v="0"/>
    <n v="2000708364"/>
    <n v="1352"/>
    <n v="78"/>
    <n v="0"/>
    <s v="U23987"/>
    <s v="L1188/89"/>
    <x v="84"/>
    <m/>
    <m/>
    <m/>
    <n v="0"/>
    <m/>
    <m/>
  </r>
  <r>
    <n v="1058"/>
    <x v="12"/>
    <s v="Night"/>
    <x v="0"/>
    <n v="2000710804"/>
    <n v="1030"/>
    <n v="90"/>
    <n v="0"/>
    <s v="U23987"/>
    <s v="L1170/71"/>
    <x v="117"/>
    <m/>
    <m/>
    <m/>
    <n v="0"/>
    <m/>
    <m/>
  </r>
  <r>
    <n v="1059"/>
    <x v="12"/>
    <s v="Night"/>
    <x v="0"/>
    <n v="2000709662"/>
    <n v="1306"/>
    <n v="10"/>
    <n v="0"/>
    <s v="U23987"/>
    <s v="L1170/71"/>
    <x v="117"/>
    <m/>
    <m/>
    <m/>
    <n v="0"/>
    <m/>
    <m/>
  </r>
  <r>
    <n v="1060"/>
    <x v="12"/>
    <s v="Night"/>
    <x v="0"/>
    <n v="2000710518"/>
    <n v="390"/>
    <n v="100"/>
    <n v="0"/>
    <s v="U31065"/>
    <s v="L1193/94"/>
    <x v="116"/>
    <m/>
    <m/>
    <m/>
    <n v="0"/>
    <m/>
    <m/>
  </r>
  <r>
    <n v="1061"/>
    <x v="12"/>
    <s v="Night"/>
    <x v="0"/>
    <n v="2000710877"/>
    <n v="180"/>
    <n v="141"/>
    <n v="0"/>
    <s v="U31065"/>
    <s v="L1193/94"/>
    <x v="116"/>
    <m/>
    <m/>
    <m/>
    <n v="0"/>
    <m/>
    <m/>
  </r>
  <r>
    <n v="1062"/>
    <x v="12"/>
    <s v="Night"/>
    <x v="0"/>
    <n v="2000710519"/>
    <n v="390"/>
    <n v="150"/>
    <n v="0"/>
    <s v="U31065"/>
    <s v="L1193/94"/>
    <x v="192"/>
    <m/>
    <m/>
    <m/>
    <n v="0"/>
    <m/>
    <m/>
  </r>
  <r>
    <n v="1063"/>
    <x v="12"/>
    <s v="Night"/>
    <x v="0"/>
    <n v="2000710139"/>
    <n v="994"/>
    <n v="105"/>
    <n v="0"/>
    <s v="U36008"/>
    <s v="L1170/71"/>
    <x v="117"/>
    <m/>
    <m/>
    <m/>
    <n v="0"/>
    <m/>
    <m/>
  </r>
  <r>
    <n v="1064"/>
    <x v="12"/>
    <s v="Night"/>
    <x v="0"/>
    <n v="2000710804"/>
    <n v="1030"/>
    <n v="360"/>
    <n v="0"/>
    <s v="U36008"/>
    <s v="L1170/71"/>
    <x v="117"/>
    <m/>
    <m/>
    <m/>
    <n v="0"/>
    <m/>
    <m/>
  </r>
  <r>
    <n v="1065"/>
    <x v="12"/>
    <s v="Night"/>
    <x v="0"/>
    <n v="2000709566"/>
    <n v="816"/>
    <n v="125"/>
    <n v="0"/>
    <s v="U36008"/>
    <s v="L1209/10"/>
    <x v="68"/>
    <m/>
    <m/>
    <m/>
    <n v="0"/>
    <m/>
    <m/>
  </r>
  <r>
    <n v="1066"/>
    <x v="12"/>
    <s v="Night"/>
    <x v="0"/>
    <n v="2000708958"/>
    <n v="1080"/>
    <n v="5"/>
    <n v="0"/>
    <s v="U36008"/>
    <s v="L1170/71"/>
    <x v="45"/>
    <m/>
    <m/>
    <m/>
    <n v="0"/>
    <m/>
    <m/>
  </r>
  <r>
    <n v="1067"/>
    <x v="12"/>
    <s v="Night"/>
    <x v="0"/>
    <n v="2000710844"/>
    <n v="1472"/>
    <n v="60"/>
    <n v="0"/>
    <s v="U30425"/>
    <s v="L1172/73"/>
    <x v="20"/>
    <m/>
    <m/>
    <m/>
    <n v="0"/>
    <m/>
    <m/>
  </r>
  <r>
    <n v="1068"/>
    <x v="12"/>
    <s v="Night"/>
    <x v="0"/>
    <n v="2000709880"/>
    <n v="4224"/>
    <n v="80"/>
    <n v="0"/>
    <s v="U30425"/>
    <s v="L1112/13"/>
    <x v="8"/>
    <m/>
    <m/>
    <m/>
    <n v="0"/>
    <m/>
    <m/>
  </r>
  <r>
    <n v="1069"/>
    <x v="12"/>
    <s v="Night"/>
    <x v="0"/>
    <n v="2000710219"/>
    <n v="3700"/>
    <n v="40"/>
    <n v="0"/>
    <s v="U30425"/>
    <s v="L1174/75"/>
    <x v="3"/>
    <m/>
    <m/>
    <m/>
    <n v="0"/>
    <m/>
    <m/>
  </r>
  <r>
    <n v="1070"/>
    <x v="12"/>
    <s v="Night"/>
    <x v="0"/>
    <n v="2000710734"/>
    <n v="700"/>
    <n v="80"/>
    <n v="0"/>
    <s v="U30425"/>
    <s v="L1144/47"/>
    <x v="5"/>
    <m/>
    <m/>
    <m/>
    <n v="0"/>
    <m/>
    <m/>
  </r>
  <r>
    <n v="1071"/>
    <x v="12"/>
    <s v="Night"/>
    <x v="0"/>
    <n v="2000710669"/>
    <n v="180"/>
    <n v="179"/>
    <n v="0"/>
    <s v="U30425"/>
    <s v="L1172/73"/>
    <x v="145"/>
    <m/>
    <m/>
    <m/>
    <n v="0"/>
    <m/>
    <m/>
  </r>
  <r>
    <n v="1072"/>
    <x v="12"/>
    <s v="Night"/>
    <x v="0"/>
    <n v="2000710747"/>
    <n v="360"/>
    <n v="40"/>
    <n v="0"/>
    <s v="U30425"/>
    <s v="L1168/69"/>
    <x v="93"/>
    <m/>
    <m/>
    <m/>
    <n v="0"/>
    <m/>
    <m/>
  </r>
  <r>
    <n v="1073"/>
    <x v="12"/>
    <s v="Night"/>
    <x v="0"/>
    <n v="2000710670"/>
    <n v="360"/>
    <n v="60"/>
    <n v="0"/>
    <s v="U30425"/>
    <s v="L1172/73"/>
    <x v="193"/>
    <m/>
    <m/>
    <m/>
    <n v="0"/>
    <m/>
    <m/>
  </r>
  <r>
    <n v="1074"/>
    <x v="12"/>
    <s v="Night"/>
    <x v="0"/>
    <n v="2000710294"/>
    <n v="1280"/>
    <n v="680"/>
    <n v="0"/>
    <s v="U26613"/>
    <s v="L1151/52"/>
    <x v="85"/>
    <m/>
    <m/>
    <m/>
    <n v="0"/>
    <m/>
    <m/>
  </r>
  <r>
    <n v="1075"/>
    <x v="12"/>
    <s v="Night"/>
    <x v="0"/>
    <n v="2000710509"/>
    <n v="1360"/>
    <n v="150"/>
    <n v="0"/>
    <s v="U26613"/>
    <s v="L1186"/>
    <x v="35"/>
    <m/>
    <m/>
    <m/>
    <n v="0"/>
    <m/>
    <m/>
  </r>
  <r>
    <n v="1076"/>
    <x v="12"/>
    <s v="Night"/>
    <x v="0"/>
    <n v="2000710741"/>
    <n v="2400"/>
    <n v="150"/>
    <n v="0"/>
    <s v="U26613"/>
    <s v="L1144/47"/>
    <x v="77"/>
    <m/>
    <m/>
    <m/>
    <n v="0"/>
    <m/>
    <m/>
  </r>
  <r>
    <n v="1077"/>
    <x v="12"/>
    <s v="Night"/>
    <x v="0"/>
    <n v="2000710291"/>
    <n v="4210"/>
    <n v="300"/>
    <n v="0"/>
    <s v="U26613"/>
    <s v="T515"/>
    <x v="15"/>
    <m/>
    <m/>
    <m/>
    <n v="0"/>
    <m/>
    <m/>
  </r>
  <r>
    <n v="1078"/>
    <x v="12"/>
    <s v="Night"/>
    <x v="0"/>
    <n v="2000710226"/>
    <n v="2000"/>
    <n v="160"/>
    <n v="0"/>
    <s v="U26613"/>
    <s v="L1077"/>
    <x v="6"/>
    <m/>
    <m/>
    <m/>
    <n v="0"/>
    <m/>
    <m/>
  </r>
  <r>
    <n v="1079"/>
    <x v="12"/>
    <s v="Night"/>
    <x v="0"/>
    <n v="2000710225"/>
    <n v="2000"/>
    <n v="200"/>
    <n v="0"/>
    <s v="U26613"/>
    <s v="L1077"/>
    <x v="33"/>
    <m/>
    <m/>
    <m/>
    <n v="0"/>
    <m/>
    <m/>
  </r>
  <r>
    <n v="1080"/>
    <x v="12"/>
    <s v="Night"/>
    <x v="0"/>
    <n v="2000710802"/>
    <n v="120"/>
    <n v="120"/>
    <n v="0"/>
    <s v="U27724"/>
    <s v="L1188/89"/>
    <x v="47"/>
    <m/>
    <m/>
    <m/>
    <n v="0"/>
    <m/>
    <m/>
  </r>
  <r>
    <n v="1081"/>
    <x v="12"/>
    <s v="Night"/>
    <x v="0"/>
    <n v="2000707221"/>
    <n v="240"/>
    <n v="4"/>
    <n v="0"/>
    <s v="U27724"/>
    <s v="L1188/89"/>
    <x v="47"/>
    <m/>
    <m/>
    <m/>
    <n v="0"/>
    <m/>
    <m/>
  </r>
  <r>
    <n v="1082"/>
    <x v="12"/>
    <s v="Night"/>
    <x v="0"/>
    <n v="2000710801"/>
    <n v="200"/>
    <n v="200"/>
    <n v="0"/>
    <s v="U27724"/>
    <s v="L1188/89"/>
    <x v="95"/>
    <m/>
    <m/>
    <m/>
    <n v="0"/>
    <m/>
    <m/>
  </r>
  <r>
    <n v="1083"/>
    <x v="12"/>
    <s v="Night"/>
    <x v="0"/>
    <n v="2000710146"/>
    <n v="80"/>
    <n v="80"/>
    <n v="0"/>
    <s v="U27724"/>
    <s v="L1188/89"/>
    <x v="194"/>
    <m/>
    <m/>
    <m/>
    <n v="0"/>
    <m/>
    <m/>
  </r>
  <r>
    <n v="1084"/>
    <x v="12"/>
    <s v="Night"/>
    <x v="0"/>
    <n v="2000708365"/>
    <n v="600"/>
    <n v="21"/>
    <n v="0"/>
    <s v="U27724"/>
    <s v="L1188/89"/>
    <x v="122"/>
    <m/>
    <m/>
    <m/>
    <n v="0"/>
    <m/>
    <m/>
  </r>
  <r>
    <n v="1085"/>
    <x v="12"/>
    <s v="Night"/>
    <x v="0"/>
    <n v="2000709655"/>
    <n v="500"/>
    <n v="60"/>
    <n v="0"/>
    <s v="U27724"/>
    <s v="L1172/73"/>
    <x v="18"/>
    <m/>
    <m/>
    <m/>
    <n v="0"/>
    <m/>
    <m/>
  </r>
  <r>
    <n v="1086"/>
    <x v="12"/>
    <s v="Night"/>
    <x v="0"/>
    <n v="2000710218"/>
    <n v="3700"/>
    <n v="200"/>
    <n v="0"/>
    <s v="U09749"/>
    <s v="L1174/75"/>
    <x v="62"/>
    <m/>
    <m/>
    <m/>
    <n v="0"/>
    <m/>
    <m/>
  </r>
  <r>
    <n v="1087"/>
    <x v="12"/>
    <s v="Night"/>
    <x v="0"/>
    <n v="2000710515"/>
    <n v="600"/>
    <n v="150"/>
    <n v="0"/>
    <s v="U09749"/>
    <s v="L1172/73"/>
    <x v="165"/>
    <m/>
    <m/>
    <m/>
    <n v="0"/>
    <m/>
    <m/>
  </r>
  <r>
    <n v="1088"/>
    <x v="12"/>
    <s v="Night"/>
    <x v="1"/>
    <n v="2000709967"/>
    <n v="380"/>
    <n v="50"/>
    <n v="1"/>
    <s v="U30119"/>
    <s v="PSHV"/>
    <x v="50"/>
    <s v="Bong Pattern "/>
    <m/>
    <s v="Q601"/>
    <n v="1"/>
    <s v="\\vn-file\QC Department\4.OQC\00. OQC Performance\03. Images\01. NG\20210118-NG-2100709967.jpg"/>
    <s v="\\vn-file\QC Department\4.OQC\00. OQC Performance\03. Images\02. OK\20210118-OK-2100709967.jpg"/>
  </r>
  <r>
    <n v="1089"/>
    <x v="12"/>
    <s v="Night"/>
    <x v="1"/>
    <n v="2000709959"/>
    <n v="945"/>
    <n v="160"/>
    <n v="0"/>
    <s v="U30119"/>
    <s v="PSHV"/>
    <x v="26"/>
    <m/>
    <m/>
    <m/>
    <n v="0"/>
    <m/>
    <m/>
  </r>
  <r>
    <n v="1090"/>
    <x v="12"/>
    <s v="Night"/>
    <x v="1"/>
    <n v="2000709542"/>
    <n v="120"/>
    <n v="60"/>
    <n v="0"/>
    <s v="U30119"/>
    <s v="PSLV"/>
    <x v="112"/>
    <m/>
    <m/>
    <m/>
    <n v="0"/>
    <m/>
    <m/>
  </r>
  <r>
    <n v="1091"/>
    <x v="12"/>
    <s v="Night"/>
    <x v="1"/>
    <n v="2000709965"/>
    <n v="19"/>
    <n v="19"/>
    <n v="0"/>
    <s v="U30119"/>
    <s v="PSLV"/>
    <x v="27"/>
    <m/>
    <m/>
    <m/>
    <n v="0"/>
    <m/>
    <m/>
  </r>
  <r>
    <n v="1092"/>
    <x v="12"/>
    <s v="Night"/>
    <x v="1"/>
    <n v="2000710503"/>
    <n v="600"/>
    <n v="192"/>
    <n v="0"/>
    <s v="U30119"/>
    <s v="FRANKY"/>
    <x v="51"/>
    <m/>
    <m/>
    <m/>
    <n v="0"/>
    <m/>
    <m/>
  </r>
  <r>
    <n v="1093"/>
    <x v="12"/>
    <s v="Night"/>
    <x v="1"/>
    <n v="2000709543"/>
    <n v="600"/>
    <n v="15"/>
    <n v="0"/>
    <s v="U30119"/>
    <s v="PSLV"/>
    <x v="49"/>
    <m/>
    <m/>
    <m/>
    <n v="0"/>
    <m/>
    <m/>
  </r>
  <r>
    <n v="1094"/>
    <x v="12"/>
    <s v="Night"/>
    <x v="1"/>
    <n v="2000709545"/>
    <n v="700"/>
    <n v="140"/>
    <n v="0"/>
    <s v="U30119"/>
    <s v="FRANKY"/>
    <x v="81"/>
    <m/>
    <m/>
    <m/>
    <n v="0"/>
    <m/>
    <m/>
  </r>
  <r>
    <n v="1095"/>
    <x v="12"/>
    <s v="Night"/>
    <x v="1"/>
    <n v="2000710530"/>
    <n v="167"/>
    <n v="105"/>
    <n v="0"/>
    <s v="U30119"/>
    <s v="PSLV"/>
    <x v="128"/>
    <m/>
    <m/>
    <m/>
    <n v="0"/>
    <m/>
    <m/>
  </r>
  <r>
    <n v="1096"/>
    <x v="12"/>
    <s v="Night"/>
    <x v="1"/>
    <n v="2000709966"/>
    <n v="190"/>
    <n v="60"/>
    <n v="0"/>
    <s v="U30119"/>
    <s v="PSLV"/>
    <x v="79"/>
    <m/>
    <m/>
    <m/>
    <n v="0"/>
    <m/>
    <m/>
  </r>
  <r>
    <n v="1097"/>
    <x v="12"/>
    <s v="Night"/>
    <x v="1"/>
    <n v="2000709968"/>
    <n v="60"/>
    <n v="60"/>
    <n v="0"/>
    <s v="U30119"/>
    <s v="PSHV"/>
    <x v="121"/>
    <m/>
    <m/>
    <m/>
    <n v="0"/>
    <m/>
    <m/>
  </r>
  <r>
    <n v="1098"/>
    <x v="12"/>
    <s v="Night"/>
    <x v="1"/>
    <n v="2000710497"/>
    <n v="300"/>
    <n v="30"/>
    <n v="0"/>
    <s v="U30119"/>
    <s v="PSHV"/>
    <x v="96"/>
    <m/>
    <m/>
    <m/>
    <n v="0"/>
    <m/>
    <m/>
  </r>
  <r>
    <n v="1099"/>
    <x v="13"/>
    <s v="Day"/>
    <x v="0"/>
    <n v="2000710877"/>
    <n v="180"/>
    <n v="40"/>
    <n v="0"/>
    <s v="U32991"/>
    <s v="L1193/94"/>
    <x v="116"/>
    <m/>
    <m/>
    <m/>
    <n v="0"/>
    <m/>
    <m/>
  </r>
  <r>
    <n v="1100"/>
    <x v="13"/>
    <s v="Day"/>
    <x v="0"/>
    <n v="2000711068"/>
    <n v="660"/>
    <n v="30"/>
    <n v="0"/>
    <s v="U32991"/>
    <s v="L1193/94"/>
    <x v="146"/>
    <m/>
    <m/>
    <m/>
    <n v="0"/>
    <m/>
    <m/>
  </r>
  <r>
    <n v="1101"/>
    <x v="13"/>
    <s v="Day"/>
    <x v="0"/>
    <n v="2000710671"/>
    <n v="600"/>
    <n v="200"/>
    <n v="0"/>
    <s v="U05944"/>
    <s v="L1172/73"/>
    <x v="103"/>
    <m/>
    <m/>
    <m/>
    <n v="0"/>
    <m/>
    <m/>
  </r>
  <r>
    <n v="1102"/>
    <x v="13"/>
    <s v="Day"/>
    <x v="0"/>
    <n v="2000710118"/>
    <n v="3000"/>
    <n v="150"/>
    <n v="0"/>
    <s v="U27723"/>
    <s v="L1168/69"/>
    <x v="37"/>
    <m/>
    <m/>
    <m/>
    <n v="0"/>
    <m/>
    <m/>
  </r>
  <r>
    <n v="1103"/>
    <x v="13"/>
    <s v="Day"/>
    <x v="0"/>
    <n v="2000710803"/>
    <n v="80"/>
    <n v="80"/>
    <n v="0"/>
    <s v="U27723"/>
    <s v="L1188/89"/>
    <x v="178"/>
    <m/>
    <m/>
    <m/>
    <n v="0"/>
    <m/>
    <m/>
  </r>
  <r>
    <n v="1104"/>
    <x v="13"/>
    <s v="Day"/>
    <x v="0"/>
    <n v="2000711010"/>
    <n v="400"/>
    <n v="240"/>
    <n v="0"/>
    <s v="U27723"/>
    <s v="L1188/89"/>
    <x v="47"/>
    <m/>
    <m/>
    <m/>
    <n v="0"/>
    <m/>
    <m/>
  </r>
  <r>
    <n v="1105"/>
    <x v="13"/>
    <s v="Day"/>
    <x v="0"/>
    <n v="2000710746"/>
    <n v="588"/>
    <n v="80"/>
    <n v="0"/>
    <s v="U27723"/>
    <s v="L1168/69"/>
    <x v="195"/>
    <m/>
    <m/>
    <m/>
    <n v="0"/>
    <m/>
    <m/>
  </r>
  <r>
    <n v="1106"/>
    <x v="13"/>
    <s v="Day"/>
    <x v="0"/>
    <n v="2000711010"/>
    <n v="400"/>
    <n v="160"/>
    <n v="0"/>
    <s v="U27723"/>
    <s v="L1188/89"/>
    <x v="47"/>
    <m/>
    <m/>
    <m/>
    <n v="0"/>
    <m/>
    <m/>
  </r>
  <r>
    <n v="1107"/>
    <x v="13"/>
    <s v="Day"/>
    <x v="0"/>
    <n v="2000711007"/>
    <n v="440"/>
    <n v="10"/>
    <n v="0"/>
    <s v="U27723"/>
    <s v="L1188/89"/>
    <x v="130"/>
    <m/>
    <m/>
    <m/>
    <n v="0"/>
    <m/>
    <m/>
  </r>
  <r>
    <n v="1108"/>
    <x v="13"/>
    <s v="Day"/>
    <x v="0"/>
    <n v="2000711211"/>
    <n v="1462"/>
    <n v="240"/>
    <n v="0"/>
    <s v="U36206"/>
    <s v="L1144/47"/>
    <x v="1"/>
    <m/>
    <m/>
    <m/>
    <n v="0"/>
    <m/>
    <m/>
  </r>
  <r>
    <n v="1109"/>
    <x v="13"/>
    <s v="Day"/>
    <x v="0"/>
    <n v="2000711158"/>
    <n v="700"/>
    <n v="80"/>
    <n v="0"/>
    <s v="U36206"/>
    <s v="L1144/47"/>
    <x v="71"/>
    <m/>
    <m/>
    <m/>
    <n v="0"/>
    <m/>
    <m/>
  </r>
  <r>
    <n v="1110"/>
    <x v="13"/>
    <s v="Day"/>
    <x v="0"/>
    <n v="2000711079"/>
    <n v="2000"/>
    <n v="160"/>
    <n v="0"/>
    <s v="U36206"/>
    <s v="L1077"/>
    <x v="2"/>
    <m/>
    <m/>
    <m/>
    <n v="0"/>
    <m/>
    <m/>
  </r>
  <r>
    <n v="1111"/>
    <x v="13"/>
    <s v="Day"/>
    <x v="0"/>
    <n v="2000711157"/>
    <n v="840"/>
    <n v="120"/>
    <n v="0"/>
    <s v="U36206"/>
    <s v="T541"/>
    <x v="94"/>
    <m/>
    <m/>
    <m/>
    <n v="0"/>
    <m/>
    <m/>
  </r>
  <r>
    <n v="1112"/>
    <x v="13"/>
    <s v="Day"/>
    <x v="0"/>
    <n v="2000711340"/>
    <n v="2000"/>
    <n v="135"/>
    <n v="0"/>
    <s v="U30840"/>
    <s v="L1209/10"/>
    <x v="196"/>
    <m/>
    <m/>
    <m/>
    <n v="0"/>
    <m/>
    <m/>
  </r>
  <r>
    <n v="1113"/>
    <x v="13"/>
    <s v="Day"/>
    <x v="0"/>
    <n v="2000710670"/>
    <n v="360"/>
    <n v="298"/>
    <n v="0"/>
    <s v="U18660"/>
    <s v="L1172/73"/>
    <x v="193"/>
    <m/>
    <m/>
    <m/>
    <n v="0"/>
    <m/>
    <m/>
  </r>
  <r>
    <n v="1114"/>
    <x v="13"/>
    <s v="Day"/>
    <x v="0"/>
    <n v="2000709655"/>
    <n v="500"/>
    <n v="30"/>
    <n v="0"/>
    <s v="U18660"/>
    <s v="L1172/73"/>
    <x v="18"/>
    <m/>
    <m/>
    <m/>
    <n v="0"/>
    <m/>
    <m/>
  </r>
  <r>
    <n v="1115"/>
    <x v="13"/>
    <s v="Day"/>
    <x v="0"/>
    <n v="2000711001"/>
    <n v="1000"/>
    <n v="90"/>
    <n v="0"/>
    <s v="U18660"/>
    <s v="L1172/73"/>
    <x v="18"/>
    <m/>
    <m/>
    <m/>
    <n v="0"/>
    <m/>
    <m/>
  </r>
  <r>
    <n v="1116"/>
    <x v="13"/>
    <s v="Day"/>
    <x v="0"/>
    <n v="2000710671"/>
    <n v="600"/>
    <n v="80"/>
    <n v="0"/>
    <s v="U18660"/>
    <s v="L1172/73"/>
    <x v="103"/>
    <m/>
    <m/>
    <m/>
    <n v="0"/>
    <m/>
    <m/>
  </r>
  <r>
    <n v="1117"/>
    <x v="13"/>
    <s v="Day"/>
    <x v="0"/>
    <n v="2000709566"/>
    <n v="816"/>
    <n v="45"/>
    <n v="0"/>
    <s v="U18660"/>
    <s v="L1209/10"/>
    <x v="68"/>
    <m/>
    <m/>
    <m/>
    <n v="0"/>
    <m/>
    <m/>
  </r>
  <r>
    <n v="1118"/>
    <x v="13"/>
    <s v="Day"/>
    <x v="0"/>
    <n v="2000710804"/>
    <n v="1030"/>
    <n v="20"/>
    <n v="0"/>
    <s v="U29686"/>
    <s v="L1170/71"/>
    <x v="117"/>
    <m/>
    <m/>
    <m/>
    <n v="0"/>
    <m/>
    <m/>
  </r>
  <r>
    <n v="1119"/>
    <x v="13"/>
    <s v="Day"/>
    <x v="0"/>
    <n v="2000709566"/>
    <n v="816"/>
    <n v="6"/>
    <n v="0"/>
    <s v="U29686"/>
    <s v="L1209/10"/>
    <x v="68"/>
    <m/>
    <m/>
    <m/>
    <n v="0"/>
    <m/>
    <m/>
  </r>
  <r>
    <n v="1120"/>
    <x v="13"/>
    <s v="Day"/>
    <x v="0"/>
    <n v="2000709982"/>
    <n v="960"/>
    <n v="60"/>
    <n v="0"/>
    <s v="U29686"/>
    <s v="L1172/73"/>
    <x v="99"/>
    <m/>
    <m/>
    <m/>
    <n v="0"/>
    <m/>
    <m/>
  </r>
  <r>
    <n v="1121"/>
    <x v="13"/>
    <s v="Day"/>
    <x v="0"/>
    <n v="2000708960"/>
    <n v="1300"/>
    <n v="39"/>
    <n v="0"/>
    <s v="U29686"/>
    <s v="L1209/10"/>
    <x v="68"/>
    <m/>
    <m/>
    <m/>
    <n v="0"/>
    <m/>
    <m/>
  </r>
  <r>
    <n v="1122"/>
    <x v="13"/>
    <s v="Day"/>
    <x v="0"/>
    <n v="2000711340"/>
    <n v="2000"/>
    <n v="255"/>
    <n v="0"/>
    <s v="U29686"/>
    <s v="L1209/10"/>
    <x v="196"/>
    <m/>
    <m/>
    <m/>
    <n v="0"/>
    <m/>
    <m/>
  </r>
  <r>
    <n v="1123"/>
    <x v="13"/>
    <s v="Day"/>
    <x v="0"/>
    <n v="2000707771"/>
    <n v="1036"/>
    <n v="27"/>
    <n v="0"/>
    <s v="U15759"/>
    <s v="L1209/10"/>
    <x v="68"/>
    <m/>
    <m/>
    <m/>
    <n v="0"/>
    <m/>
    <m/>
  </r>
  <r>
    <n v="1124"/>
    <x v="13"/>
    <s v="Day"/>
    <x v="0"/>
    <n v="2000710740"/>
    <n v="2400"/>
    <n v="200"/>
    <n v="0"/>
    <s v="U03968"/>
    <s v="L1144/47"/>
    <x v="92"/>
    <m/>
    <m/>
    <m/>
    <n v="0"/>
    <m/>
    <m/>
  </r>
  <r>
    <n v="1125"/>
    <x v="13"/>
    <s v="Day"/>
    <x v="0"/>
    <n v="2000710294"/>
    <n v="1280"/>
    <n v="160"/>
    <n v="0"/>
    <s v="U03968"/>
    <s v="L1151/52"/>
    <x v="85"/>
    <m/>
    <m/>
    <m/>
    <n v="0"/>
    <m/>
    <m/>
  </r>
  <r>
    <n v="1126"/>
    <x v="13"/>
    <s v="Day"/>
    <x v="0"/>
    <n v="2000709880"/>
    <n v="4224"/>
    <n v="120"/>
    <n v="0"/>
    <s v="U03968"/>
    <s v="L1112/13"/>
    <x v="8"/>
    <m/>
    <m/>
    <m/>
    <n v="0"/>
    <m/>
    <m/>
  </r>
  <r>
    <n v="1127"/>
    <x v="13"/>
    <s v="Day"/>
    <x v="0"/>
    <n v="2000710742"/>
    <n v="2400"/>
    <n v="150"/>
    <n v="0"/>
    <s v="U03968"/>
    <s v="L1144/47"/>
    <x v="13"/>
    <m/>
    <m/>
    <m/>
    <n v="0"/>
    <m/>
    <m/>
  </r>
  <r>
    <n v="1128"/>
    <x v="13"/>
    <s v="Day"/>
    <x v="0"/>
    <n v="2000710515"/>
    <n v="600"/>
    <n v="150"/>
    <n v="0"/>
    <s v="U03968"/>
    <s v="L1172/73"/>
    <x v="165"/>
    <m/>
    <m/>
    <m/>
    <n v="0"/>
    <m/>
    <m/>
  </r>
  <r>
    <n v="1129"/>
    <x v="13"/>
    <s v="Day"/>
    <x v="0"/>
    <n v="2000710516"/>
    <n v="600"/>
    <n v="150"/>
    <n v="0"/>
    <s v="U03968"/>
    <s v="L1172/73"/>
    <x v="175"/>
    <m/>
    <m/>
    <m/>
    <n v="0"/>
    <m/>
    <m/>
  </r>
  <r>
    <n v="1130"/>
    <x v="13"/>
    <s v="Day"/>
    <x v="0"/>
    <n v="2000710789"/>
    <n v="6600"/>
    <n v="300"/>
    <n v="0"/>
    <s v="U03968"/>
    <s v="L1112/13"/>
    <x v="75"/>
    <m/>
    <m/>
    <m/>
    <n v="0"/>
    <m/>
    <m/>
  </r>
  <r>
    <n v="1131"/>
    <x v="13"/>
    <s v="Day"/>
    <x v="0"/>
    <n v="2000710831"/>
    <n v="2000"/>
    <n v="160"/>
    <n v="0"/>
    <s v="U03968"/>
    <s v="L1077"/>
    <x v="36"/>
    <m/>
    <m/>
    <m/>
    <n v="0"/>
    <m/>
    <m/>
  </r>
  <r>
    <n v="1132"/>
    <x v="13"/>
    <s v="Day"/>
    <x v="0"/>
    <n v="2000709832"/>
    <n v="1920"/>
    <n v="240"/>
    <n v="0"/>
    <s v="U03968"/>
    <s v="L1193/94"/>
    <x v="30"/>
    <m/>
    <m/>
    <m/>
    <n v="0"/>
    <m/>
    <m/>
  </r>
  <r>
    <n v="1133"/>
    <x v="13"/>
    <s v="Day"/>
    <x v="0"/>
    <n v="2000710828"/>
    <n v="2000"/>
    <n v="150"/>
    <n v="0"/>
    <s v="U03968"/>
    <s v="L1077"/>
    <x v="33"/>
    <m/>
    <m/>
    <m/>
    <n v="0"/>
    <m/>
    <m/>
  </r>
  <r>
    <n v="1134"/>
    <x v="13"/>
    <s v="Day"/>
    <x v="0"/>
    <n v="2000710826"/>
    <n v="2000"/>
    <n v="150"/>
    <n v="0"/>
    <s v="U03968"/>
    <s v="L1077"/>
    <x v="10"/>
    <m/>
    <m/>
    <m/>
    <n v="0"/>
    <m/>
    <m/>
  </r>
  <r>
    <n v="1135"/>
    <x v="13"/>
    <s v="Day"/>
    <x v="0"/>
    <n v="2000710830"/>
    <n v="2000"/>
    <n v="160"/>
    <n v="0"/>
    <s v="U03968"/>
    <s v="L1077"/>
    <x v="6"/>
    <m/>
    <m/>
    <m/>
    <n v="0"/>
    <m/>
    <m/>
  </r>
  <r>
    <n v="1136"/>
    <x v="13"/>
    <s v="Day"/>
    <x v="0"/>
    <n v="2000710791"/>
    <n v="996"/>
    <n v="100"/>
    <n v="0"/>
    <s v="U03968"/>
    <s v="L1174/75"/>
    <x v="66"/>
    <m/>
    <m/>
    <m/>
    <n v="0"/>
    <m/>
    <m/>
  </r>
  <r>
    <n v="1137"/>
    <x v="13"/>
    <s v="Day"/>
    <x v="1"/>
    <n v="2000709353"/>
    <n v="120"/>
    <n v="20"/>
    <n v="0"/>
    <s v="U15759"/>
    <s v="PSLV"/>
    <x v="135"/>
    <m/>
    <m/>
    <m/>
    <n v="0"/>
    <m/>
    <m/>
  </r>
  <r>
    <n v="1138"/>
    <x v="13"/>
    <s v="Day"/>
    <x v="1"/>
    <n v="2000710498"/>
    <n v="350"/>
    <n v="80"/>
    <n v="0"/>
    <s v="U15759"/>
    <s v="PSLV"/>
    <x v="23"/>
    <m/>
    <m/>
    <m/>
    <n v="0"/>
    <m/>
    <m/>
  </r>
  <r>
    <n v="1139"/>
    <x v="13"/>
    <s v="Day"/>
    <x v="1"/>
    <n v="2000709545"/>
    <n v="700"/>
    <n v="35"/>
    <n v="0"/>
    <s v="U15759"/>
    <s v="FRANKY"/>
    <x v="81"/>
    <m/>
    <m/>
    <m/>
    <n v="0"/>
    <m/>
    <m/>
  </r>
  <r>
    <n v="1140"/>
    <x v="13"/>
    <s v="Day"/>
    <x v="1"/>
    <n v="2000709970"/>
    <n v="522"/>
    <n v="210"/>
    <n v="0"/>
    <s v="U15759"/>
    <s v="SHANKS"/>
    <x v="22"/>
    <m/>
    <m/>
    <m/>
    <n v="0"/>
    <m/>
    <m/>
  </r>
  <r>
    <n v="1141"/>
    <x v="13"/>
    <s v="Day"/>
    <x v="1"/>
    <n v="2000709972"/>
    <n v="150"/>
    <n v="60"/>
    <n v="0"/>
    <s v="U15759"/>
    <s v="SHANKS"/>
    <x v="147"/>
    <m/>
    <m/>
    <m/>
    <n v="0"/>
    <m/>
    <m/>
  </r>
  <r>
    <n v="1142"/>
    <x v="13"/>
    <s v="Day"/>
    <x v="1"/>
    <n v="2000710880"/>
    <n v="650"/>
    <n v="175"/>
    <n v="0"/>
    <s v="U15759"/>
    <s v="SHANKS"/>
    <x v="24"/>
    <m/>
    <m/>
    <m/>
    <n v="0"/>
    <m/>
    <m/>
  </r>
  <r>
    <n v="1143"/>
    <x v="13"/>
    <s v="Day"/>
    <x v="1"/>
    <n v="2000710530"/>
    <n v="167"/>
    <n v="46"/>
    <n v="0"/>
    <s v="U15759"/>
    <s v="PSLV"/>
    <x v="128"/>
    <m/>
    <m/>
    <m/>
    <n v="0"/>
    <m/>
    <m/>
  </r>
  <r>
    <n v="1144"/>
    <x v="13"/>
    <s v="Day"/>
    <x v="1"/>
    <n v="2000710497"/>
    <n v="300"/>
    <n v="60"/>
    <n v="0"/>
    <s v="U15759"/>
    <s v="PSHV"/>
    <x v="96"/>
    <m/>
    <m/>
    <m/>
    <n v="0"/>
    <m/>
    <m/>
  </r>
  <r>
    <n v="1145"/>
    <x v="13"/>
    <s v="Day"/>
    <x v="1"/>
    <n v="2000709969"/>
    <n v="800"/>
    <n v="180"/>
    <n v="0"/>
    <s v="U15759"/>
    <s v="SHANKS"/>
    <x v="67"/>
    <m/>
    <m/>
    <m/>
    <n v="0"/>
    <m/>
    <m/>
  </r>
  <r>
    <n v="1146"/>
    <x v="13"/>
    <s v="Day"/>
    <x v="1"/>
    <n v="2000710502"/>
    <n v="800"/>
    <n v="120"/>
    <n v="0"/>
    <s v="U15759"/>
    <s v="SHANKS"/>
    <x v="67"/>
    <m/>
    <m/>
    <m/>
    <n v="0"/>
    <m/>
    <m/>
  </r>
  <r>
    <n v="1147"/>
    <x v="13"/>
    <s v="Night"/>
    <x v="1"/>
    <n v="2000710498"/>
    <n v="350"/>
    <n v="180"/>
    <n v="0"/>
    <s v="U30119"/>
    <s v="PSLV"/>
    <x v="23"/>
    <m/>
    <m/>
    <m/>
    <n v="0"/>
    <m/>
    <m/>
  </r>
  <r>
    <n v="1148"/>
    <x v="13"/>
    <s v="Night"/>
    <x v="1"/>
    <n v="2000710501"/>
    <n v="190"/>
    <n v="60"/>
    <n v="0"/>
    <s v="U30119"/>
    <s v="PSLV"/>
    <x v="197"/>
    <m/>
    <m/>
    <m/>
    <n v="0"/>
    <m/>
    <m/>
  </r>
  <r>
    <n v="1149"/>
    <x v="13"/>
    <s v="Night"/>
    <x v="1"/>
    <n v="2000709353"/>
    <n v="120"/>
    <n v="20"/>
    <n v="0"/>
    <s v="U30119"/>
    <s v="PSLV"/>
    <x v="198"/>
    <m/>
    <m/>
    <m/>
    <n v="0"/>
    <m/>
    <m/>
  </r>
  <r>
    <n v="1150"/>
    <x v="13"/>
    <s v="Night"/>
    <x v="1"/>
    <n v="2000710530"/>
    <n v="167"/>
    <n v="15"/>
    <n v="0"/>
    <s v="U30119"/>
    <s v="PSLV"/>
    <x v="199"/>
    <m/>
    <m/>
    <m/>
    <n v="0"/>
    <m/>
    <m/>
  </r>
  <r>
    <n v="1151"/>
    <x v="13"/>
    <s v="Night"/>
    <x v="1"/>
    <n v="2000709967"/>
    <n v="380"/>
    <n v="25"/>
    <n v="0"/>
    <s v="U30119"/>
    <s v="PSHV"/>
    <x v="50"/>
    <m/>
    <m/>
    <m/>
    <n v="0"/>
    <m/>
    <m/>
  </r>
  <r>
    <n v="1152"/>
    <x v="13"/>
    <s v="Night"/>
    <x v="1"/>
    <n v="2000710520"/>
    <n v="945"/>
    <n v="130"/>
    <n v="0"/>
    <s v="U30119"/>
    <s v="PSHV"/>
    <x v="26"/>
    <m/>
    <m/>
    <m/>
    <n v="0"/>
    <m/>
    <m/>
  </r>
  <r>
    <n v="1153"/>
    <x v="13"/>
    <s v="Night"/>
    <x v="1"/>
    <n v="2000710500"/>
    <n v="462"/>
    <n v="400"/>
    <n v="0"/>
    <s v="U30119"/>
    <s v="PSLV"/>
    <x v="49"/>
    <m/>
    <m/>
    <m/>
    <n v="0"/>
    <m/>
    <m/>
  </r>
  <r>
    <n v="1154"/>
    <x v="13"/>
    <s v="Night"/>
    <x v="1"/>
    <n v="2000710499"/>
    <n v="10"/>
    <n v="10"/>
    <n v="0"/>
    <s v="U30119"/>
    <s v="PSLV"/>
    <x v="200"/>
    <m/>
    <m/>
    <m/>
    <n v="0"/>
    <m/>
    <m/>
  </r>
  <r>
    <n v="1155"/>
    <x v="13"/>
    <s v="Night"/>
    <x v="1"/>
    <n v="2000711047"/>
    <n v="540"/>
    <n v="120"/>
    <n v="0"/>
    <s v="U30119"/>
    <s v="PSHV"/>
    <x v="80"/>
    <m/>
    <m/>
    <m/>
    <n v="0"/>
    <m/>
    <m/>
  </r>
  <r>
    <n v="1156"/>
    <x v="13"/>
    <s v="Night"/>
    <x v="1"/>
    <n v="2000711050"/>
    <n v="660"/>
    <n v="90"/>
    <n v="0"/>
    <s v="U30119"/>
    <s v="SHANKS"/>
    <x v="106"/>
    <m/>
    <m/>
    <m/>
    <n v="0"/>
    <m/>
    <m/>
  </r>
  <r>
    <n v="1157"/>
    <x v="13"/>
    <s v="Night"/>
    <x v="0"/>
    <n v="2000710788"/>
    <n v="4220"/>
    <n v="300"/>
    <n v="0"/>
    <s v="U26613"/>
    <s v="T515"/>
    <x v="15"/>
    <m/>
    <m/>
    <m/>
    <n v="0"/>
    <m/>
    <m/>
  </r>
  <r>
    <n v="1158"/>
    <x v="13"/>
    <s v="Night"/>
    <x v="0"/>
    <n v="2000710516"/>
    <n v="600"/>
    <n v="450"/>
    <n v="0"/>
    <s v="U26613"/>
    <s v="L1172/73"/>
    <x v="175"/>
    <m/>
    <m/>
    <m/>
    <n v="0"/>
    <m/>
    <m/>
  </r>
  <r>
    <n v="1159"/>
    <x v="13"/>
    <s v="Night"/>
    <x v="0"/>
    <n v="2000711226"/>
    <n v="4212"/>
    <n v="200"/>
    <n v="0"/>
    <s v="U26613"/>
    <s v="L1144/47"/>
    <x v="14"/>
    <m/>
    <m/>
    <m/>
    <n v="0"/>
    <m/>
    <m/>
  </r>
  <r>
    <n v="1160"/>
    <x v="13"/>
    <s v="Night"/>
    <x v="0"/>
    <n v="2000711216"/>
    <n v="2400"/>
    <n v="200"/>
    <n v="0"/>
    <s v="U26613"/>
    <s v="L1144/47"/>
    <x v="77"/>
    <m/>
    <m/>
    <m/>
    <n v="0"/>
    <m/>
    <m/>
  </r>
  <r>
    <n v="1161"/>
    <x v="13"/>
    <s v="Night"/>
    <x v="0"/>
    <n v="2000710826"/>
    <n v="2000"/>
    <n v="150"/>
    <n v="0"/>
    <s v="U26613"/>
    <s v="L1077"/>
    <x v="10"/>
    <m/>
    <m/>
    <m/>
    <n v="0"/>
    <m/>
    <m/>
  </r>
  <r>
    <n v="1162"/>
    <x v="13"/>
    <s v="Night"/>
    <x v="0"/>
    <n v="2000710702"/>
    <n v="300"/>
    <n v="150"/>
    <n v="0"/>
    <s v="U26613"/>
    <s v="T575SP"/>
    <x v="201"/>
    <m/>
    <m/>
    <m/>
    <n v="0"/>
    <m/>
    <m/>
  </r>
  <r>
    <n v="1163"/>
    <x v="13"/>
    <s v="Night"/>
    <x v="0"/>
    <n v="2000711007"/>
    <n v="440"/>
    <n v="40"/>
    <n v="0"/>
    <s v="U27724"/>
    <s v="L1188/89"/>
    <x v="130"/>
    <m/>
    <m/>
    <m/>
    <n v="0"/>
    <m/>
    <m/>
  </r>
  <r>
    <n v="1164"/>
    <x v="13"/>
    <s v="Night"/>
    <x v="0"/>
    <n v="2000709980"/>
    <n v="4192"/>
    <n v="120"/>
    <n v="0"/>
    <s v="U27724"/>
    <s v="L1112/13"/>
    <x v="8"/>
    <m/>
    <m/>
    <m/>
    <n v="0"/>
    <m/>
    <m/>
  </r>
  <r>
    <n v="1165"/>
    <x v="13"/>
    <s v="Night"/>
    <x v="0"/>
    <n v="2000710748"/>
    <n v="1500"/>
    <n v="120"/>
    <n v="0"/>
    <s v="U27724"/>
    <s v="L1168/69"/>
    <x v="37"/>
    <m/>
    <m/>
    <m/>
    <n v="0"/>
    <m/>
    <m/>
  </r>
  <r>
    <n v="1166"/>
    <x v="13"/>
    <s v="Night"/>
    <x v="0"/>
    <n v="2000711218"/>
    <n v="2400"/>
    <n v="160"/>
    <n v="0"/>
    <s v="U27724"/>
    <s v="L1144/47"/>
    <x v="59"/>
    <m/>
    <m/>
    <m/>
    <n v="0"/>
    <m/>
    <m/>
  </r>
  <r>
    <n v="1167"/>
    <x v="13"/>
    <s v="Night"/>
    <x v="0"/>
    <n v="2000711028"/>
    <n v="500"/>
    <n v="80"/>
    <n v="0"/>
    <s v="U27724"/>
    <s v="L1172/73"/>
    <x v="19"/>
    <m/>
    <m/>
    <m/>
    <n v="0"/>
    <m/>
    <m/>
  </r>
  <r>
    <n v="1168"/>
    <x v="13"/>
    <s v="Night"/>
    <x v="0"/>
    <n v="2000711212"/>
    <n v="950"/>
    <n v="80"/>
    <n v="0"/>
    <s v="U27724"/>
    <s v="L1144/47"/>
    <x v="56"/>
    <m/>
    <m/>
    <m/>
    <n v="0"/>
    <m/>
    <m/>
  </r>
  <r>
    <n v="1169"/>
    <x v="13"/>
    <s v="Night"/>
    <x v="0"/>
    <n v="2000711219"/>
    <n v="1300"/>
    <n v="20"/>
    <n v="0"/>
    <s v="U27724"/>
    <s v="L1144/47"/>
    <x v="56"/>
    <m/>
    <m/>
    <m/>
    <n v="0"/>
    <m/>
    <m/>
  </r>
  <r>
    <n v="1170"/>
    <x v="13"/>
    <s v="Night"/>
    <x v="0"/>
    <n v="2000710735"/>
    <n v="380"/>
    <n v="80"/>
    <n v="0"/>
    <s v="U27724"/>
    <s v="L1144/47"/>
    <x v="57"/>
    <m/>
    <m/>
    <m/>
    <n v="0"/>
    <m/>
    <m/>
  </r>
  <r>
    <n v="1171"/>
    <x v="13"/>
    <s v="Night"/>
    <x v="0"/>
    <n v="2000710659"/>
    <n v="1200"/>
    <n v="120"/>
    <n v="0"/>
    <s v="U27724"/>
    <s v="L1174/75"/>
    <x v="3"/>
    <m/>
    <m/>
    <m/>
    <n v="0"/>
    <m/>
    <m/>
  </r>
  <r>
    <n v="1172"/>
    <x v="13"/>
    <s v="Night"/>
    <x v="0"/>
    <n v="2000711007"/>
    <n v="440"/>
    <n v="30"/>
    <n v="0"/>
    <s v="U09854"/>
    <s v="L1188/89"/>
    <x v="130"/>
    <m/>
    <m/>
    <m/>
    <n v="0"/>
    <m/>
    <m/>
  </r>
  <r>
    <n v="1173"/>
    <x v="13"/>
    <s v="Night"/>
    <x v="0"/>
    <n v="2000710293"/>
    <n v="1980"/>
    <n v="988"/>
    <n v="0"/>
    <s v="U09854"/>
    <s v="L1161/65"/>
    <x v="202"/>
    <m/>
    <m/>
    <m/>
    <n v="0"/>
    <m/>
    <m/>
  </r>
  <r>
    <n v="1174"/>
    <x v="13"/>
    <s v="Night"/>
    <x v="0"/>
    <n v="2000710876"/>
    <n v="390"/>
    <n v="120"/>
    <n v="1"/>
    <s v="U09854"/>
    <s v="L1193/94"/>
    <x v="146"/>
    <s v="Dài chân "/>
    <m/>
    <s v="L101"/>
    <n v="1"/>
    <s v="\\vn-file\QC Department\4.OQC\00. OQC Performance\03. Images\01. NG\20210119-NG-0114710876.jpg"/>
    <s v="\\vn-file\QC Department\4.OQC\00. OQC Performance\03. Images\02. OK\20210119-OK-0114710876.jpg"/>
  </r>
  <r>
    <n v="1175"/>
    <x v="13"/>
    <s v="Night"/>
    <x v="0"/>
    <n v="2000711068"/>
    <n v="660"/>
    <n v="90"/>
    <n v="0"/>
    <s v="U09854"/>
    <s v="L1193/94"/>
    <x v="146"/>
    <m/>
    <m/>
    <m/>
    <n v="0"/>
    <m/>
    <m/>
  </r>
  <r>
    <n v="1176"/>
    <x v="13"/>
    <s v="Night"/>
    <x v="0"/>
    <n v="2000710519"/>
    <n v="390"/>
    <n v="73"/>
    <n v="0"/>
    <s v="U09854"/>
    <s v="L1193/94"/>
    <x v="192"/>
    <m/>
    <m/>
    <m/>
    <n v="0"/>
    <m/>
    <m/>
  </r>
  <r>
    <n v="1177"/>
    <x v="13"/>
    <s v="Night"/>
    <x v="0"/>
    <n v="2000711340"/>
    <n v="2000"/>
    <n v="45"/>
    <n v="0"/>
    <s v="U09854"/>
    <s v="L1209/10"/>
    <x v="196"/>
    <m/>
    <m/>
    <m/>
    <n v="0"/>
    <m/>
    <m/>
  </r>
  <r>
    <n v="1178"/>
    <x v="13"/>
    <s v="Night"/>
    <x v="0"/>
    <n v="2000710671"/>
    <n v="600"/>
    <n v="40"/>
    <n v="0"/>
    <s v="U31065"/>
    <s v="L1172/73"/>
    <x v="103"/>
    <m/>
    <m/>
    <m/>
    <n v="0"/>
    <m/>
    <m/>
  </r>
  <r>
    <n v="1179"/>
    <x v="13"/>
    <s v="Night"/>
    <x v="0"/>
    <n v="2000711068"/>
    <n v="660"/>
    <n v="238"/>
    <n v="0"/>
    <s v="U31065"/>
    <s v="L1193/94"/>
    <x v="146"/>
    <m/>
    <m/>
    <m/>
    <n v="0"/>
    <m/>
    <m/>
  </r>
  <r>
    <n v="1180"/>
    <x v="13"/>
    <s v="Night"/>
    <x v="0"/>
    <n v="2000711876"/>
    <n v="390"/>
    <n v="60"/>
    <n v="0"/>
    <s v="U31065"/>
    <s v="L1193/94"/>
    <x v="146"/>
    <m/>
    <m/>
    <m/>
    <n v="0"/>
    <m/>
    <m/>
  </r>
  <r>
    <n v="1181"/>
    <x v="13"/>
    <s v="Night"/>
    <x v="0"/>
    <n v="2000710519"/>
    <n v="390"/>
    <n v="120"/>
    <n v="0"/>
    <s v="U31065"/>
    <s v="L1193/94"/>
    <x v="192"/>
    <m/>
    <m/>
    <m/>
    <n v="0"/>
    <m/>
    <m/>
  </r>
  <r>
    <n v="1182"/>
    <x v="13"/>
    <s v="Night"/>
    <x v="0"/>
    <n v="2000710671"/>
    <n v="600"/>
    <n v="180"/>
    <n v="0"/>
    <s v="U09749"/>
    <s v="L1172/73"/>
    <x v="103"/>
    <m/>
    <m/>
    <m/>
    <n v="0"/>
    <m/>
    <m/>
  </r>
  <r>
    <n v="1183"/>
    <x v="13"/>
    <s v="Night"/>
    <x v="0"/>
    <n v="2000711340"/>
    <n v="2000"/>
    <n v="105"/>
    <n v="0"/>
    <s v="U36008"/>
    <s v="L1209/10"/>
    <x v="196"/>
    <m/>
    <m/>
    <m/>
    <n v="0"/>
    <m/>
    <m/>
  </r>
  <r>
    <n v="1184"/>
    <x v="13"/>
    <s v="Night"/>
    <x v="0"/>
    <n v="2000711007"/>
    <n v="440"/>
    <n v="360"/>
    <n v="0"/>
    <s v="U36008"/>
    <s v="L1188/89"/>
    <x v="130"/>
    <m/>
    <m/>
    <m/>
    <n v="0"/>
    <m/>
    <m/>
  </r>
  <r>
    <n v="1185"/>
    <x v="13"/>
    <s v="Night"/>
    <x v="0"/>
    <n v="2000710122"/>
    <n v="640"/>
    <n v="1"/>
    <n v="0"/>
    <s v="U36008"/>
    <s v="L1188/89"/>
    <x v="130"/>
    <m/>
    <m/>
    <m/>
    <n v="0"/>
    <m/>
    <m/>
  </r>
  <r>
    <n v="1186"/>
    <x v="13"/>
    <s v="Night"/>
    <x v="0"/>
    <n v="2000711011"/>
    <n v="120"/>
    <n v="40"/>
    <n v="0"/>
    <s v="U36008"/>
    <s v="L1188/89"/>
    <x v="168"/>
    <m/>
    <m/>
    <m/>
    <n v="0"/>
    <m/>
    <m/>
  </r>
  <r>
    <n v="1187"/>
    <x v="13"/>
    <s v="Night"/>
    <x v="0"/>
    <n v="2000711340"/>
    <n v="2000"/>
    <n v="450"/>
    <n v="0"/>
    <s v="U23987"/>
    <s v="L1209/10"/>
    <x v="196"/>
    <m/>
    <m/>
    <m/>
    <n v="0"/>
    <m/>
    <m/>
  </r>
  <r>
    <n v="1188"/>
    <x v="13"/>
    <s v="Night"/>
    <x v="0"/>
    <n v="2000711314"/>
    <n v="28"/>
    <n v="24"/>
    <n v="0"/>
    <s v="U23987"/>
    <s v="L1209/10"/>
    <x v="69"/>
    <m/>
    <m/>
    <m/>
    <n v="0"/>
    <m/>
    <m/>
  </r>
  <r>
    <n v="1189"/>
    <x v="14"/>
    <s v="Day"/>
    <x v="0"/>
    <n v="2000708034"/>
    <n v="838"/>
    <n v="120"/>
    <n v="0"/>
    <s v="U03968"/>
    <s v="L1144/47"/>
    <x v="203"/>
    <m/>
    <m/>
    <m/>
    <n v="0"/>
    <m/>
    <m/>
  </r>
  <r>
    <n v="1190"/>
    <x v="14"/>
    <s v="Day"/>
    <x v="0"/>
    <n v="2000711225"/>
    <n v="1980"/>
    <n v="150"/>
    <s v="0_x0009_"/>
    <s v="U03968"/>
    <s v="L1144/47_x0009_"/>
    <x v="138"/>
    <m/>
    <m/>
    <m/>
    <s v="0_x0009_"/>
    <m/>
    <m/>
  </r>
  <r>
    <n v="1191"/>
    <x v="14"/>
    <s v="Day"/>
    <x v="0"/>
    <n v="2000711215"/>
    <n v="2400"/>
    <n v="200"/>
    <n v="0"/>
    <s v="U03968"/>
    <s v="L1144/47"/>
    <x v="92"/>
    <m/>
    <m/>
    <m/>
    <n v="0"/>
    <m/>
    <m/>
  </r>
  <r>
    <n v="1192"/>
    <x v="14"/>
    <s v="Day"/>
    <x v="0"/>
    <n v="2000709832"/>
    <n v="1920"/>
    <n v="240"/>
    <n v="0"/>
    <s v="U03968"/>
    <s v="L1193/94"/>
    <x v="30"/>
    <m/>
    <m/>
    <m/>
    <n v="0"/>
    <m/>
    <m/>
  </r>
  <r>
    <n v="1193"/>
    <x v="14"/>
    <s v="Day"/>
    <x v="0"/>
    <n v="2000711217"/>
    <n v="2400"/>
    <n v="150"/>
    <n v="0"/>
    <s v="U03968"/>
    <s v="L1144/47"/>
    <x v="13"/>
    <m/>
    <m/>
    <m/>
    <n v="0"/>
    <m/>
    <m/>
  </r>
  <r>
    <n v="1194"/>
    <x v="14"/>
    <s v="Day"/>
    <x v="0"/>
    <n v="2000711495"/>
    <n v="3285"/>
    <n v="240"/>
    <n v="0"/>
    <s v="U03968"/>
    <s v="L1172/73"/>
    <x v="7"/>
    <m/>
    <m/>
    <m/>
    <n v="0"/>
    <m/>
    <m/>
  </r>
  <r>
    <n v="1195"/>
    <x v="14"/>
    <s v="Day"/>
    <x v="0"/>
    <n v="2000710515"/>
    <n v="600"/>
    <n v="150"/>
    <n v="0"/>
    <s v="U03968"/>
    <s v="L1172/73"/>
    <x v="165"/>
    <m/>
    <m/>
    <m/>
    <n v="0"/>
    <m/>
    <m/>
  </r>
  <r>
    <n v="1196"/>
    <x v="14"/>
    <s v="Day"/>
    <x v="0"/>
    <n v="2000711078"/>
    <n v="2000"/>
    <n v="160"/>
    <n v="0"/>
    <s v="U03968"/>
    <s v="L1077"/>
    <x v="36"/>
    <m/>
    <m/>
    <m/>
    <n v="0"/>
    <m/>
    <m/>
  </r>
  <r>
    <n v="1197"/>
    <x v="14"/>
    <s v="Day"/>
    <x v="0"/>
    <n v="2000709832"/>
    <n v="1920"/>
    <n v="240"/>
    <n v="0"/>
    <s v="U03968"/>
    <s v="L1193/94"/>
    <x v="30"/>
    <m/>
    <m/>
    <m/>
    <n v="0"/>
    <m/>
    <m/>
  </r>
  <r>
    <n v="1198"/>
    <x v="14"/>
    <s v="Day"/>
    <x v="0"/>
    <n v="2000708025"/>
    <n v="2620"/>
    <n v="220"/>
    <n v="0"/>
    <s v="U03968"/>
    <s v="L1193/94"/>
    <x v="30"/>
    <m/>
    <m/>
    <m/>
    <n v="0"/>
    <m/>
    <m/>
  </r>
  <r>
    <n v="1199"/>
    <x v="14"/>
    <s v="Day"/>
    <x v="0"/>
    <n v="2000697519"/>
    <n v="530"/>
    <n v="23"/>
    <n v="0"/>
    <s v="U03968"/>
    <s v="L1193/94"/>
    <x v="30"/>
    <m/>
    <m/>
    <m/>
    <n v="0"/>
    <m/>
    <m/>
  </r>
  <r>
    <n v="1200"/>
    <x v="14"/>
    <s v="Day"/>
    <x v="0"/>
    <n v="2000711228"/>
    <n v="7860"/>
    <n v="300"/>
    <n v="0"/>
    <s v="U03968"/>
    <s v="L1112/13"/>
    <x v="75"/>
    <m/>
    <m/>
    <m/>
    <n v="0"/>
    <m/>
    <m/>
  </r>
  <r>
    <n v="1201"/>
    <x v="14"/>
    <s v="Day"/>
    <x v="0"/>
    <n v="2000711459"/>
    <n v="1800"/>
    <n v="160"/>
    <n v="0"/>
    <s v="U03968"/>
    <s v="L1151/52"/>
    <x v="85"/>
    <m/>
    <m/>
    <m/>
    <n v="0"/>
    <m/>
    <m/>
  </r>
  <r>
    <n v="1202"/>
    <x v="14"/>
    <s v="Day"/>
    <x v="0"/>
    <n v="2000711011"/>
    <n v="120"/>
    <n v="80"/>
    <n v="0"/>
    <s v="U27723"/>
    <s v="L1188/89"/>
    <x v="168"/>
    <m/>
    <m/>
    <m/>
    <n v="0"/>
    <m/>
    <m/>
  </r>
  <r>
    <n v="1203"/>
    <x v="14"/>
    <s v="Day"/>
    <x v="0"/>
    <n v="2000710813"/>
    <n v="80"/>
    <n v="80"/>
    <n v="0"/>
    <s v="U27723"/>
    <s v="L1188/89"/>
    <x v="54"/>
    <m/>
    <m/>
    <m/>
    <n v="0"/>
    <m/>
    <m/>
  </r>
  <r>
    <n v="1204"/>
    <x v="14"/>
    <s v="Day"/>
    <x v="0"/>
    <n v="2000708984"/>
    <n v="120"/>
    <n v="3"/>
    <n v="0"/>
    <s v="U27723"/>
    <s v="L1188/89"/>
    <x v="16"/>
    <m/>
    <m/>
    <m/>
    <n v="0"/>
    <m/>
    <m/>
  </r>
  <r>
    <n v="1205"/>
    <x v="14"/>
    <s v="Day"/>
    <x v="0"/>
    <n v="2000711373"/>
    <n v="400"/>
    <n v="240"/>
    <n v="0"/>
    <s v="U27723"/>
    <s v="L1188/89"/>
    <x v="130"/>
    <m/>
    <m/>
    <m/>
    <n v="0"/>
    <m/>
    <m/>
  </r>
  <r>
    <n v="1206"/>
    <x v="14"/>
    <s v="Day"/>
    <x v="0"/>
    <n v="2000710882"/>
    <n v="150"/>
    <n v="120"/>
    <n v="0"/>
    <s v="U27723"/>
    <s v="L1168/69"/>
    <x v="37"/>
    <m/>
    <m/>
    <m/>
    <n v="0"/>
    <m/>
    <m/>
  </r>
  <r>
    <n v="1207"/>
    <x v="14"/>
    <s v="Day"/>
    <x v="0"/>
    <n v="2000711373"/>
    <n v="400"/>
    <n v="40"/>
    <n v="0"/>
    <s v="U27723"/>
    <s v="L1188/89"/>
    <x v="130"/>
    <m/>
    <m/>
    <m/>
    <n v="0"/>
    <m/>
    <m/>
  </r>
  <r>
    <n v="1208"/>
    <x v="14"/>
    <s v="Day"/>
    <x v="0"/>
    <n v="2000693526"/>
    <n v="2624"/>
    <n v="40"/>
    <n v="0"/>
    <s v="U27723"/>
    <s v="L1128/29"/>
    <x v="11"/>
    <m/>
    <m/>
    <m/>
    <n v="0"/>
    <m/>
    <m/>
  </r>
  <r>
    <n v="1209"/>
    <x v="14"/>
    <s v="Day"/>
    <x v="0"/>
    <n v="2000693793"/>
    <n v="2640"/>
    <n v="40"/>
    <n v="0"/>
    <s v="U27723"/>
    <s v="L1128/29"/>
    <x v="11"/>
    <m/>
    <m/>
    <m/>
    <n v="0"/>
    <m/>
    <m/>
  </r>
  <r>
    <n v="1210"/>
    <x v="14"/>
    <s v="Day"/>
    <x v="0"/>
    <n v="2000695157"/>
    <n v="1056"/>
    <n v="40"/>
    <n v="0"/>
    <s v="U27723"/>
    <s v="L1128/29"/>
    <x v="11"/>
    <m/>
    <m/>
    <m/>
    <n v="0"/>
    <m/>
    <m/>
  </r>
  <r>
    <n v="1211"/>
    <x v="14"/>
    <s v="Day"/>
    <x v="0"/>
    <n v="2000694372"/>
    <n v="1328"/>
    <n v="40"/>
    <n v="0"/>
    <s v="U27723"/>
    <s v="L1128/29"/>
    <x v="11"/>
    <m/>
    <m/>
    <m/>
    <n v="0"/>
    <m/>
    <m/>
  </r>
  <r>
    <n v="1212"/>
    <x v="14"/>
    <s v="Day"/>
    <x v="0"/>
    <n v="2000711002"/>
    <n v="1470"/>
    <n v="390"/>
    <n v="0"/>
    <s v="U29686"/>
    <s v="L1172/73"/>
    <x v="99"/>
    <m/>
    <m/>
    <m/>
    <n v="0"/>
    <m/>
    <m/>
  </r>
  <r>
    <n v="1213"/>
    <x v="14"/>
    <s v="Day"/>
    <x v="0"/>
    <n v="2000711340"/>
    <n v="2000"/>
    <n v="515"/>
    <n v="0"/>
    <s v="U18660"/>
    <s v="L1209/10"/>
    <x v="196"/>
    <m/>
    <m/>
    <m/>
    <n v="0"/>
    <m/>
    <m/>
  </r>
  <r>
    <n v="1214"/>
    <x v="14"/>
    <s v="Day"/>
    <x v="0"/>
    <n v="2000711069"/>
    <n v="480"/>
    <n v="80"/>
    <n v="0"/>
    <s v="U18660"/>
    <s v="L1193/94"/>
    <x v="104"/>
    <m/>
    <m/>
    <m/>
    <n v="0"/>
    <m/>
    <m/>
  </r>
  <r>
    <n v="1215"/>
    <x v="14"/>
    <s v="Day"/>
    <x v="0"/>
    <n v="2000711219"/>
    <n v="1300"/>
    <n v="100"/>
    <n v="0"/>
    <s v="U36206"/>
    <s v="L1144/47"/>
    <x v="56"/>
    <m/>
    <m/>
    <m/>
    <n v="0"/>
    <m/>
    <m/>
  </r>
  <r>
    <n v="1216"/>
    <x v="14"/>
    <s v="Day"/>
    <x v="0"/>
    <n v="2000711161"/>
    <n v="180"/>
    <n v="20"/>
    <n v="0"/>
    <s v="U36206"/>
    <s v="L1144/47"/>
    <x v="88"/>
    <m/>
    <m/>
    <m/>
    <n v="0"/>
    <m/>
    <m/>
  </r>
  <r>
    <n v="1217"/>
    <x v="14"/>
    <s v="Day"/>
    <x v="0"/>
    <n v="2000711159"/>
    <n v="160"/>
    <n v="20"/>
    <n v="0"/>
    <s v="U36206"/>
    <s v="L1144/47"/>
    <x v="58"/>
    <m/>
    <m/>
    <m/>
    <n v="0"/>
    <m/>
    <m/>
  </r>
  <r>
    <n v="1218"/>
    <x v="14"/>
    <s v="Day"/>
    <x v="0"/>
    <n v="2000710835"/>
    <n v="2000"/>
    <n v="140"/>
    <n v="0"/>
    <s v="U36206"/>
    <s v="L1077"/>
    <x v="2"/>
    <m/>
    <m/>
    <m/>
    <n v="0"/>
    <m/>
    <m/>
  </r>
  <r>
    <n v="1219"/>
    <x v="14"/>
    <s v="Day"/>
    <x v="0"/>
    <n v="2000711160"/>
    <n v="220"/>
    <n v="20"/>
    <n v="0"/>
    <s v="U36206"/>
    <s v="L1144/47"/>
    <x v="57"/>
    <m/>
    <m/>
    <m/>
    <n v="0"/>
    <m/>
    <m/>
  </r>
  <r>
    <n v="1220"/>
    <x v="14"/>
    <s v="Day"/>
    <x v="0"/>
    <n v="2000711333"/>
    <n v="1250"/>
    <n v="100"/>
    <n v="0"/>
    <s v="U36206"/>
    <s v="L1174/75"/>
    <x v="61"/>
    <m/>
    <m/>
    <m/>
    <n v="0"/>
    <m/>
    <m/>
  </r>
  <r>
    <n v="1221"/>
    <x v="14"/>
    <s v="Day"/>
    <x v="0"/>
    <n v="2000711334"/>
    <n v="1300"/>
    <n v="120"/>
    <n v="0"/>
    <s v="U36206"/>
    <s v="L1174/75"/>
    <x v="3"/>
    <m/>
    <m/>
    <m/>
    <n v="0"/>
    <m/>
    <m/>
  </r>
  <r>
    <n v="1222"/>
    <x v="14"/>
    <s v="Day"/>
    <x v="0"/>
    <n v="2000711162"/>
    <n v="440"/>
    <n v="80"/>
    <n v="0"/>
    <s v="U36206"/>
    <s v="L1144/47"/>
    <x v="39"/>
    <m/>
    <m/>
    <m/>
    <n v="0"/>
    <m/>
    <m/>
  </r>
  <r>
    <n v="1223"/>
    <x v="14"/>
    <s v="Day"/>
    <x v="0"/>
    <n v="2000711340"/>
    <n v="2000"/>
    <n v="100"/>
    <n v="0"/>
    <s v="U05944"/>
    <s v="L1209/10"/>
    <x v="196"/>
    <m/>
    <m/>
    <m/>
    <n v="0"/>
    <m/>
    <m/>
  </r>
  <r>
    <n v="1224"/>
    <x v="14"/>
    <s v="Day"/>
    <x v="0"/>
    <n v="2000711002"/>
    <n v="1470"/>
    <n v="225"/>
    <n v="0"/>
    <s v="U30840"/>
    <s v="L1172/73"/>
    <x v="99"/>
    <m/>
    <m/>
    <m/>
    <n v="0"/>
    <m/>
    <m/>
  </r>
  <r>
    <n v="1225"/>
    <x v="14"/>
    <s v="Day"/>
    <x v="0"/>
    <n v="2000711364"/>
    <n v="1000"/>
    <n v="90"/>
    <n v="0"/>
    <s v="U30840"/>
    <s v="L1172/73"/>
    <x v="18"/>
    <m/>
    <m/>
    <m/>
    <n v="0"/>
    <m/>
    <m/>
  </r>
  <r>
    <n v="1226"/>
    <x v="14"/>
    <s v="Day"/>
    <x v="0"/>
    <n v="2000711340"/>
    <n v="2000"/>
    <n v="45"/>
    <n v="0"/>
    <s v="U30840"/>
    <s v="L1172/73"/>
    <x v="196"/>
    <m/>
    <m/>
    <m/>
    <n v="0"/>
    <m/>
    <m/>
  </r>
  <r>
    <n v="1227"/>
    <x v="14"/>
    <s v="Day"/>
    <x v="0"/>
    <n v="2000711361"/>
    <n v="2400"/>
    <n v="90"/>
    <n v="0"/>
    <s v="U30840"/>
    <s v="L1209/10"/>
    <x v="196"/>
    <m/>
    <m/>
    <m/>
    <n v="0"/>
    <m/>
    <m/>
  </r>
  <r>
    <n v="1228"/>
    <x v="14"/>
    <s v="Day"/>
    <x v="0"/>
    <n v="2000711002"/>
    <n v="1470"/>
    <n v="45"/>
    <n v="0"/>
    <s v="U15759"/>
    <s v="L1172/73"/>
    <x v="99"/>
    <m/>
    <m/>
    <m/>
    <n v="0"/>
    <m/>
    <m/>
  </r>
  <r>
    <n v="1229"/>
    <x v="14"/>
    <s v="Day"/>
    <x v="1"/>
    <n v="2000711498"/>
    <n v="350"/>
    <n v="88"/>
    <n v="0"/>
    <s v="U15759"/>
    <s v="PSLV"/>
    <x v="23"/>
    <m/>
    <m/>
    <m/>
    <n v="0"/>
    <m/>
    <m/>
  </r>
  <r>
    <n v="1230"/>
    <x v="14"/>
    <s v="Day"/>
    <x v="1"/>
    <n v="2000711497"/>
    <n v="300"/>
    <n v="105"/>
    <n v="0"/>
    <s v="U15759"/>
    <s v="SHANKS"/>
    <x v="24"/>
    <m/>
    <m/>
    <m/>
    <n v="0"/>
    <m/>
    <m/>
  </r>
  <r>
    <n v="1231"/>
    <x v="14"/>
    <s v="Day"/>
    <x v="1"/>
    <n v="2000711046"/>
    <n v="600"/>
    <n v="130"/>
    <n v="0"/>
    <s v="U15759"/>
    <s v="PSLV"/>
    <x v="153"/>
    <m/>
    <m/>
    <m/>
    <n v="0"/>
    <m/>
    <m/>
  </r>
  <r>
    <n v="1232"/>
    <x v="14"/>
    <s v="Day"/>
    <x v="1"/>
    <n v="2000710500"/>
    <n v="462"/>
    <n v="50"/>
    <n v="0"/>
    <s v="U15759"/>
    <s v="PSLV"/>
    <x v="49"/>
    <m/>
    <m/>
    <m/>
    <n v="0"/>
    <m/>
    <m/>
  </r>
  <r>
    <n v="1233"/>
    <x v="14"/>
    <s v="Day"/>
    <x v="1"/>
    <n v="2000711050"/>
    <n v="660"/>
    <n v="120"/>
    <n v="0"/>
    <s v="U15759"/>
    <s v="SHANKS"/>
    <x v="106"/>
    <m/>
    <m/>
    <m/>
    <n v="0"/>
    <m/>
    <m/>
  </r>
  <r>
    <n v="1234"/>
    <x v="14"/>
    <s v="Day"/>
    <x v="1"/>
    <n v="2000711496"/>
    <n v="350"/>
    <n v="210"/>
    <n v="0"/>
    <s v="U15759"/>
    <s v="SHANKS"/>
    <x v="187"/>
    <m/>
    <m/>
    <m/>
    <n v="0"/>
    <m/>
    <m/>
  </r>
  <r>
    <n v="1235"/>
    <x v="14"/>
    <s v="Day"/>
    <x v="1"/>
    <n v="2000711045"/>
    <n v="1000"/>
    <n v="140"/>
    <n v="0"/>
    <s v="U15759"/>
    <s v="PSHV"/>
    <x v="25"/>
    <m/>
    <m/>
    <m/>
    <n v="0"/>
    <m/>
    <m/>
  </r>
  <r>
    <n v="1236"/>
    <x v="14"/>
    <s v="Night"/>
    <x v="0"/>
    <n v="2000711069"/>
    <n v="480"/>
    <n v="396"/>
    <n v="0"/>
    <s v="U09854"/>
    <s v="L1193/94"/>
    <x v="104"/>
    <m/>
    <m/>
    <m/>
    <n v="0"/>
    <m/>
    <m/>
  </r>
  <r>
    <n v="1237"/>
    <x v="14"/>
    <s v="Night"/>
    <x v="0"/>
    <n v="2000711389"/>
    <n v="600"/>
    <n v="199"/>
    <n v="0"/>
    <s v="U09854"/>
    <s v="L1193/94"/>
    <x v="204"/>
    <m/>
    <m/>
    <m/>
    <n v="0"/>
    <m/>
    <m/>
  </r>
  <r>
    <n v="1238"/>
    <x v="14"/>
    <s v="Night"/>
    <x v="0"/>
    <n v="2000711075"/>
    <n v="2000"/>
    <n v="150"/>
    <n v="0"/>
    <s v="U27724"/>
    <s v="L1077"/>
    <x v="10"/>
    <m/>
    <m/>
    <m/>
    <n v="0"/>
    <m/>
    <m/>
  </r>
  <r>
    <n v="1239"/>
    <x v="14"/>
    <s v="Night"/>
    <x v="0"/>
    <n v="2000709832"/>
    <n v="1920"/>
    <n v="120"/>
    <n v="0"/>
    <s v="U27724"/>
    <s v="L1193/94_x0009_"/>
    <x v="205"/>
    <m/>
    <m/>
    <m/>
    <n v="0"/>
    <m/>
    <m/>
  </r>
  <r>
    <n v="1240"/>
    <x v="14"/>
    <s v="Night"/>
    <x v="0"/>
    <n v="2000711077"/>
    <n v="2000"/>
    <n v="130"/>
    <n v="0"/>
    <s v="U27724"/>
    <s v="L1077"/>
    <x v="6"/>
    <m/>
    <m/>
    <m/>
    <n v="0"/>
    <m/>
    <m/>
  </r>
  <r>
    <n v="1241"/>
    <x v="14"/>
    <s v="Night"/>
    <x v="0"/>
    <n v="2000710790"/>
    <n v="1980"/>
    <n v="1979"/>
    <n v="0"/>
    <s v="U27724"/>
    <s v="L1161/65"/>
    <x v="206"/>
    <m/>
    <m/>
    <m/>
    <n v="0"/>
    <m/>
    <m/>
  </r>
  <r>
    <n v="1242"/>
    <x v="14"/>
    <s v="Night"/>
    <x v="0"/>
    <n v="2000711330"/>
    <n v="1150"/>
    <n v="100"/>
    <n v="0"/>
    <s v="U27724"/>
    <s v="L1174/75"/>
    <x v="62"/>
    <m/>
    <m/>
    <m/>
    <n v="0"/>
    <m/>
    <m/>
  </r>
  <r>
    <n v="1243"/>
    <x v="14"/>
    <s v="Night"/>
    <x v="0"/>
    <n v="2000711221"/>
    <n v="2400"/>
    <n v="200"/>
    <n v="0"/>
    <s v="U27724"/>
    <s v="L1144/47"/>
    <x v="92"/>
    <m/>
    <m/>
    <m/>
    <n v="0"/>
    <m/>
    <m/>
  </r>
  <r>
    <n v="1244"/>
    <x v="14"/>
    <s v="Night"/>
    <x v="0"/>
    <n v="2000711361"/>
    <n v="2400"/>
    <n v="90"/>
    <n v="0"/>
    <s v="U07492"/>
    <s v="L1209/10"/>
    <x v="196"/>
    <m/>
    <m/>
    <m/>
    <n v="0"/>
    <m/>
    <m/>
  </r>
  <r>
    <n v="1245"/>
    <x v="14"/>
    <s v="Night"/>
    <x v="0"/>
    <n v="2000709832"/>
    <n v="1920"/>
    <n v="120"/>
    <n v="0"/>
    <s v="U26613"/>
    <s v="L1193/94"/>
    <x v="30"/>
    <m/>
    <m/>
    <m/>
    <n v="0"/>
    <m/>
    <m/>
  </r>
  <r>
    <n v="1246"/>
    <x v="14"/>
    <s v="Night"/>
    <x v="0"/>
    <n v="2000710658"/>
    <n v="1200"/>
    <n v="200"/>
    <n v="0"/>
    <s v="U26613"/>
    <s v="L1174/75"/>
    <x v="62"/>
    <m/>
    <m/>
    <m/>
    <n v="0"/>
    <m/>
    <m/>
  </r>
  <r>
    <n v="1247"/>
    <x v="14"/>
    <s v="Night"/>
    <x v="0"/>
    <n v="2000711459"/>
    <n v="1800"/>
    <n v="440"/>
    <n v="0"/>
    <s v="U26613"/>
    <s v="L1151/52"/>
    <x v="85"/>
    <m/>
    <m/>
    <m/>
    <n v="0"/>
    <m/>
    <m/>
  </r>
  <r>
    <n v="1248"/>
    <x v="14"/>
    <s v="Night"/>
    <x v="0"/>
    <n v="2000711227"/>
    <n v="4230"/>
    <n v="300"/>
    <n v="0"/>
    <s v="U26613"/>
    <s v="T515"/>
    <x v="15"/>
    <m/>
    <m/>
    <m/>
    <n v="0"/>
    <m/>
    <m/>
  </r>
  <r>
    <n v="1249"/>
    <x v="14"/>
    <s v="Night"/>
    <x v="0"/>
    <n v="2000710294"/>
    <n v="1280"/>
    <n v="40"/>
    <n v="0"/>
    <s v="U26613"/>
    <s v="L1151/52"/>
    <x v="85"/>
    <m/>
    <m/>
    <m/>
    <n v="0"/>
    <m/>
    <m/>
  </r>
  <r>
    <n v="1250"/>
    <x v="14"/>
    <s v="Night"/>
    <x v="0"/>
    <n v="2000711222"/>
    <n v="2400"/>
    <n v="200"/>
    <n v="0"/>
    <s v="U26613"/>
    <s v="L1144/47"/>
    <x v="77"/>
    <m/>
    <m/>
    <m/>
    <n v="0"/>
    <m/>
    <m/>
  </r>
  <r>
    <n v="1251"/>
    <x v="14"/>
    <s v="Night"/>
    <x v="0"/>
    <n v="2000711331"/>
    <n v="1250"/>
    <n v="200"/>
    <n v="0"/>
    <s v="U26613"/>
    <s v="L1174/75"/>
    <x v="62"/>
    <m/>
    <m/>
    <m/>
    <n v="0"/>
    <m/>
    <m/>
  </r>
  <r>
    <n v="1252"/>
    <x v="14"/>
    <s v="Night"/>
    <x v="0"/>
    <n v="2000711076"/>
    <n v="2000"/>
    <n v="200"/>
    <n v="0"/>
    <s v="U26613"/>
    <s v="L1077"/>
    <x v="33"/>
    <m/>
    <m/>
    <m/>
    <n v="0"/>
    <m/>
    <m/>
  </r>
  <r>
    <n v="1253"/>
    <x v="14"/>
    <s v="Night"/>
    <x v="0"/>
    <n v="2000711340"/>
    <n v="2000"/>
    <n v="80"/>
    <n v="0"/>
    <s v="U23987"/>
    <s v="L1209/10"/>
    <x v="196"/>
    <m/>
    <m/>
    <m/>
    <n v="0"/>
    <m/>
    <m/>
  </r>
  <r>
    <n v="1254"/>
    <x v="14"/>
    <s v="Night"/>
    <x v="0"/>
    <n v="2000711361"/>
    <n v="2400"/>
    <n v="450"/>
    <n v="0"/>
    <s v="U23987"/>
    <s v="L1209/10"/>
    <x v="196"/>
    <m/>
    <m/>
    <m/>
    <n v="0"/>
    <m/>
    <m/>
  </r>
  <r>
    <n v="1255"/>
    <x v="14"/>
    <s v="Night"/>
    <x v="0"/>
    <n v="2000711340"/>
    <n v="2000"/>
    <n v="90"/>
    <n v="0"/>
    <s v="U30119"/>
    <s v="L1209/10"/>
    <x v="196"/>
    <m/>
    <m/>
    <m/>
    <n v="0"/>
    <m/>
    <m/>
  </r>
  <r>
    <n v="1256"/>
    <x v="14"/>
    <s v="Night"/>
    <x v="0"/>
    <n v="2000711361"/>
    <n v="2400"/>
    <n v="90"/>
    <n v="0"/>
    <s v="U30119"/>
    <s v="L1209/10"/>
    <x v="196"/>
    <m/>
    <m/>
    <m/>
    <n v="0"/>
    <m/>
    <m/>
  </r>
  <r>
    <n v="1257"/>
    <x v="14"/>
    <s v="Night"/>
    <x v="0"/>
    <n v="2000711544"/>
    <n v="190"/>
    <n v="105"/>
    <n v="0"/>
    <s v="U31065"/>
    <s v="L1151/52"/>
    <x v="154"/>
    <m/>
    <m/>
    <m/>
    <n v="0"/>
    <m/>
    <m/>
  </r>
  <r>
    <n v="1258"/>
    <x v="14"/>
    <s v="Night"/>
    <x v="0"/>
    <n v="2000711361"/>
    <n v="2400"/>
    <n v="225"/>
    <n v="0"/>
    <s v="U09749"/>
    <s v="L1209/10"/>
    <x v="196"/>
    <m/>
    <m/>
    <m/>
    <n v="0"/>
    <m/>
    <m/>
  </r>
  <r>
    <n v="1259"/>
    <x v="14"/>
    <s v="Night"/>
    <x v="0"/>
    <n v="2000711373"/>
    <n v="400"/>
    <n v="119"/>
    <n v="0"/>
    <s v="U36008"/>
    <s v="L1188/89"/>
    <x v="130"/>
    <m/>
    <m/>
    <m/>
    <n v="0"/>
    <m/>
    <m/>
  </r>
  <r>
    <n v="1260"/>
    <x v="14"/>
    <s v="Night"/>
    <x v="0"/>
    <n v="2000711494"/>
    <n v="594"/>
    <n v="380"/>
    <n v="0"/>
    <s v="U36008"/>
    <s v="L1188/89"/>
    <x v="17"/>
    <m/>
    <m/>
    <m/>
    <n v="0"/>
    <m/>
    <m/>
  </r>
  <r>
    <n v="1261"/>
    <x v="14"/>
    <s v="Night"/>
    <x v="0"/>
    <n v="2000711220"/>
    <n v="1120"/>
    <n v="90"/>
    <n v="0"/>
    <s v="U30425"/>
    <s v="L1144/47"/>
    <x v="120"/>
    <m/>
    <m/>
    <m/>
    <n v="0"/>
    <m/>
    <m/>
  </r>
  <r>
    <n v="1262"/>
    <x v="14"/>
    <s v="Night"/>
    <x v="0"/>
    <n v="2000711333"/>
    <n v="1250"/>
    <n v="20"/>
    <n v="0"/>
    <s v="U30425"/>
    <s v="L1174/75"/>
    <x v="61"/>
    <m/>
    <m/>
    <m/>
    <n v="0"/>
    <m/>
    <m/>
  </r>
  <r>
    <n v="1263"/>
    <x v="14"/>
    <s v="Night"/>
    <x v="0"/>
    <n v="2000710881"/>
    <n v="900"/>
    <n v="80"/>
    <n v="0"/>
    <s v="U30425"/>
    <s v="L1168/69"/>
    <x v="93"/>
    <m/>
    <m/>
    <m/>
    <n v="0"/>
    <m/>
    <m/>
  </r>
  <r>
    <n v="1264"/>
    <x v="14"/>
    <s v="Night"/>
    <x v="0"/>
    <n v="2000710670"/>
    <n v="360"/>
    <n v="2"/>
    <n v="0"/>
    <s v="U30425"/>
    <s v="L1172/73"/>
    <x v="193"/>
    <m/>
    <m/>
    <m/>
    <n v="0"/>
    <m/>
    <m/>
  </r>
  <r>
    <n v="1265"/>
    <x v="14"/>
    <s v="Night"/>
    <x v="0"/>
    <n v="2000694372"/>
    <n v="1328"/>
    <n v="52"/>
    <n v="0"/>
    <s v="U30425"/>
    <s v="L1128/29"/>
    <x v="11"/>
    <m/>
    <m/>
    <m/>
    <n v="0"/>
    <m/>
    <m/>
  </r>
  <r>
    <n v="1266"/>
    <x v="14"/>
    <s v="Night"/>
    <x v="0"/>
    <n v="2000693793"/>
    <n v="2640"/>
    <n v="120"/>
    <n v="0"/>
    <s v="U30425"/>
    <s v="L1128/29"/>
    <x v="11"/>
    <m/>
    <m/>
    <m/>
    <n v="0"/>
    <m/>
    <m/>
  </r>
  <r>
    <n v="1267"/>
    <x v="14"/>
    <s v="Night"/>
    <x v="0"/>
    <n v="2000695158"/>
    <n v="1360"/>
    <n v="40"/>
    <n v="0"/>
    <s v="U30425"/>
    <s v="L1128/29"/>
    <x v="11"/>
    <m/>
    <m/>
    <m/>
    <n v="0"/>
    <m/>
    <m/>
  </r>
  <r>
    <n v="1268"/>
    <x v="14"/>
    <s v="Night"/>
    <x v="0"/>
    <n v="2000711224"/>
    <n v="2400"/>
    <n v="40"/>
    <n v="0"/>
    <s v="U30425"/>
    <s v="L1144/47"/>
    <x v="59"/>
    <m/>
    <m/>
    <m/>
    <n v="0"/>
    <m/>
    <m/>
  </r>
  <r>
    <n v="1269"/>
    <x v="14"/>
    <s v="Night"/>
    <x v="0"/>
    <n v="2000693526"/>
    <n v="2624"/>
    <n v="80"/>
    <n v="0"/>
    <s v="U30425"/>
    <s v="L1128/29"/>
    <x v="11"/>
    <m/>
    <m/>
    <m/>
    <n v="0"/>
    <m/>
    <m/>
  </r>
  <r>
    <n v="1270"/>
    <x v="14"/>
    <s v="Night"/>
    <x v="0"/>
    <n v="2000695157"/>
    <n v="1056"/>
    <n v="80"/>
    <n v="0"/>
    <s v="U30425"/>
    <s v="L1128/29"/>
    <x v="11"/>
    <m/>
    <m/>
    <m/>
    <n v="0"/>
    <m/>
    <m/>
  </r>
  <r>
    <n v="1271"/>
    <x v="14"/>
    <s v="Night"/>
    <x v="0"/>
    <n v="2000695931"/>
    <n v="1328"/>
    <n v="40"/>
    <n v="0"/>
    <s v="U30425"/>
    <s v="L1128/29"/>
    <x v="11"/>
    <m/>
    <m/>
    <m/>
    <n v="0"/>
    <m/>
    <m/>
  </r>
  <r>
    <n v="1272"/>
    <x v="14"/>
    <s v="Night"/>
    <x v="0"/>
    <n v="2000711335"/>
    <n v="1150"/>
    <n v="30"/>
    <n v="0"/>
    <s v="U30425"/>
    <s v="L1174/75"/>
    <x v="40"/>
    <m/>
    <m/>
    <m/>
    <n v="0"/>
    <m/>
    <m/>
  </r>
  <r>
    <n v="1273"/>
    <x v="14"/>
    <s v="Night"/>
    <x v="1"/>
    <n v="2000711048"/>
    <n v="411"/>
    <n v="411"/>
    <n v="0"/>
    <s v="U30119"/>
    <s v="PSHV"/>
    <x v="121"/>
    <m/>
    <m/>
    <m/>
    <n v="0"/>
    <m/>
    <m/>
  </r>
  <r>
    <n v="1274"/>
    <x v="14"/>
    <s v="Night"/>
    <x v="1"/>
    <n v="2000711302"/>
    <n v="380"/>
    <n v="90"/>
    <n v="0"/>
    <s v="U30119"/>
    <s v="PSLV"/>
    <x v="79"/>
    <m/>
    <m/>
    <m/>
    <n v="0"/>
    <m/>
    <m/>
  </r>
  <r>
    <n v="1275"/>
    <x v="14"/>
    <s v="Night"/>
    <x v="1"/>
    <n v="2000711501"/>
    <n v="650"/>
    <n v="70"/>
    <n v="0"/>
    <s v="U30119"/>
    <s v="SHANKS"/>
    <x v="24"/>
    <m/>
    <m/>
    <m/>
    <n v="0"/>
    <m/>
    <m/>
  </r>
  <r>
    <n v="1276"/>
    <x v="14"/>
    <s v="Night"/>
    <x v="1"/>
    <n v="2000711502"/>
    <n v="699"/>
    <n v="192"/>
    <n v="0"/>
    <s v="U30119"/>
    <s v="FRANKY"/>
    <x v="51"/>
    <m/>
    <m/>
    <m/>
    <n v="0"/>
    <m/>
    <m/>
  </r>
  <r>
    <n v="1277"/>
    <x v="14"/>
    <s v="Night"/>
    <x v="1"/>
    <n v="2000711504"/>
    <n v="660"/>
    <n v="150"/>
    <n v="0"/>
    <s v="U30119"/>
    <s v="SHANKS"/>
    <x v="106"/>
    <m/>
    <m/>
    <m/>
    <n v="0"/>
    <m/>
    <m/>
  </r>
  <r>
    <n v="1278"/>
    <x v="14"/>
    <s v="Night"/>
    <x v="1"/>
    <n v="2000711503"/>
    <n v="655"/>
    <n v="10"/>
    <n v="0"/>
    <s v="U30119"/>
    <s v="PSLV"/>
    <x v="166"/>
    <m/>
    <m/>
    <m/>
    <n v="0"/>
    <m/>
    <m/>
  </r>
  <r>
    <n v="1279"/>
    <x v="15"/>
    <s v="Day"/>
    <x v="0"/>
    <n v="2000711494"/>
    <n v="594"/>
    <n v="196"/>
    <n v="0"/>
    <s v="U27723"/>
    <s v="L1188/89"/>
    <x v="17"/>
    <m/>
    <m/>
    <m/>
    <n v="0"/>
    <m/>
    <m/>
  </r>
  <r>
    <n v="1280"/>
    <x v="15"/>
    <s v="Day"/>
    <x v="0"/>
    <n v="2000711322"/>
    <n v="900"/>
    <n v="80"/>
    <n v="0"/>
    <s v="U27723"/>
    <s v="L1168/69_x0009_"/>
    <x v="37"/>
    <m/>
    <m/>
    <m/>
    <n v="0"/>
    <m/>
    <m/>
  </r>
  <r>
    <n v="1281"/>
    <x v="15"/>
    <s v="Day"/>
    <x v="0"/>
    <n v="2000709980"/>
    <n v="4192"/>
    <n v="80"/>
    <n v="0"/>
    <s v="U27723"/>
    <s v="L1112/13"/>
    <x v="8"/>
    <m/>
    <m/>
    <m/>
    <n v="0"/>
    <m/>
    <m/>
  </r>
  <r>
    <n v="1282"/>
    <x v="15"/>
    <s v="Day"/>
    <x v="0"/>
    <n v="2000711987"/>
    <n v="471"/>
    <n v="80"/>
    <n v="0"/>
    <s v="U27723"/>
    <s v="L1105"/>
    <x v="126"/>
    <m/>
    <m/>
    <m/>
    <n v="0"/>
    <m/>
    <m/>
  </r>
  <r>
    <n v="1283"/>
    <x v="15"/>
    <s v="Day"/>
    <x v="0"/>
    <n v="2000711374"/>
    <n v="40"/>
    <n v="40"/>
    <n v="0"/>
    <s v="U27723"/>
    <s v="L1188/89"/>
    <x v="54"/>
    <m/>
    <m/>
    <m/>
    <n v="0"/>
    <m/>
    <m/>
  </r>
  <r>
    <n v="1284"/>
    <x v="15"/>
    <s v="Day"/>
    <x v="0"/>
    <n v="2000711683"/>
    <n v="440"/>
    <n v="180"/>
    <n v="0"/>
    <s v="U27723"/>
    <s v="L1188/89"/>
    <x v="130"/>
    <m/>
    <m/>
    <m/>
    <n v="0"/>
    <m/>
    <m/>
  </r>
  <r>
    <n v="1285"/>
    <x v="15"/>
    <s v="Day"/>
    <x v="0"/>
    <n v="2000709832"/>
    <n v="1920"/>
    <n v="240"/>
    <n v="0"/>
    <s v="U03968"/>
    <s v="L1193/94"/>
    <x v="30"/>
    <m/>
    <m/>
    <m/>
    <n v="0"/>
    <m/>
    <m/>
  </r>
  <r>
    <n v="1286"/>
    <x v="15"/>
    <s v="Day"/>
    <x v="0"/>
    <n v="2000711223"/>
    <n v="2400"/>
    <n v="150"/>
    <n v="0"/>
    <s v="U03968"/>
    <s v="L1144/47"/>
    <x v="13"/>
    <m/>
    <m/>
    <m/>
    <n v="0"/>
    <m/>
    <m/>
  </r>
  <r>
    <n v="1287"/>
    <x v="15"/>
    <s v="Day"/>
    <x v="0"/>
    <n v="2000710702"/>
    <n v="300"/>
    <n v="150"/>
    <n v="0"/>
    <s v="U03968"/>
    <s v="T575"/>
    <x v="201"/>
    <m/>
    <m/>
    <m/>
    <n v="0"/>
    <m/>
    <m/>
  </r>
  <r>
    <n v="1288"/>
    <x v="15"/>
    <s v="Day"/>
    <x v="0"/>
    <n v="2000711459"/>
    <n v="1800"/>
    <n v="480"/>
    <n v="0"/>
    <s v="U03968"/>
    <s v="L1151/52"/>
    <x v="85"/>
    <m/>
    <m/>
    <m/>
    <n v="0"/>
    <m/>
    <m/>
  </r>
  <r>
    <n v="1289"/>
    <x v="15"/>
    <s v="Day"/>
    <x v="0"/>
    <n v="2000711465"/>
    <n v="6600"/>
    <n v="300"/>
    <n v="0"/>
    <s v="U03968"/>
    <s v="L1112/13"/>
    <x v="75"/>
    <m/>
    <m/>
    <m/>
    <n v="0"/>
    <m/>
    <m/>
  </r>
  <r>
    <n v="1290"/>
    <x v="15"/>
    <s v="Day"/>
    <x v="0"/>
    <n v="2000711380"/>
    <n v="2000"/>
    <n v="160"/>
    <n v="0"/>
    <s v="U03968"/>
    <s v="L1077"/>
    <x v="36"/>
    <m/>
    <m/>
    <m/>
    <n v="0"/>
    <m/>
    <m/>
  </r>
  <r>
    <n v="1291"/>
    <x v="15"/>
    <s v="Day"/>
    <x v="0"/>
    <n v="2000711984"/>
    <n v="471"/>
    <n v="80"/>
    <n v="0"/>
    <s v="U03968"/>
    <s v="L1105"/>
    <x v="149"/>
    <m/>
    <m/>
    <m/>
    <n v="0"/>
    <m/>
    <m/>
  </r>
  <r>
    <n v="1292"/>
    <x v="15"/>
    <s v="Day"/>
    <x v="0"/>
    <n v="2000711985"/>
    <n v="471"/>
    <n v="100"/>
    <n v="0"/>
    <s v="U03968"/>
    <s v="L1105"/>
    <x v="207"/>
    <m/>
    <m/>
    <m/>
    <n v="0"/>
    <m/>
    <m/>
  </r>
  <r>
    <n v="1293"/>
    <x v="15"/>
    <s v="Day"/>
    <x v="0"/>
    <n v="2000711986"/>
    <n v="471"/>
    <n v="80"/>
    <n v="0"/>
    <s v="U03968"/>
    <s v="L1105"/>
    <x v="208"/>
    <m/>
    <m/>
    <m/>
    <n v="0"/>
    <m/>
    <m/>
  </r>
  <r>
    <n v="1294"/>
    <x v="15"/>
    <s v="Day"/>
    <x v="0"/>
    <n v="2000711377"/>
    <n v="2000"/>
    <n v="150"/>
    <n v="0"/>
    <s v="U03968"/>
    <s v="L1077"/>
    <x v="10"/>
    <m/>
    <m/>
    <m/>
    <n v="0"/>
    <m/>
    <m/>
  </r>
  <r>
    <n v="1295"/>
    <x v="15"/>
    <s v="Day"/>
    <x v="0"/>
    <n v="2000711332"/>
    <n v="1300"/>
    <n v="200"/>
    <n v="0"/>
    <s v="U03968"/>
    <s v="L1174/75"/>
    <x v="62"/>
    <m/>
    <m/>
    <m/>
    <n v="0"/>
    <m/>
    <m/>
  </r>
  <r>
    <n v="1296"/>
    <x v="15"/>
    <s v="Day"/>
    <x v="0"/>
    <n v="2000711381"/>
    <n v="2000"/>
    <n v="140"/>
    <n v="0"/>
    <s v="U36206"/>
    <s v="L1077"/>
    <x v="2"/>
    <m/>
    <m/>
    <m/>
    <n v="0"/>
    <m/>
    <m/>
  </r>
  <r>
    <n v="1297"/>
    <x v="15"/>
    <s v="Day"/>
    <x v="0"/>
    <n v="2000711385"/>
    <n v="500"/>
    <n v="80"/>
    <n v="0"/>
    <s v="U36206"/>
    <s v="L1144/47"/>
    <x v="39"/>
    <m/>
    <m/>
    <m/>
    <n v="0"/>
    <m/>
    <m/>
  </r>
  <r>
    <n v="1298"/>
    <x v="15"/>
    <s v="Day"/>
    <x v="0"/>
    <n v="2000711224"/>
    <n v="2400"/>
    <n v="120"/>
    <n v="0"/>
    <s v="U36206"/>
    <s v="L1144/47"/>
    <x v="59"/>
    <m/>
    <m/>
    <m/>
    <n v="0"/>
    <m/>
    <m/>
  </r>
  <r>
    <n v="1299"/>
    <x v="15"/>
    <s v="Day"/>
    <x v="0"/>
    <n v="2000711388"/>
    <n v="2400"/>
    <n v="130"/>
    <n v="0"/>
    <s v="U36206"/>
    <s v="L1144/47"/>
    <x v="101"/>
    <m/>
    <m/>
    <m/>
    <n v="0"/>
    <m/>
    <m/>
  </r>
  <r>
    <n v="1300"/>
    <x v="15"/>
    <s v="Day"/>
    <x v="0"/>
    <n v="2000711384"/>
    <n v="180"/>
    <n v="20"/>
    <n v="0"/>
    <s v="U36206"/>
    <s v="L1144/47"/>
    <x v="71"/>
    <m/>
    <m/>
    <m/>
    <n v="0"/>
    <m/>
    <m/>
  </r>
  <r>
    <n v="1301"/>
    <x v="15"/>
    <s v="Day"/>
    <x v="0"/>
    <n v="2000711529"/>
    <n v="3700"/>
    <n v="120"/>
    <n v="0"/>
    <s v="U36206"/>
    <s v="L1174/75"/>
    <x v="3"/>
    <m/>
    <m/>
    <m/>
    <n v="0"/>
    <m/>
    <m/>
  </r>
  <r>
    <n v="1302"/>
    <x v="15"/>
    <s v="Day"/>
    <x v="0"/>
    <n v="2000711725"/>
    <n v="480"/>
    <n v="80"/>
    <n v="0"/>
    <s v="U36206"/>
    <s v="L1144/47"/>
    <x v="58"/>
    <m/>
    <m/>
    <m/>
    <n v="0"/>
    <m/>
    <m/>
  </r>
  <r>
    <n v="1303"/>
    <x v="15"/>
    <s v="Day"/>
    <x v="0"/>
    <n v="2000711825"/>
    <n v="1140"/>
    <n v="40"/>
    <n v="0"/>
    <s v="U36206"/>
    <s v="L1144/47"/>
    <x v="59"/>
    <m/>
    <m/>
    <m/>
    <n v="0"/>
    <m/>
    <m/>
  </r>
  <r>
    <n v="1304"/>
    <x v="15"/>
    <s v="Day"/>
    <x v="0"/>
    <n v="2000711361"/>
    <n v="2400"/>
    <n v="100"/>
    <n v="1"/>
    <s v="U05944"/>
    <s v="L1209/10"/>
    <x v="196"/>
    <s v="Dính thiếc "/>
    <m/>
    <s v="IC2"/>
    <n v="1"/>
    <s v="\\vn-file\QC Department\4.OQC\00. OQC Performance\03. Images\01. NG\20210121-NG-1235711361.jpg"/>
    <s v="\\vn-file\QC Department\4.OQC\00. OQC Performance\03. Images\02. OK\20210121-OK-1235711361.jpg"/>
  </r>
  <r>
    <n v="1305"/>
    <x v="15"/>
    <s v="Day"/>
    <x v="0"/>
    <n v="2000711361"/>
    <n v="2400"/>
    <n v="65"/>
    <n v="1"/>
    <s v="U05944"/>
    <s v="L1209/10"/>
    <x v="196"/>
    <s v="Nối chân,cực"/>
    <s v="NỐI ĐƯỜNG ĐIỆN"/>
    <s v="PCB"/>
    <n v="1"/>
    <s v="\\vn-file\QC Department\4.OQC\00. OQC Performance\03. Images\01. NG\20210121-NG-1630711361.jpg"/>
    <s v="\\vn-file\QC Department\4.OQC\00. OQC Performance\03. Images\02. OK\20210121-OK-1630711361.jpg"/>
  </r>
  <r>
    <n v="1306"/>
    <x v="15"/>
    <s v="Day"/>
    <x v="0"/>
    <n v="2000711340"/>
    <n v="2000"/>
    <n v="45"/>
    <n v="0"/>
    <s v="U05944"/>
    <s v="L1209/10"/>
    <x v="196"/>
    <m/>
    <m/>
    <m/>
    <n v="0"/>
    <m/>
    <m/>
  </r>
  <r>
    <n v="1307"/>
    <x v="15"/>
    <s v="Day"/>
    <x v="0"/>
    <n v="2000710671"/>
    <n v="600"/>
    <n v="89"/>
    <n v="0"/>
    <s v="U05944"/>
    <s v="L1172/73"/>
    <x v="103"/>
    <m/>
    <m/>
    <m/>
    <n v="0"/>
    <m/>
    <m/>
  </r>
  <r>
    <n v="1308"/>
    <x v="15"/>
    <s v="Day"/>
    <x v="0"/>
    <n v="2000711683"/>
    <n v="440"/>
    <n v="160"/>
    <n v="0"/>
    <s v="U05944"/>
    <s v="L1188/89"/>
    <x v="130"/>
    <m/>
    <m/>
    <m/>
    <n v="0"/>
    <m/>
    <m/>
  </r>
  <r>
    <n v="1309"/>
    <x v="15"/>
    <s v="Day"/>
    <x v="0"/>
    <n v="2000711068"/>
    <n v="660"/>
    <n v="110"/>
    <n v="0"/>
    <s v="U32991"/>
    <s v="L1193/94"/>
    <x v="146"/>
    <m/>
    <m/>
    <m/>
    <n v="0"/>
    <m/>
    <m/>
  </r>
  <r>
    <n v="1310"/>
    <x v="15"/>
    <s v="Day"/>
    <x v="0"/>
    <n v="2000710876"/>
    <n v="390"/>
    <n v="150"/>
    <n v="0"/>
    <s v="U32991"/>
    <s v="L1193/94"/>
    <x v="146"/>
    <m/>
    <m/>
    <m/>
    <n v="0"/>
    <m/>
    <m/>
  </r>
  <r>
    <n v="1311"/>
    <x v="15"/>
    <s v="Day"/>
    <x v="0"/>
    <n v="2000711544"/>
    <n v="190"/>
    <n v="5"/>
    <n v="0"/>
    <s v="U32991"/>
    <s v="L1151/52"/>
    <x v="154"/>
    <m/>
    <m/>
    <m/>
    <n v="0"/>
    <m/>
    <m/>
  </r>
  <r>
    <n v="1312"/>
    <x v="15"/>
    <s v="Day"/>
    <x v="0"/>
    <n v="2000711361"/>
    <n v="2400"/>
    <n v="17"/>
    <n v="0"/>
    <s v="U29686"/>
    <s v="L1209/10"/>
    <x v="196"/>
    <m/>
    <m/>
    <m/>
    <n v="0"/>
    <m/>
    <m/>
  </r>
  <r>
    <n v="1313"/>
    <x v="15"/>
    <s v="Day"/>
    <x v="0"/>
    <n v="2000710804"/>
    <n v="1030"/>
    <n v="490"/>
    <n v="0"/>
    <s v="U29686"/>
    <s v="L1170/71"/>
    <x v="117"/>
    <m/>
    <m/>
    <m/>
    <n v="0"/>
    <m/>
    <m/>
  </r>
  <r>
    <n v="1314"/>
    <x v="15"/>
    <s v="Day"/>
    <x v="0"/>
    <n v="2000710139"/>
    <n v="994"/>
    <n v="94"/>
    <n v="0"/>
    <s v="U29686"/>
    <s v="L1170/71"/>
    <x v="117"/>
    <m/>
    <m/>
    <m/>
    <n v="0"/>
    <m/>
    <m/>
  </r>
  <r>
    <n v="1315"/>
    <x v="15"/>
    <s v="Day"/>
    <x v="0"/>
    <n v="2000711362"/>
    <n v="720"/>
    <n v="90"/>
    <n v="0"/>
    <s v="U29686"/>
    <s v="L1170/71"/>
    <x v="117"/>
    <m/>
    <m/>
    <m/>
    <n v="0"/>
    <m/>
    <m/>
  </r>
  <r>
    <n v="1316"/>
    <x v="15"/>
    <s v="Day"/>
    <x v="0"/>
    <n v="2000711361"/>
    <n v="2400"/>
    <n v="65"/>
    <n v="0"/>
    <s v="U29686"/>
    <s v="L1209/10"/>
    <x v="196"/>
    <m/>
    <m/>
    <m/>
    <n v="0"/>
    <m/>
    <m/>
  </r>
  <r>
    <n v="1317"/>
    <x v="15"/>
    <s v="Day"/>
    <x v="0"/>
    <n v="2000711544"/>
    <n v="190"/>
    <n v="20"/>
    <n v="0"/>
    <s v="U15759"/>
    <s v="L1151/52"/>
    <x v="154"/>
    <m/>
    <m/>
    <m/>
    <n v="0"/>
    <m/>
    <m/>
  </r>
  <r>
    <n v="1318"/>
    <x v="15"/>
    <s v="Day"/>
    <x v="0"/>
    <n v="2000711361"/>
    <n v="2400"/>
    <n v="180"/>
    <n v="0"/>
    <s v="U15759"/>
    <s v="L1209/10"/>
    <x v="196"/>
    <m/>
    <m/>
    <m/>
    <n v="0"/>
    <m/>
    <m/>
  </r>
  <r>
    <n v="1319"/>
    <x v="15"/>
    <s v="Day"/>
    <x v="0"/>
    <n v="2000708949"/>
    <n v="1020"/>
    <n v="30"/>
    <n v="0"/>
    <s v="U15759"/>
    <s v="L1172/73"/>
    <x v="99"/>
    <m/>
    <m/>
    <m/>
    <n v="0"/>
    <m/>
    <m/>
  </r>
  <r>
    <n v="1320"/>
    <x v="15"/>
    <s v="Day"/>
    <x v="0"/>
    <n v="2000711674"/>
    <n v="2000"/>
    <n v="140"/>
    <n v="0"/>
    <s v="U30840"/>
    <s v="L1172/73"/>
    <x v="18"/>
    <m/>
    <m/>
    <m/>
    <n v="0"/>
    <m/>
    <m/>
  </r>
  <r>
    <n v="1321"/>
    <x v="15"/>
    <s v="Day"/>
    <x v="0"/>
    <n v="2000711389"/>
    <n v="600"/>
    <n v="190"/>
    <n v="0"/>
    <s v="U18660"/>
    <s v="L1193/94"/>
    <x v="146"/>
    <m/>
    <m/>
    <m/>
    <n v="0"/>
    <m/>
    <m/>
  </r>
  <r>
    <n v="1322"/>
    <x v="15"/>
    <s v="Day"/>
    <x v="0"/>
    <n v="2000710876"/>
    <n v="390"/>
    <n v="60"/>
    <n v="0"/>
    <s v="U18660"/>
    <s v="L1193/94"/>
    <x v="146"/>
    <m/>
    <m/>
    <m/>
    <n v="0"/>
    <m/>
    <m/>
  </r>
  <r>
    <n v="1323"/>
    <x v="15"/>
    <s v="Day"/>
    <x v="0"/>
    <n v="2000711068"/>
    <n v="660"/>
    <n v="160"/>
    <n v="0"/>
    <s v="U18660"/>
    <s v="L1193/94"/>
    <x v="146"/>
    <m/>
    <m/>
    <m/>
    <n v="0"/>
    <m/>
    <m/>
  </r>
  <r>
    <n v="1324"/>
    <x v="15"/>
    <s v="Day"/>
    <x v="1"/>
    <n v="2000711503"/>
    <n v="655"/>
    <n v="110"/>
    <n v="0"/>
    <s v="U15759"/>
    <s v="PSLV"/>
    <x v="166"/>
    <m/>
    <m/>
    <m/>
    <n v="0"/>
    <m/>
    <m/>
  </r>
  <r>
    <n v="1325"/>
    <x v="15"/>
    <s v="Day"/>
    <x v="1"/>
    <n v="2000711500"/>
    <n v="380"/>
    <n v="45"/>
    <n v="0"/>
    <s v="U15759"/>
    <s v="PSLV"/>
    <x v="129"/>
    <m/>
    <m/>
    <m/>
    <n v="0"/>
    <m/>
    <m/>
  </r>
  <r>
    <n v="1326"/>
    <x v="15"/>
    <s v="Day"/>
    <x v="1"/>
    <n v="2000711501"/>
    <n v="650"/>
    <n v="175"/>
    <n v="0"/>
    <s v="U15759"/>
    <s v="SHANKS"/>
    <x v="24"/>
    <m/>
    <m/>
    <m/>
    <n v="0"/>
    <m/>
    <m/>
  </r>
  <r>
    <n v="1327"/>
    <x v="15"/>
    <s v="Day"/>
    <x v="1"/>
    <n v="2000711049"/>
    <n v="800"/>
    <n v="180"/>
    <n v="0"/>
    <s v="U15759"/>
    <s v="SHANKS"/>
    <x v="67"/>
    <m/>
    <m/>
    <m/>
    <n v="0"/>
    <m/>
    <m/>
  </r>
  <r>
    <n v="1328"/>
    <x v="15"/>
    <s v="Day"/>
    <x v="1"/>
    <n v="2000711499"/>
    <n v="350"/>
    <n v="80"/>
    <n v="0"/>
    <s v="U15759"/>
    <s v="PSHV"/>
    <x v="96"/>
    <m/>
    <m/>
    <m/>
    <n v="0"/>
    <m/>
    <m/>
  </r>
  <r>
    <n v="1329"/>
    <x v="15"/>
    <s v="Night"/>
    <x v="0"/>
    <n v="2000711068"/>
    <n v="660"/>
    <n v="10"/>
    <n v="0"/>
    <s v="U31065"/>
    <s v="L1193/94"/>
    <x v="146"/>
    <m/>
    <m/>
    <m/>
    <n v="0"/>
    <m/>
    <m/>
  </r>
  <r>
    <n v="1330"/>
    <x v="15"/>
    <s v="Night"/>
    <x v="0"/>
    <n v="2000711389"/>
    <n v="600"/>
    <n v="60"/>
    <n v="0"/>
    <s v="U31065"/>
    <s v="L1193/94"/>
    <x v="146"/>
    <m/>
    <m/>
    <m/>
    <n v="0"/>
    <m/>
    <m/>
  </r>
  <r>
    <n v="1331"/>
    <x v="15"/>
    <s v="Night"/>
    <x v="0"/>
    <n v="2000711722"/>
    <n v="630"/>
    <n v="30"/>
    <n v="0"/>
    <s v="U31065"/>
    <s v="L1193/94"/>
    <x v="104"/>
    <m/>
    <m/>
    <m/>
    <n v="0"/>
    <m/>
    <m/>
  </r>
  <r>
    <n v="1332"/>
    <x v="15"/>
    <s v="Night"/>
    <x v="0"/>
    <n v="2000711390"/>
    <n v="300"/>
    <n v="188"/>
    <n v="0"/>
    <s v="U31065"/>
    <s v="L1193/94"/>
    <x v="116"/>
    <m/>
    <m/>
    <m/>
    <n v="0"/>
    <m/>
    <m/>
  </r>
  <r>
    <n v="1333"/>
    <x v="15"/>
    <s v="Night"/>
    <x v="0"/>
    <n v="2000711068"/>
    <n v="660"/>
    <n v="20"/>
    <n v="0"/>
    <s v="U09854"/>
    <s v="L1193/94"/>
    <x v="146"/>
    <m/>
    <m/>
    <m/>
    <n v="0"/>
    <m/>
    <m/>
  </r>
  <r>
    <n v="1334"/>
    <x v="15"/>
    <s v="Night"/>
    <x v="0"/>
    <n v="2000711234"/>
    <n v="5592"/>
    <n v="1260"/>
    <n v="0"/>
    <s v="U09854"/>
    <s v="L1161/65"/>
    <x v="209"/>
    <m/>
    <m/>
    <m/>
    <n v="0"/>
    <m/>
    <m/>
  </r>
  <r>
    <n v="1335"/>
    <x v="15"/>
    <s v="Night"/>
    <x v="0"/>
    <n v="2000711722"/>
    <n v="630"/>
    <n v="60"/>
    <n v="0"/>
    <s v="U09854"/>
    <s v="L1193/94"/>
    <x v="104"/>
    <m/>
    <m/>
    <m/>
    <n v="0"/>
    <m/>
    <m/>
  </r>
  <r>
    <n v="1336"/>
    <x v="15"/>
    <s v="Night"/>
    <x v="0"/>
    <n v="2000711390"/>
    <n v="300"/>
    <n v="60"/>
    <n v="0"/>
    <s v="U09854"/>
    <s v="L1193/94"/>
    <x v="116"/>
    <m/>
    <m/>
    <m/>
    <n v="0"/>
    <m/>
    <m/>
  </r>
  <r>
    <n v="1337"/>
    <x v="15"/>
    <s v="Night"/>
    <x v="0"/>
    <n v="2000711569"/>
    <n v="1337"/>
    <n v="850"/>
    <n v="0"/>
    <s v="U09854"/>
    <s v="L1151/52"/>
    <x v="173"/>
    <m/>
    <m/>
    <m/>
    <n v="0"/>
    <m/>
    <m/>
  </r>
  <r>
    <n v="1338"/>
    <x v="15"/>
    <s v="Night"/>
    <x v="0"/>
    <n v="2000711544"/>
    <n v="190"/>
    <n v="55"/>
    <n v="0"/>
    <s v="U09749"/>
    <s v="L1151/52"/>
    <x v="154"/>
    <m/>
    <m/>
    <m/>
    <n v="0"/>
    <m/>
    <m/>
  </r>
  <r>
    <n v="1339"/>
    <x v="15"/>
    <s v="Night"/>
    <x v="0"/>
    <n v="2000711529"/>
    <n v="3700"/>
    <n v="100"/>
    <n v="0"/>
    <s v="U30425"/>
    <s v="L1174/75"/>
    <x v="3"/>
    <m/>
    <m/>
    <m/>
    <n v="0"/>
    <m/>
    <m/>
  </r>
  <r>
    <n v="1340"/>
    <x v="15"/>
    <s v="Night"/>
    <x v="0"/>
    <n v="2000711825"/>
    <n v="1140"/>
    <n v="40"/>
    <n v="0"/>
    <s v="U30425"/>
    <s v="L1144/47"/>
    <x v="42"/>
    <m/>
    <m/>
    <m/>
    <n v="0"/>
    <m/>
    <m/>
  </r>
  <r>
    <n v="1341"/>
    <x v="15"/>
    <s v="Night"/>
    <x v="0"/>
    <n v="2000711323"/>
    <n v="1500"/>
    <n v="120"/>
    <n v="0"/>
    <s v="U30425"/>
    <s v="L1168/69"/>
    <x v="37"/>
    <m/>
    <m/>
    <m/>
    <n v="0"/>
    <m/>
    <m/>
  </r>
  <r>
    <n v="1342"/>
    <x v="15"/>
    <s v="Night"/>
    <x v="0"/>
    <n v="2000711537"/>
    <n v="1520"/>
    <n v="120"/>
    <n v="0"/>
    <s v="U30425"/>
    <s v="L1186"/>
    <x v="4"/>
    <m/>
    <m/>
    <m/>
    <n v="0"/>
    <m/>
    <m/>
  </r>
  <r>
    <n v="1343"/>
    <x v="15"/>
    <s v="Night"/>
    <x v="0"/>
    <n v="2000711361"/>
    <n v="2400"/>
    <n v="135"/>
    <n v="0"/>
    <s v="U30425"/>
    <s v="L1209/10"/>
    <x v="196"/>
    <m/>
    <m/>
    <m/>
    <n v="0"/>
    <m/>
    <m/>
  </r>
  <r>
    <n v="1344"/>
    <x v="15"/>
    <s v="Night"/>
    <x v="0"/>
    <n v="2000710293"/>
    <n v="1980"/>
    <n v="992"/>
    <n v="0"/>
    <s v="U27724"/>
    <s v="L1161/65"/>
    <x v="202"/>
    <m/>
    <m/>
    <m/>
    <n v="0"/>
    <m/>
    <m/>
  </r>
  <r>
    <n v="1345"/>
    <x v="15"/>
    <s v="Night"/>
    <x v="0"/>
    <n v="2000711363"/>
    <n v="360"/>
    <n v="315"/>
    <n v="0"/>
    <s v="U27724"/>
    <s v="L1170/71"/>
    <x v="46"/>
    <m/>
    <m/>
    <m/>
    <n v="0"/>
    <m/>
    <m/>
  </r>
  <r>
    <n v="1346"/>
    <x v="15"/>
    <s v="Night"/>
    <x v="0"/>
    <n v="2000710790"/>
    <n v="1980"/>
    <n v="1"/>
    <n v="0"/>
    <s v="U27724"/>
    <s v="L116/65"/>
    <x v="206"/>
    <m/>
    <m/>
    <m/>
    <n v="0"/>
    <m/>
    <m/>
  </r>
  <r>
    <n v="1347"/>
    <x v="15"/>
    <s v="Night"/>
    <x v="0"/>
    <n v="2000711234"/>
    <n v="5592"/>
    <n v="1260"/>
    <n v="0"/>
    <s v="U27724"/>
    <s v="L1161/65"/>
    <x v="209"/>
    <m/>
    <m/>
    <m/>
    <n v="0"/>
    <m/>
    <m/>
  </r>
  <r>
    <n v="1348"/>
    <x v="15"/>
    <s v="Night"/>
    <x v="0"/>
    <n v="2000711362"/>
    <n v="720"/>
    <n v="83"/>
    <n v="0"/>
    <s v="U30119"/>
    <s v="L1170/71"/>
    <x v="117"/>
    <m/>
    <m/>
    <m/>
    <n v="0"/>
    <m/>
    <m/>
  </r>
  <r>
    <n v="1349"/>
    <x v="15"/>
    <s v="Night"/>
    <x v="0"/>
    <n v="2000708959"/>
    <n v="1132"/>
    <n v="90"/>
    <n v="0"/>
    <s v="U30119"/>
    <s v="L1209/10"/>
    <x v="55"/>
    <m/>
    <m/>
    <m/>
    <n v="0"/>
    <m/>
    <m/>
  </r>
  <r>
    <n v="1350"/>
    <x v="15"/>
    <s v="Night"/>
    <x v="0"/>
    <n v="2000711683"/>
    <n v="440"/>
    <n v="100"/>
    <n v="0"/>
    <s v="U36008"/>
    <s v="L1188/89"/>
    <x v="130"/>
    <m/>
    <m/>
    <m/>
    <n v="0"/>
    <m/>
    <m/>
  </r>
  <r>
    <n v="1351"/>
    <x v="15"/>
    <s v="Night"/>
    <x v="0"/>
    <n v="2000711375"/>
    <n v="440"/>
    <n v="360"/>
    <n v="0"/>
    <s v="U36008"/>
    <s v="L1188/89"/>
    <x v="17"/>
    <m/>
    <m/>
    <m/>
    <n v="0"/>
    <m/>
    <m/>
  </r>
  <r>
    <n v="1352"/>
    <x v="15"/>
    <s v="Night"/>
    <x v="0"/>
    <n v="2000711459"/>
    <n v="1800"/>
    <n v="520"/>
    <n v="0"/>
    <s v="U26613"/>
    <s v="L1151/52"/>
    <x v="85"/>
    <m/>
    <m/>
    <m/>
    <n v="0"/>
    <m/>
    <m/>
  </r>
  <r>
    <n v="1353"/>
    <x v="15"/>
    <s v="Night"/>
    <x v="0"/>
    <n v="2000711545"/>
    <n v="2760"/>
    <n v="200"/>
    <n v="0"/>
    <s v="U26613"/>
    <s v="L1174/75"/>
    <x v="139"/>
    <m/>
    <m/>
    <m/>
    <n v="0"/>
    <m/>
    <m/>
  </r>
  <r>
    <n v="1354"/>
    <x v="15"/>
    <s v="Night"/>
    <x v="0"/>
    <n v="2000708024"/>
    <n v="1792"/>
    <n v="96"/>
    <n v="0"/>
    <s v="U26613"/>
    <s v="L1193/94"/>
    <x v="119"/>
    <m/>
    <m/>
    <m/>
    <n v="0"/>
    <m/>
    <m/>
  </r>
  <r>
    <n v="1355"/>
    <x v="15"/>
    <s v="Night"/>
    <x v="0"/>
    <n v="2000710787"/>
    <n v="608"/>
    <n v="400"/>
    <n v="0"/>
    <s v="U26613"/>
    <s v="L1193/94"/>
    <x v="119"/>
    <m/>
    <m/>
    <m/>
    <n v="0"/>
    <m/>
    <m/>
  </r>
  <r>
    <n v="1356"/>
    <x v="15"/>
    <s v="Night"/>
    <x v="0"/>
    <n v="2000712175"/>
    <n v="4008"/>
    <n v="200"/>
    <n v="0"/>
    <s v="U26613"/>
    <s v="L1174/75"/>
    <x v="66"/>
    <m/>
    <m/>
    <m/>
    <n v="0"/>
    <m/>
    <m/>
  </r>
  <r>
    <n v="1357"/>
    <x v="15"/>
    <s v="Night"/>
    <x v="0"/>
    <n v="2000711823"/>
    <n v="1140"/>
    <n v="200"/>
    <n v="0"/>
    <s v="U07492"/>
    <s v="L1144/47"/>
    <x v="63"/>
    <m/>
    <m/>
    <m/>
    <n v="0"/>
    <m/>
    <m/>
  </r>
  <r>
    <n v="1358"/>
    <x v="15"/>
    <s v="Night"/>
    <x v="0"/>
    <n v="2000711535"/>
    <n v="1520"/>
    <n v="200"/>
    <n v="0"/>
    <s v="U07492"/>
    <s v="L1186"/>
    <x v="32"/>
    <m/>
    <m/>
    <m/>
    <n v="0"/>
    <m/>
    <m/>
  </r>
  <r>
    <n v="1359"/>
    <x v="15"/>
    <s v="Night"/>
    <x v="0"/>
    <n v="2000711343"/>
    <n v="3700"/>
    <n v="200"/>
    <n v="0"/>
    <s v="U07492"/>
    <s v="L1174/75"/>
    <x v="62"/>
    <m/>
    <m/>
    <m/>
    <n v="0"/>
    <m/>
    <m/>
  </r>
  <r>
    <n v="1360"/>
    <x v="15"/>
    <s v="Night"/>
    <x v="0"/>
    <n v="2000708959"/>
    <n v="1132"/>
    <n v="119"/>
    <n v="0"/>
    <s v="U23987"/>
    <s v="L1209/10"/>
    <x v="55"/>
    <m/>
    <m/>
    <m/>
    <n v="0"/>
    <m/>
    <m/>
  </r>
  <r>
    <n v="1361"/>
    <x v="15"/>
    <s v="Night"/>
    <x v="0"/>
    <n v="2000711363"/>
    <n v="360"/>
    <n v="45"/>
    <n v="0"/>
    <s v="U23987"/>
    <s v="L1170/71"/>
    <x v="46"/>
    <m/>
    <m/>
    <m/>
    <n v="0"/>
    <m/>
    <m/>
  </r>
  <r>
    <n v="1362"/>
    <x v="15"/>
    <s v="Night"/>
    <x v="0"/>
    <n v="2000711340"/>
    <n v="2000"/>
    <n v="135"/>
    <n v="0"/>
    <s v="U23987"/>
    <s v="L1209/10"/>
    <x v="196"/>
    <m/>
    <m/>
    <m/>
    <n v="0"/>
    <m/>
    <m/>
  </r>
  <r>
    <n v="1363"/>
    <x v="15"/>
    <s v="Night"/>
    <x v="0"/>
    <n v="2000711361"/>
    <n v="2400"/>
    <n v="179"/>
    <n v="0"/>
    <s v="U23987"/>
    <s v="L1209/10"/>
    <x v="196"/>
    <m/>
    <m/>
    <m/>
    <n v="0"/>
    <m/>
    <m/>
  </r>
  <r>
    <n v="1364"/>
    <x v="15"/>
    <s v="Night"/>
    <x v="1"/>
    <n v="2000711500"/>
    <n v="380"/>
    <n v="75"/>
    <n v="0"/>
    <s v="U30119"/>
    <s v="PSLV"/>
    <x v="129"/>
    <m/>
    <m/>
    <m/>
    <n v="0"/>
    <m/>
    <m/>
  </r>
  <r>
    <n v="1365"/>
    <x v="15"/>
    <s v="Night"/>
    <x v="1"/>
    <n v="2000711498"/>
    <n v="1000"/>
    <n v="150"/>
    <n v="0"/>
    <s v="U30119"/>
    <s v="PSHV"/>
    <x v="25"/>
    <m/>
    <m/>
    <m/>
    <n v="0"/>
    <m/>
    <m/>
  </r>
  <r>
    <n v="1366"/>
    <x v="15"/>
    <s v="Night"/>
    <x v="1"/>
    <n v="2000711049"/>
    <n v="800"/>
    <n v="150"/>
    <n v="0"/>
    <s v="U30119"/>
    <s v="SHANKS"/>
    <x v="67"/>
    <m/>
    <m/>
    <m/>
    <n v="0"/>
    <m/>
    <m/>
  </r>
  <r>
    <n v="1367"/>
    <x v="15"/>
    <s v="Night"/>
    <x v="1"/>
    <n v="2000711665"/>
    <n v="130"/>
    <n v="130"/>
    <n v="0"/>
    <s v="U30119"/>
    <s v="PSLV"/>
    <x v="91"/>
    <m/>
    <m/>
    <m/>
    <n v="0"/>
    <m/>
    <m/>
  </r>
  <r>
    <n v="1368"/>
    <x v="15"/>
    <s v="Night"/>
    <x v="1"/>
    <n v="2000710500"/>
    <n v="462"/>
    <n v="12"/>
    <n v="0"/>
    <s v="U30119"/>
    <s v="PSLV"/>
    <x v="49"/>
    <m/>
    <m/>
    <m/>
    <n v="0"/>
    <m/>
    <m/>
  </r>
  <r>
    <n v="1369"/>
    <x v="15"/>
    <s v="Night"/>
    <x v="1"/>
    <n v="2000711636"/>
    <n v="108"/>
    <n v="108"/>
    <n v="0"/>
    <s v="U30119"/>
    <s v="PSLV"/>
    <x v="49"/>
    <m/>
    <m/>
    <m/>
    <n v="0"/>
    <m/>
    <m/>
  </r>
  <r>
    <n v="1370"/>
    <x v="15"/>
    <s v="Night"/>
    <x v="1"/>
    <n v="2000711673"/>
    <n v="800"/>
    <n v="120"/>
    <n v="0"/>
    <s v="U30119"/>
    <s v="SHANKS"/>
    <x v="67"/>
    <m/>
    <m/>
    <m/>
    <n v="0"/>
    <m/>
    <m/>
  </r>
  <r>
    <n v="1371"/>
    <x v="16"/>
    <s v="Day"/>
    <x v="0"/>
    <n v="2000711361"/>
    <n v="2400"/>
    <n v="167"/>
    <n v="0"/>
    <s v="U27687"/>
    <s v="L1209/10"/>
    <x v="196"/>
    <m/>
    <m/>
    <m/>
    <n v="0"/>
    <m/>
    <m/>
  </r>
  <r>
    <n v="1372"/>
    <x v="16"/>
    <s v="Day"/>
    <x v="0"/>
    <n v="2000711002"/>
    <n v="1470"/>
    <n v="30"/>
    <n v="0"/>
    <s v="U27687"/>
    <s v="L1172/73_x0009_"/>
    <x v="99"/>
    <m/>
    <m/>
    <m/>
    <n v="0"/>
    <m/>
    <m/>
  </r>
  <r>
    <n v="1373"/>
    <x v="16"/>
    <s v="Day"/>
    <x v="0"/>
    <n v="2000712032"/>
    <n v="2260"/>
    <n v="90"/>
    <n v="0"/>
    <s v="U27687"/>
    <s v="L1209/10"/>
    <x v="196"/>
    <m/>
    <m/>
    <m/>
    <n v="0"/>
    <m/>
    <m/>
  </r>
  <r>
    <n v="1374"/>
    <x v="16"/>
    <s v="Day"/>
    <x v="0"/>
    <n v="2000711675"/>
    <n v="900"/>
    <n v="80"/>
    <n v="0"/>
    <s v="U27687"/>
    <s v="L1168/69"/>
    <x v="93"/>
    <m/>
    <m/>
    <m/>
    <n v="0"/>
    <m/>
    <m/>
  </r>
  <r>
    <n v="1375"/>
    <x v="16"/>
    <s v="Day"/>
    <x v="0"/>
    <n v="2000711676"/>
    <n v="1500"/>
    <n v="120"/>
    <n v="0"/>
    <s v="U27687"/>
    <s v="L1168/69"/>
    <x v="37"/>
    <m/>
    <m/>
    <m/>
    <n v="0"/>
    <m/>
    <m/>
  </r>
  <r>
    <n v="1376"/>
    <x v="16"/>
    <s v="Day"/>
    <x v="0"/>
    <n v="2000710800"/>
    <n v="540"/>
    <n v="17"/>
    <n v="0"/>
    <s v="U27687"/>
    <s v="L1168/69"/>
    <x v="109"/>
    <m/>
    <m/>
    <m/>
    <n v="0"/>
    <m/>
    <m/>
  </r>
  <r>
    <n v="1377"/>
    <x v="16"/>
    <s v="Day"/>
    <x v="0"/>
    <n v="2000711361"/>
    <n v="2400"/>
    <n v="165"/>
    <n v="0"/>
    <s v="U29686"/>
    <s v="L1209/10"/>
    <x v="196"/>
    <m/>
    <m/>
    <m/>
    <n v="0"/>
    <m/>
    <m/>
  </r>
  <r>
    <n v="1378"/>
    <x v="16"/>
    <s v="Day"/>
    <x v="0"/>
    <n v="2000706583"/>
    <n v="3050"/>
    <n v="5"/>
    <n v="0"/>
    <s v="U29686"/>
    <s v="L1209/10"/>
    <x v="44"/>
    <m/>
    <m/>
    <m/>
    <n v="0"/>
    <m/>
    <m/>
  </r>
  <r>
    <n v="1379"/>
    <x v="16"/>
    <s v="Day"/>
    <x v="0"/>
    <n v="2000711678"/>
    <n v="450"/>
    <n v="424"/>
    <n v="0"/>
    <s v="U29686"/>
    <s v="L1209/10"/>
    <x v="44"/>
    <m/>
    <m/>
    <m/>
    <n v="0"/>
    <m/>
    <m/>
  </r>
  <r>
    <n v="1380"/>
    <x v="16"/>
    <s v="Day"/>
    <x v="0"/>
    <n v="2000708949"/>
    <n v="1020"/>
    <n v="30"/>
    <n v="0"/>
    <s v="U29686"/>
    <s v="L1172/73"/>
    <x v="99"/>
    <m/>
    <m/>
    <m/>
    <n v="0"/>
    <m/>
    <m/>
  </r>
  <r>
    <n v="1381"/>
    <x v="16"/>
    <s v="Day"/>
    <x v="0"/>
    <n v="2000709982"/>
    <n v="960"/>
    <n v="30"/>
    <n v="0"/>
    <s v="U29686"/>
    <s v="L1172/73"/>
    <x v="99"/>
    <m/>
    <m/>
    <m/>
    <n v="0"/>
    <m/>
    <m/>
  </r>
  <r>
    <n v="1382"/>
    <x v="16"/>
    <s v="Day"/>
    <x v="0"/>
    <n v="2000712032"/>
    <n v="2260"/>
    <n v="25"/>
    <n v="0"/>
    <s v="U29686"/>
    <s v="L1209/10"/>
    <x v="196"/>
    <m/>
    <m/>
    <m/>
    <n v="0"/>
    <m/>
    <m/>
  </r>
  <r>
    <n v="1383"/>
    <x v="16"/>
    <s v="Day"/>
    <x v="0"/>
    <n v="2000711361"/>
    <n v="2400"/>
    <n v="180"/>
    <n v="0"/>
    <s v="U15759"/>
    <s v="L1209/10"/>
    <x v="196"/>
    <m/>
    <m/>
    <m/>
    <n v="0"/>
    <m/>
    <m/>
  </r>
  <r>
    <n v="1384"/>
    <x v="16"/>
    <s v="Day"/>
    <x v="0"/>
    <n v="2000711002"/>
    <n v="1470"/>
    <n v="30"/>
    <n v="0"/>
    <s v="U15759"/>
    <s v="L1172/73"/>
    <x v="99"/>
    <m/>
    <m/>
    <m/>
    <n v="0"/>
    <m/>
    <m/>
  </r>
  <r>
    <n v="1385"/>
    <x v="16"/>
    <s v="Day"/>
    <x v="0"/>
    <n v="2000711722"/>
    <n v="630"/>
    <n v="120"/>
    <n v="0"/>
    <s v="U18660"/>
    <s v="L1193/94"/>
    <x v="104"/>
    <m/>
    <m/>
    <m/>
    <n v="0"/>
    <m/>
    <m/>
  </r>
  <r>
    <n v="1386"/>
    <x v="16"/>
    <s v="Day"/>
    <x v="0"/>
    <n v="2000711389"/>
    <n v="600"/>
    <n v="30"/>
    <n v="0"/>
    <s v="U18660"/>
    <s v="L1193/94"/>
    <x v="146"/>
    <m/>
    <m/>
    <m/>
    <n v="0"/>
    <m/>
    <m/>
  </r>
  <r>
    <n v="1387"/>
    <x v="16"/>
    <s v="Day"/>
    <x v="0"/>
    <n v="2000711361"/>
    <n v="2400"/>
    <n v="90"/>
    <n v="0"/>
    <s v="U18660"/>
    <s v="L1209/10"/>
    <x v="196"/>
    <m/>
    <m/>
    <m/>
    <n v="0"/>
    <m/>
    <m/>
  </r>
  <r>
    <n v="1388"/>
    <x v="16"/>
    <s v="Day"/>
    <x v="0"/>
    <n v="2000710800"/>
    <n v="540"/>
    <n v="225"/>
    <n v="0"/>
    <s v="U18660"/>
    <s v="L1188/89"/>
    <x v="109"/>
    <m/>
    <m/>
    <m/>
    <n v="0"/>
    <m/>
    <m/>
  </r>
  <r>
    <n v="1389"/>
    <x v="16"/>
    <s v="Day"/>
    <x v="0"/>
    <n v="2000711002"/>
    <n v="1470"/>
    <n v="60"/>
    <n v="0"/>
    <s v="U18660"/>
    <s v="L1172/73"/>
    <x v="99"/>
    <m/>
    <m/>
    <m/>
    <n v="0"/>
    <m/>
    <m/>
  </r>
  <r>
    <n v="1390"/>
    <x v="16"/>
    <s v="Day"/>
    <x v="0"/>
    <n v="2000709982"/>
    <n v="960"/>
    <n v="60"/>
    <n v="0"/>
    <s v="U18660"/>
    <s v="L1172/73"/>
    <x v="99"/>
    <m/>
    <m/>
    <m/>
    <n v="0"/>
    <m/>
    <m/>
  </r>
  <r>
    <n v="1391"/>
    <x v="16"/>
    <s v="Day"/>
    <x v="0"/>
    <n v="2000708949"/>
    <n v="1020"/>
    <n v="30"/>
    <n v="0"/>
    <s v="U18660"/>
    <s v="L1172/73"/>
    <x v="99"/>
    <m/>
    <m/>
    <m/>
    <n v="0"/>
    <m/>
    <m/>
  </r>
  <r>
    <n v="1392"/>
    <x v="16"/>
    <s v="Day"/>
    <x v="0"/>
    <n v="2000711822"/>
    <n v="1140"/>
    <n v="200"/>
    <n v="0"/>
    <s v="U03968"/>
    <s v="L1144/47"/>
    <x v="64"/>
    <m/>
    <m/>
    <m/>
    <n v="0"/>
    <m/>
    <m/>
  </r>
  <r>
    <n v="1393"/>
    <x v="16"/>
    <s v="Day"/>
    <x v="0"/>
    <n v="2000711534"/>
    <n v="1520"/>
    <n v="200"/>
    <n v="0"/>
    <s v="U03968"/>
    <s v="L1186"/>
    <x v="34"/>
    <m/>
    <m/>
    <m/>
    <n v="0"/>
    <m/>
    <m/>
  </r>
  <r>
    <n v="1394"/>
    <x v="16"/>
    <s v="Day"/>
    <x v="0"/>
    <n v="2000711862"/>
    <n v="2000"/>
    <n v="200"/>
    <n v="0"/>
    <s v="U03968"/>
    <s v="L1077"/>
    <x v="33"/>
    <m/>
    <m/>
    <m/>
    <n v="0"/>
    <m/>
    <m/>
  </r>
  <r>
    <n v="1395"/>
    <x v="16"/>
    <s v="Day"/>
    <x v="0"/>
    <n v="2000711459"/>
    <n v="1800"/>
    <n v="200"/>
    <n v="0"/>
    <s v="U03968"/>
    <s v="L1151/52"/>
    <x v="210"/>
    <m/>
    <m/>
    <m/>
    <n v="0"/>
    <m/>
    <m/>
  </r>
  <r>
    <n v="1396"/>
    <x v="16"/>
    <s v="Day"/>
    <x v="0"/>
    <n v="2000711466"/>
    <n v="120"/>
    <n v="118"/>
    <n v="0"/>
    <s v="U03968"/>
    <s v="L1151/52"/>
    <x v="210"/>
    <m/>
    <m/>
    <m/>
    <n v="0"/>
    <m/>
    <m/>
  </r>
  <r>
    <n v="1397"/>
    <x v="16"/>
    <s v="Day"/>
    <x v="0"/>
    <n v="2000711536"/>
    <n v="1520"/>
    <n v="150"/>
    <n v="0"/>
    <s v="U03968"/>
    <s v="L1186"/>
    <x v="35"/>
    <m/>
    <m/>
    <m/>
    <n v="0"/>
    <m/>
    <m/>
  </r>
  <r>
    <n v="1398"/>
    <x v="16"/>
    <s v="Day"/>
    <x v="0"/>
    <n v="2000711824"/>
    <n v="1140"/>
    <n v="150"/>
    <n v="0"/>
    <s v="U03968"/>
    <s v="L1144/47"/>
    <x v="74"/>
    <m/>
    <m/>
    <m/>
    <n v="0"/>
    <m/>
    <m/>
  </r>
  <r>
    <n v="1399"/>
    <x v="16"/>
    <s v="Day"/>
    <x v="0"/>
    <n v="2000711379"/>
    <n v="2000"/>
    <n v="200"/>
    <n v="0"/>
    <s v="U03968"/>
    <s v="L1077"/>
    <x v="6"/>
    <m/>
    <m/>
    <m/>
    <n v="0"/>
    <m/>
    <m/>
  </r>
  <r>
    <n v="1400"/>
    <x v="16"/>
    <s v="Day"/>
    <x v="0"/>
    <n v="2000711864"/>
    <n v="2000"/>
    <n v="200"/>
    <n v="0"/>
    <s v="U03968"/>
    <s v="L1077"/>
    <x v="36"/>
    <m/>
    <m/>
    <m/>
    <n v="0"/>
    <m/>
    <m/>
  </r>
  <r>
    <n v="1401"/>
    <x v="16"/>
    <s v="Day"/>
    <x v="0"/>
    <n v="2000710295"/>
    <n v="360"/>
    <n v="160"/>
    <n v="0"/>
    <s v="U03968"/>
    <s v="L1151/52"/>
    <x v="211"/>
    <m/>
    <m/>
    <m/>
    <n v="0"/>
    <m/>
    <m/>
  </r>
  <r>
    <n v="1402"/>
    <x v="16"/>
    <s v="Day"/>
    <x v="0"/>
    <n v="2000711834"/>
    <n v="3960"/>
    <n v="240"/>
    <n v="0"/>
    <s v="U03968"/>
    <s v="L1172/73"/>
    <x v="7"/>
    <m/>
    <m/>
    <m/>
    <n v="0"/>
    <m/>
    <m/>
  </r>
  <r>
    <n v="1403"/>
    <x v="16"/>
    <s v="Day"/>
    <x v="0"/>
    <n v="2000711722"/>
    <n v="630"/>
    <n v="120"/>
    <n v="0"/>
    <s v="U32991"/>
    <s v="L1193/94"/>
    <x v="104"/>
    <m/>
    <m/>
    <m/>
    <n v="0"/>
    <m/>
    <m/>
  </r>
  <r>
    <n v="1404"/>
    <x v="16"/>
    <s v="Day"/>
    <x v="0"/>
    <n v="2000711389"/>
    <n v="600"/>
    <n v="120"/>
    <n v="0"/>
    <s v="U32991"/>
    <s v="L1193/94"/>
    <x v="146"/>
    <m/>
    <m/>
    <m/>
    <n v="0"/>
    <m/>
    <m/>
  </r>
  <r>
    <n v="1405"/>
    <x v="16"/>
    <s v="Day"/>
    <x v="0"/>
    <n v="2000712305"/>
    <n v="1800"/>
    <n v="140"/>
    <n v="0"/>
    <s v="U32991"/>
    <s v="L1172/73"/>
    <x v="83"/>
    <m/>
    <m/>
    <m/>
    <n v="0"/>
    <m/>
    <m/>
  </r>
  <r>
    <n v="1406"/>
    <x v="16"/>
    <s v="Day"/>
    <x v="0"/>
    <n v="2000711376"/>
    <n v="120"/>
    <n v="40"/>
    <n v="0"/>
    <s v="U32991"/>
    <s v="L1188/89"/>
    <x v="54"/>
    <m/>
    <m/>
    <m/>
    <n v="0"/>
    <m/>
    <m/>
  </r>
  <r>
    <n v="1407"/>
    <x v="16"/>
    <s v="Day"/>
    <x v="0"/>
    <n v="2000712237"/>
    <n v="156"/>
    <n v="30"/>
    <n v="0"/>
    <s v="U32991"/>
    <s v="L1151/52"/>
    <x v="154"/>
    <m/>
    <m/>
    <m/>
    <n v="0"/>
    <m/>
    <m/>
  </r>
  <r>
    <n v="1408"/>
    <x v="16"/>
    <s v="Day"/>
    <x v="0"/>
    <n v="2000711375"/>
    <n v="440"/>
    <n v="40"/>
    <n v="0"/>
    <s v="U27723"/>
    <s v="L1188/89"/>
    <x v="17"/>
    <m/>
    <m/>
    <m/>
    <n v="0"/>
    <m/>
    <m/>
  </r>
  <r>
    <n v="1409"/>
    <x v="16"/>
    <s v="Day"/>
    <x v="0"/>
    <n v="2000710515"/>
    <n v="600"/>
    <n v="150"/>
    <n v="0"/>
    <s v="U27723"/>
    <s v="L1172/73"/>
    <x v="165"/>
    <m/>
    <m/>
    <m/>
    <n v="0"/>
    <m/>
    <m/>
  </r>
  <r>
    <n v="1410"/>
    <x v="16"/>
    <s v="Day"/>
    <x v="0"/>
    <n v="2000711458"/>
    <n v="1980"/>
    <n v="660"/>
    <n v="0"/>
    <s v="U27723"/>
    <s v="L1151/52"/>
    <x v="167"/>
    <m/>
    <m/>
    <m/>
    <n v="0"/>
    <m/>
    <m/>
  </r>
  <r>
    <n v="1411"/>
    <x v="16"/>
    <s v="Day"/>
    <x v="0"/>
    <n v="2000712282"/>
    <n v="992"/>
    <n v="80"/>
    <n v="0"/>
    <s v="U27723"/>
    <s v="L1128/29"/>
    <x v="11"/>
    <m/>
    <m/>
    <m/>
    <n v="0"/>
    <m/>
    <m/>
  </r>
  <r>
    <n v="1412"/>
    <x v="16"/>
    <s v="Day"/>
    <x v="0"/>
    <n v="2000710475"/>
    <n v="1824"/>
    <n v="120"/>
    <n v="0"/>
    <s v="U27723"/>
    <s v="L1112/13"/>
    <x v="8"/>
    <m/>
    <m/>
    <m/>
    <n v="0"/>
    <m/>
    <m/>
  </r>
  <r>
    <n v="1413"/>
    <x v="16"/>
    <s v="Day"/>
    <x v="0"/>
    <n v="2000711458"/>
    <n v="1982"/>
    <n v="330"/>
    <n v="0"/>
    <s v="U27723"/>
    <s v="L1151/52"/>
    <x v="167"/>
    <m/>
    <m/>
    <m/>
    <n v="0"/>
    <m/>
    <m/>
  </r>
  <r>
    <n v="1414"/>
    <x v="16"/>
    <s v="Day"/>
    <x v="0"/>
    <n v="2000711375"/>
    <n v="440"/>
    <n v="40"/>
    <n v="0"/>
    <s v="U05944"/>
    <s v="L1188/89"/>
    <x v="17"/>
    <m/>
    <m/>
    <m/>
    <n v="0"/>
    <m/>
    <m/>
  </r>
  <r>
    <n v="1415"/>
    <x v="16"/>
    <s v="Day"/>
    <x v="0"/>
    <n v="2000711494"/>
    <n v="594"/>
    <n v="21"/>
    <n v="0"/>
    <s v="U05944"/>
    <s v="L1188/89"/>
    <x v="17"/>
    <m/>
    <m/>
    <m/>
    <n v="0"/>
    <m/>
    <m/>
  </r>
  <r>
    <n v="1416"/>
    <x v="16"/>
    <s v="Day"/>
    <x v="0"/>
    <n v="2000711376"/>
    <n v="120"/>
    <n v="80"/>
    <n v="0"/>
    <s v="U05944"/>
    <s v="L1188/89"/>
    <x v="54"/>
    <m/>
    <m/>
    <m/>
    <n v="0"/>
    <m/>
    <m/>
  </r>
  <r>
    <n v="1417"/>
    <x v="16"/>
    <s v="Day"/>
    <x v="0"/>
    <n v="2000712279"/>
    <n v="400"/>
    <n v="200"/>
    <n v="0"/>
    <s v="U05944"/>
    <s v="L1188/89"/>
    <x v="95"/>
    <m/>
    <m/>
    <m/>
    <n v="0"/>
    <m/>
    <m/>
  </r>
  <r>
    <n v="1418"/>
    <x v="16"/>
    <s v="Day"/>
    <x v="0"/>
    <n v="2000711684"/>
    <n v="120"/>
    <n v="20"/>
    <n v="0"/>
    <s v="U05944"/>
    <s v="L1188/89"/>
    <x v="178"/>
    <m/>
    <m/>
    <m/>
    <n v="0"/>
    <m/>
    <m/>
  </r>
  <r>
    <n v="1419"/>
    <x v="16"/>
    <s v="Day"/>
    <x v="0"/>
    <n v="2000711865"/>
    <n v="2000"/>
    <n v="140"/>
    <n v="0"/>
    <s v="U36206"/>
    <s v="L1077"/>
    <x v="2"/>
    <m/>
    <m/>
    <m/>
    <n v="0"/>
    <m/>
    <m/>
  </r>
  <r>
    <n v="1420"/>
    <x v="16"/>
    <s v="Day"/>
    <x v="0"/>
    <n v="2000712253"/>
    <n v="100"/>
    <n v="20"/>
    <n v="0"/>
    <s v="U36206"/>
    <s v="L1182"/>
    <x v="137"/>
    <m/>
    <m/>
    <m/>
    <n v="0"/>
    <m/>
    <m/>
  </r>
  <r>
    <n v="1421"/>
    <x v="16"/>
    <s v="Day"/>
    <x v="0"/>
    <n v="2000711768"/>
    <n v="1000"/>
    <n v="100"/>
    <n v="0"/>
    <s v="U36206"/>
    <s v="L1144/47"/>
    <x v="89"/>
    <m/>
    <m/>
    <m/>
    <n v="0"/>
    <m/>
    <m/>
  </r>
  <r>
    <n v="1422"/>
    <x v="16"/>
    <s v="Day"/>
    <x v="0"/>
    <n v="2000711815"/>
    <n v="2600"/>
    <n v="200"/>
    <n v="0"/>
    <s v="U36206"/>
    <s v="L1174/75"/>
    <x v="40"/>
    <m/>
    <m/>
    <m/>
    <n v="0"/>
    <m/>
    <m/>
  </r>
  <r>
    <n v="1423"/>
    <x v="16"/>
    <s v="Day"/>
    <x v="0"/>
    <n v="2000711804"/>
    <n v="2400"/>
    <n v="80"/>
    <n v="0"/>
    <s v="U36206"/>
    <s v="L1144/47"/>
    <x v="59"/>
    <m/>
    <m/>
    <m/>
    <n v="0"/>
    <m/>
    <m/>
  </r>
  <r>
    <n v="1424"/>
    <x v="16"/>
    <s v="Day"/>
    <x v="1"/>
    <n v="2000711671"/>
    <n v="270"/>
    <n v="120"/>
    <n v="0"/>
    <s v="U15759"/>
    <s v="SHANKS"/>
    <x v="147"/>
    <m/>
    <m/>
    <m/>
    <n v="0"/>
    <m/>
    <m/>
  </r>
  <r>
    <n v="1425"/>
    <x v="16"/>
    <s v="Day"/>
    <x v="1"/>
    <n v="2000711672"/>
    <n v="60"/>
    <n v="30"/>
    <n v="0"/>
    <s v="U15759"/>
    <s v="SHANKS"/>
    <x v="108"/>
    <m/>
    <m/>
    <m/>
    <n v="0"/>
    <m/>
    <m/>
  </r>
  <r>
    <n v="1426"/>
    <x v="16"/>
    <s v="Day"/>
    <x v="1"/>
    <n v="2000711662"/>
    <n v="650"/>
    <n v="175"/>
    <n v="0"/>
    <s v="U15759"/>
    <s v="SHANKS"/>
    <x v="24"/>
    <m/>
    <m/>
    <m/>
    <n v="0"/>
    <m/>
    <m/>
  </r>
  <r>
    <n v="1427"/>
    <x v="16"/>
    <s v="Day"/>
    <x v="1"/>
    <n v="2000711959"/>
    <n v="600"/>
    <n v="120"/>
    <n v="0"/>
    <s v="U15759"/>
    <s v="PSLV"/>
    <x v="153"/>
    <m/>
    <m/>
    <m/>
    <n v="0"/>
    <m/>
    <m/>
  </r>
  <r>
    <n v="1428"/>
    <x v="16"/>
    <s v="Day"/>
    <x v="1"/>
    <n v="2000711660"/>
    <n v="945"/>
    <n v="100"/>
    <n v="0"/>
    <s v="U15759"/>
    <s v="PSHV"/>
    <x v="26"/>
    <m/>
    <m/>
    <m/>
    <n v="0"/>
    <m/>
    <m/>
  </r>
  <r>
    <n v="1429"/>
    <x v="16"/>
    <s v="Day"/>
    <x v="1"/>
    <n v="2000711965"/>
    <n v="800"/>
    <n v="180"/>
    <n v="0"/>
    <s v="U15759"/>
    <s v="SHANKS"/>
    <x v="67"/>
    <m/>
    <m/>
    <m/>
    <n v="0"/>
    <m/>
    <m/>
  </r>
  <r>
    <n v="1430"/>
    <x v="16"/>
    <s v="Day"/>
    <x v="1"/>
    <n v="2000711966"/>
    <n v="660"/>
    <n v="30"/>
    <n v="0"/>
    <s v="U15759"/>
    <s v="SHANKS"/>
    <x v="22"/>
    <m/>
    <m/>
    <m/>
    <n v="0"/>
    <m/>
    <m/>
  </r>
  <r>
    <n v="1431"/>
    <x v="16"/>
    <s v="Night"/>
    <x v="0"/>
    <n v="2000711002"/>
    <n v="1470"/>
    <n v="60"/>
    <n v="0"/>
    <s v="U30425"/>
    <s v="L1172/73"/>
    <x v="99"/>
    <m/>
    <m/>
    <m/>
    <n v="0"/>
    <m/>
    <m/>
  </r>
  <r>
    <n v="1432"/>
    <x v="16"/>
    <s v="Night"/>
    <x v="0"/>
    <n v="2000711804"/>
    <n v="2400"/>
    <n v="40"/>
    <n v="0"/>
    <s v="U30425"/>
    <s v="L1144/47"/>
    <x v="59"/>
    <m/>
    <m/>
    <m/>
    <n v="0"/>
    <m/>
    <m/>
  </r>
  <r>
    <n v="1433"/>
    <x v="16"/>
    <s v="Night"/>
    <x v="0"/>
    <n v="2000711769"/>
    <n v="280"/>
    <n v="20"/>
    <n v="0"/>
    <s v="U30425"/>
    <s v="L1144/47"/>
    <x v="1"/>
    <m/>
    <m/>
    <m/>
    <n v="0"/>
    <m/>
    <m/>
  </r>
  <r>
    <n v="1434"/>
    <x v="16"/>
    <s v="Night"/>
    <x v="0"/>
    <n v="2000712034"/>
    <n v="600"/>
    <n v="40"/>
    <n v="0"/>
    <s v="U30425"/>
    <s v="L1168/69"/>
    <x v="93"/>
    <m/>
    <m/>
    <m/>
    <n v="0"/>
    <m/>
    <m/>
  </r>
  <r>
    <n v="1435"/>
    <x v="16"/>
    <s v="Night"/>
    <x v="0"/>
    <n v="2000711722"/>
    <n v="630"/>
    <n v="90"/>
    <n v="0"/>
    <s v="U30425"/>
    <s v="L1193/94"/>
    <x v="104"/>
    <m/>
    <m/>
    <m/>
    <n v="0"/>
    <m/>
    <m/>
  </r>
  <r>
    <n v="1436"/>
    <x v="16"/>
    <s v="Night"/>
    <x v="0"/>
    <n v="2000711390"/>
    <n v="300"/>
    <n v="60"/>
    <n v="0"/>
    <s v="U30425"/>
    <s v="L1193/94"/>
    <x v="116"/>
    <m/>
    <m/>
    <m/>
    <n v="0"/>
    <m/>
    <m/>
  </r>
  <r>
    <n v="1437"/>
    <x v="16"/>
    <s v="Night"/>
    <x v="0"/>
    <n v="2000711234"/>
    <n v="5592"/>
    <n v="552"/>
    <n v="0"/>
    <s v="U27724"/>
    <s v="L1161/65"/>
    <x v="209"/>
    <m/>
    <m/>
    <m/>
    <n v="0"/>
    <m/>
    <m/>
  </r>
  <r>
    <n v="1438"/>
    <x v="16"/>
    <s v="Night"/>
    <x v="0"/>
    <n v="2000711803"/>
    <n v="2400"/>
    <n v="150"/>
    <n v="0"/>
    <s v="U27724"/>
    <s v="L1144/47"/>
    <x v="13"/>
    <m/>
    <m/>
    <m/>
    <n v="0"/>
    <m/>
    <m/>
  </r>
  <r>
    <n v="1439"/>
    <x v="16"/>
    <s v="Night"/>
    <x v="0"/>
    <n v="2000711801"/>
    <n v="2400"/>
    <n v="200"/>
    <n v="0"/>
    <s v="U27724"/>
    <s v="L1144/47"/>
    <x v="92"/>
    <m/>
    <m/>
    <m/>
    <n v="0"/>
    <m/>
    <m/>
  </r>
  <r>
    <n v="1440"/>
    <x v="16"/>
    <s v="Night"/>
    <x v="0"/>
    <n v="2000712254"/>
    <n v="100"/>
    <n v="100"/>
    <n v="0"/>
    <s v="U27724"/>
    <s v="L1182"/>
    <x v="144"/>
    <m/>
    <m/>
    <m/>
    <n v="0"/>
    <m/>
    <m/>
  </r>
  <r>
    <n v="1441"/>
    <x v="16"/>
    <s v="Night"/>
    <x v="0"/>
    <n v="2000711812"/>
    <n v="1200"/>
    <n v="100"/>
    <n v="0"/>
    <s v="U27724"/>
    <s v="L1174/75"/>
    <x v="62"/>
    <m/>
    <m/>
    <m/>
    <n v="0"/>
    <m/>
    <m/>
  </r>
  <r>
    <n v="1442"/>
    <x v="16"/>
    <s v="Night"/>
    <x v="0"/>
    <n v="2000711861"/>
    <n v="2000"/>
    <n v="150"/>
    <n v="0"/>
    <s v="U27724"/>
    <s v="L1077"/>
    <x v="10"/>
    <m/>
    <m/>
    <m/>
    <n v="0"/>
    <m/>
    <m/>
  </r>
  <r>
    <n v="1443"/>
    <x v="16"/>
    <s v="Night"/>
    <x v="0"/>
    <n v="2000711813"/>
    <n v="2600"/>
    <n v="200"/>
    <n v="0"/>
    <s v="U27724"/>
    <s v="L1174/75"/>
    <x v="62"/>
    <m/>
    <m/>
    <m/>
    <n v="0"/>
    <m/>
    <m/>
  </r>
  <r>
    <n v="1444"/>
    <x v="16"/>
    <s v="Night"/>
    <x v="0"/>
    <n v="2000711569"/>
    <n v="1337"/>
    <n v="478"/>
    <n v="0"/>
    <s v="U27724"/>
    <s v="L1151/52"/>
    <x v="173"/>
    <m/>
    <m/>
    <m/>
    <n v="0"/>
    <m/>
    <m/>
  </r>
  <r>
    <n v="1445"/>
    <x v="16"/>
    <s v="Night"/>
    <x v="0"/>
    <n v="2000711801"/>
    <n v="2400"/>
    <n v="200"/>
    <n v="0"/>
    <s v="U27724"/>
    <s v="L1144/47"/>
    <x v="92"/>
    <m/>
    <m/>
    <m/>
    <n v="0"/>
    <m/>
    <m/>
  </r>
  <r>
    <n v="1446"/>
    <x v="16"/>
    <s v="Night"/>
    <x v="0"/>
    <n v="2000711854"/>
    <n v="1808"/>
    <n v="800"/>
    <n v="0"/>
    <s v="U27724"/>
    <s v="L1193/94"/>
    <x v="119"/>
    <m/>
    <m/>
    <m/>
    <n v="0"/>
    <m/>
    <m/>
  </r>
  <r>
    <n v="1447"/>
    <x v="16"/>
    <s v="Night"/>
    <x v="0"/>
    <n v="2000711802"/>
    <n v="2400"/>
    <n v="150"/>
    <n v="0"/>
    <s v="U26613"/>
    <s v="L1144/47"/>
    <x v="77"/>
    <m/>
    <m/>
    <m/>
    <n v="0"/>
    <m/>
    <m/>
  </r>
  <r>
    <n v="1448"/>
    <x v="16"/>
    <s v="Night"/>
    <x v="0"/>
    <n v="2000710787"/>
    <n v="608"/>
    <n v="208"/>
    <n v="0"/>
    <s v="U26613"/>
    <s v="L1193/94"/>
    <x v="119"/>
    <m/>
    <m/>
    <m/>
    <n v="0"/>
    <m/>
    <m/>
  </r>
  <r>
    <n v="1449"/>
    <x v="16"/>
    <s v="Night"/>
    <x v="0"/>
    <n v="2000712255"/>
    <n v="100"/>
    <n v="100"/>
    <n v="0"/>
    <s v="U26613"/>
    <s v="L1182"/>
    <x v="142"/>
    <m/>
    <m/>
    <m/>
    <n v="0"/>
    <m/>
    <m/>
  </r>
  <r>
    <n v="1450"/>
    <x v="16"/>
    <s v="Night"/>
    <x v="0"/>
    <n v="2000712256"/>
    <n v="100"/>
    <n v="100"/>
    <n v="0"/>
    <s v="U26613"/>
    <s v="L1182"/>
    <x v="143"/>
    <m/>
    <m/>
    <m/>
    <n v="0"/>
    <m/>
    <m/>
  </r>
  <r>
    <n v="1451"/>
    <x v="16"/>
    <s v="Night"/>
    <x v="0"/>
    <n v="2000710295"/>
    <n v="360"/>
    <n v="200"/>
    <n v="0"/>
    <s v="U26613"/>
    <s v="L1151/52"/>
    <x v="185"/>
    <m/>
    <m/>
    <m/>
    <n v="0"/>
    <m/>
    <m/>
  </r>
  <r>
    <n v="1452"/>
    <x v="16"/>
    <s v="Night"/>
    <x v="0"/>
    <n v="2000711833"/>
    <n v="7800"/>
    <n v="300"/>
    <n v="0"/>
    <s v="U26613"/>
    <s v="L1112/13"/>
    <x v="75"/>
    <m/>
    <m/>
    <m/>
    <n v="0"/>
    <m/>
    <m/>
  </r>
  <r>
    <n v="1453"/>
    <x v="16"/>
    <s v="Night"/>
    <x v="0"/>
    <n v="2000711827"/>
    <n v="3600"/>
    <n v="200"/>
    <n v="0"/>
    <s v="U26613"/>
    <s v="L1144/47"/>
    <x v="14"/>
    <m/>
    <m/>
    <m/>
    <n v="0"/>
    <m/>
    <m/>
  </r>
  <r>
    <n v="1454"/>
    <x v="16"/>
    <s v="Night"/>
    <x v="0"/>
    <n v="2000712237"/>
    <n v="136"/>
    <n v="126"/>
    <n v="0"/>
    <s v="U31065"/>
    <s v="L1151/52"/>
    <x v="154"/>
    <m/>
    <m/>
    <m/>
    <n v="0"/>
    <m/>
    <m/>
  </r>
  <r>
    <n v="1455"/>
    <x v="16"/>
    <s v="Night"/>
    <x v="0"/>
    <n v="2000712344"/>
    <n v="112"/>
    <n v="20"/>
    <n v="0"/>
    <s v="U31065"/>
    <s v="L1151/52"/>
    <x v="154"/>
    <m/>
    <m/>
    <m/>
    <n v="0"/>
    <m/>
    <m/>
  </r>
  <r>
    <n v="1456"/>
    <x v="16"/>
    <s v="Night"/>
    <x v="0"/>
    <n v="2000711002"/>
    <n v="1470"/>
    <n v="60"/>
    <n v="0"/>
    <s v="U31065"/>
    <s v="L1172/73"/>
    <x v="99"/>
    <m/>
    <m/>
    <m/>
    <n v="0"/>
    <m/>
    <m/>
  </r>
  <r>
    <n v="1457"/>
    <x v="16"/>
    <s v="Night"/>
    <x v="0"/>
    <n v="2000711684"/>
    <n v="120"/>
    <n v="100"/>
    <n v="0"/>
    <s v="U36008"/>
    <s v="L1188/89"/>
    <x v="178"/>
    <m/>
    <m/>
    <m/>
    <n v="0"/>
    <m/>
    <m/>
  </r>
  <r>
    <n v="1458"/>
    <x v="16"/>
    <s v="Night"/>
    <x v="0"/>
    <n v="2000712049"/>
    <n v="40"/>
    <n v="40"/>
    <n v="0"/>
    <s v="U36008"/>
    <s v="L1188/89"/>
    <x v="98"/>
    <m/>
    <m/>
    <m/>
    <n v="0"/>
    <m/>
    <m/>
  </r>
  <r>
    <n v="1459"/>
    <x v="16"/>
    <s v="Night"/>
    <x v="0"/>
    <n v="2000712279"/>
    <n v="400"/>
    <n v="199"/>
    <n v="0"/>
    <s v="U36008"/>
    <s v="L1188/89"/>
    <x v="95"/>
    <m/>
    <m/>
    <m/>
    <n v="0"/>
    <m/>
    <m/>
  </r>
  <r>
    <n v="1460"/>
    <x v="16"/>
    <s v="Night"/>
    <x v="0"/>
    <n v="2000712047"/>
    <n v="40"/>
    <n v="40"/>
    <n v="0"/>
    <s v="U36008"/>
    <s v="L1188/89"/>
    <x v="212"/>
    <m/>
    <m/>
    <m/>
    <n v="0"/>
    <m/>
    <m/>
  </r>
  <r>
    <n v="1461"/>
    <x v="16"/>
    <s v="Night"/>
    <x v="0"/>
    <n v="2000708983"/>
    <n v="280"/>
    <n v="1"/>
    <n v="0"/>
    <s v="U36008"/>
    <s v="L1188/89"/>
    <x v="98"/>
    <m/>
    <m/>
    <m/>
    <n v="0"/>
    <m/>
    <m/>
  </r>
  <r>
    <n v="1462"/>
    <x v="16"/>
    <s v="Night"/>
    <x v="0"/>
    <n v="2000709637"/>
    <n v="280"/>
    <n v="1"/>
    <n v="0"/>
    <s v="U36008"/>
    <s v="L1188/89"/>
    <x v="168"/>
    <m/>
    <m/>
    <m/>
    <n v="0"/>
    <m/>
    <m/>
  </r>
  <r>
    <n v="1463"/>
    <x v="16"/>
    <s v="Night"/>
    <x v="0"/>
    <n v="2000712280"/>
    <n v="400"/>
    <n v="120"/>
    <n v="0"/>
    <s v="U36008"/>
    <s v="L1188/89"/>
    <x v="168"/>
    <m/>
    <m/>
    <m/>
    <n v="0"/>
    <m/>
    <m/>
  </r>
  <r>
    <n v="1464"/>
    <x v="16"/>
    <s v="Night"/>
    <x v="0"/>
    <n v="2000711002"/>
    <n v="1470"/>
    <n v="60"/>
    <n v="0"/>
    <s v="U09854"/>
    <s v="L1172/73"/>
    <x v="99"/>
    <m/>
    <m/>
    <m/>
    <n v="0"/>
    <m/>
    <m/>
  </r>
  <r>
    <n v="1465"/>
    <x v="16"/>
    <s v="Night"/>
    <x v="0"/>
    <n v="2000712032"/>
    <n v="2260"/>
    <n v="120"/>
    <n v="0"/>
    <s v="U09854"/>
    <s v="L1209/10"/>
    <x v="196"/>
    <m/>
    <m/>
    <m/>
    <n v="0"/>
    <m/>
    <m/>
  </r>
  <r>
    <n v="1466"/>
    <x v="16"/>
    <s v="Night"/>
    <x v="0"/>
    <n v="2000707772"/>
    <n v="910"/>
    <n v="90"/>
    <n v="0"/>
    <s v="U09854"/>
    <s v="L1209/10"/>
    <x v="44"/>
    <m/>
    <m/>
    <m/>
    <n v="0"/>
    <m/>
    <m/>
  </r>
  <r>
    <n v="1467"/>
    <x v="16"/>
    <s v="Night"/>
    <x v="0"/>
    <n v="2000712034"/>
    <n v="600"/>
    <n v="40"/>
    <n v="0"/>
    <s v="U09854"/>
    <s v="L1168/69"/>
    <x v="93"/>
    <m/>
    <m/>
    <m/>
    <n v="0"/>
    <m/>
    <m/>
  </r>
  <r>
    <n v="1468"/>
    <x v="16"/>
    <s v="Night"/>
    <x v="0"/>
    <n v="2000712033"/>
    <n v="360"/>
    <n v="80"/>
    <n v="0"/>
    <s v="U09854"/>
    <s v="L1168/69"/>
    <x v="195"/>
    <m/>
    <m/>
    <m/>
    <n v="0"/>
    <m/>
    <m/>
  </r>
  <r>
    <n v="1469"/>
    <x v="16"/>
    <s v="Night"/>
    <x v="0"/>
    <n v="2000711726"/>
    <n v="600"/>
    <n v="80"/>
    <n v="0"/>
    <s v="U09854"/>
    <s v="T541"/>
    <x v="94"/>
    <m/>
    <m/>
    <m/>
    <n v="0"/>
    <m/>
    <m/>
  </r>
  <r>
    <n v="1470"/>
    <x v="16"/>
    <s v="Night"/>
    <x v="0"/>
    <n v="2000711770"/>
    <n v="1110"/>
    <n v="80"/>
    <n v="0"/>
    <s v="U09854"/>
    <s v="L1144/47"/>
    <x v="120"/>
    <m/>
    <m/>
    <m/>
    <n v="0"/>
    <m/>
    <m/>
  </r>
  <r>
    <n v="1471"/>
    <x v="16"/>
    <s v="Night"/>
    <x v="0"/>
    <n v="2000712281"/>
    <n v="2864"/>
    <n v="160"/>
    <n v="0"/>
    <s v="U09854"/>
    <s v="L1112/13"/>
    <x v="8"/>
    <m/>
    <m/>
    <m/>
    <n v="0"/>
    <m/>
    <m/>
  </r>
  <r>
    <n v="1472"/>
    <x v="16"/>
    <s v="Night"/>
    <x v="0"/>
    <n v="2000711814"/>
    <n v="1200"/>
    <n v="80"/>
    <n v="0"/>
    <s v="U09854"/>
    <s v="L1174/75"/>
    <x v="3"/>
    <m/>
    <m/>
    <m/>
    <n v="0"/>
    <m/>
    <m/>
  </r>
  <r>
    <n v="1473"/>
    <x v="16"/>
    <s v="Night"/>
    <x v="0"/>
    <n v="2000712032"/>
    <n v="2260"/>
    <n v="540"/>
    <n v="0"/>
    <s v="U23987"/>
    <s v="L1209/10"/>
    <x v="196"/>
    <m/>
    <m/>
    <m/>
    <n v="0"/>
    <m/>
    <m/>
  </r>
  <r>
    <n v="1474"/>
    <x v="16"/>
    <s v="Night"/>
    <x v="0"/>
    <n v="2000712032"/>
    <n v="2260"/>
    <n v="225"/>
    <n v="0"/>
    <s v="U30119"/>
    <s v="L1209/10"/>
    <x v="196"/>
    <m/>
    <m/>
    <m/>
    <n v="0"/>
    <m/>
    <m/>
  </r>
  <r>
    <n v="1475"/>
    <x v="16"/>
    <s v="Night"/>
    <x v="0"/>
    <n v="2000712032"/>
    <n v="2260"/>
    <n v="270"/>
    <n v="0"/>
    <s v="U09749"/>
    <s v="L1209/10"/>
    <x v="196"/>
    <m/>
    <m/>
    <m/>
    <n v="0"/>
    <m/>
    <m/>
  </r>
  <r>
    <n v="1476"/>
    <x v="16"/>
    <s v="Night"/>
    <x v="0"/>
    <n v="2000707772"/>
    <n v="910"/>
    <n v="41"/>
    <n v="0"/>
    <s v="U09749"/>
    <s v="L1209/10"/>
    <x v="44"/>
    <m/>
    <m/>
    <m/>
    <n v="0"/>
    <m/>
    <m/>
  </r>
  <r>
    <n v="1477"/>
    <x v="16"/>
    <s v="Night"/>
    <x v="1"/>
    <n v="2000711966"/>
    <n v="660"/>
    <n v="180"/>
    <n v="0"/>
    <s v="U30119"/>
    <s v="SHANKS"/>
    <x v="22"/>
    <m/>
    <m/>
    <m/>
    <n v="0"/>
    <m/>
    <m/>
  </r>
  <r>
    <n v="1478"/>
    <x v="16"/>
    <s v="Night"/>
    <x v="1"/>
    <n v="2000711660"/>
    <n v="945"/>
    <n v="100"/>
    <n v="0"/>
    <s v="U30119"/>
    <s v="PSHV"/>
    <x v="26"/>
    <m/>
    <m/>
    <m/>
    <n v="0"/>
    <m/>
    <m/>
  </r>
  <r>
    <n v="1479"/>
    <x v="16"/>
    <s v="Night"/>
    <x v="1"/>
    <n v="2000711661"/>
    <n v="350"/>
    <n v="200"/>
    <n v="0"/>
    <s v="U30119"/>
    <s v="PSLV"/>
    <x v="23"/>
    <m/>
    <m/>
    <m/>
    <n v="0"/>
    <m/>
    <m/>
  </r>
  <r>
    <n v="1480"/>
    <x v="16"/>
    <s v="Night"/>
    <x v="1"/>
    <n v="2000711659"/>
    <n v="50"/>
    <n v="40"/>
    <n v="0"/>
    <s v="U30119"/>
    <s v="PSLV"/>
    <x v="82"/>
    <m/>
    <m/>
    <m/>
    <n v="0"/>
    <m/>
    <m/>
  </r>
  <r>
    <n v="1481"/>
    <x v="16"/>
    <s v="Night"/>
    <x v="1"/>
    <n v="2000711662"/>
    <n v="650"/>
    <n v="105"/>
    <n v="0"/>
    <s v="U30119"/>
    <s v="SHANKS"/>
    <x v="24"/>
    <m/>
    <m/>
    <m/>
    <n v="0"/>
    <m/>
    <m/>
  </r>
  <r>
    <n v="1482"/>
    <x v="16"/>
    <s v="Night"/>
    <x v="1"/>
    <n v="2000711967"/>
    <n v="750"/>
    <n v="140"/>
    <n v="0"/>
    <s v="U30119"/>
    <s v="SHANKS"/>
    <x v="24"/>
    <m/>
    <m/>
    <m/>
    <n v="0"/>
    <m/>
    <m/>
  </r>
  <r>
    <n v="1483"/>
    <x v="16"/>
    <s v="Night"/>
    <x v="1"/>
    <n v="2000711670"/>
    <n v="62"/>
    <n v="30"/>
    <n v="0"/>
    <s v="U30119"/>
    <s v="PSLV"/>
    <x v="186"/>
    <m/>
    <m/>
    <m/>
    <n v="0"/>
    <m/>
    <m/>
  </r>
  <r>
    <n v="1484"/>
    <x v="17"/>
    <s v="Day"/>
    <x v="0"/>
    <n v="2000711804"/>
    <n v="2400"/>
    <n v="40"/>
    <n v="0"/>
    <s v="U36206"/>
    <s v="L1144/47"/>
    <x v="59"/>
    <m/>
    <m/>
    <m/>
    <n v="0"/>
    <m/>
    <m/>
  </r>
  <r>
    <n v="1485"/>
    <x v="17"/>
    <s v="Day"/>
    <x v="0"/>
    <n v="2000711727"/>
    <n v="540"/>
    <n v="100"/>
    <n v="0"/>
    <s v="U36206"/>
    <s v="L1144/47_x0009_"/>
    <x v="71"/>
    <m/>
    <m/>
    <m/>
    <n v="0"/>
    <m/>
    <m/>
  </r>
  <r>
    <n v="1486"/>
    <x v="17"/>
    <s v="Day"/>
    <x v="0"/>
    <n v="2000712239"/>
    <n v="3800"/>
    <n v="180"/>
    <n v="0"/>
    <s v="U36206"/>
    <s v="L1174/75"/>
    <x v="3"/>
    <m/>
    <m/>
    <m/>
    <n v="0"/>
    <m/>
    <m/>
  </r>
  <r>
    <n v="1487"/>
    <x v="17"/>
    <s v="Day"/>
    <x v="0"/>
    <n v="2000712334"/>
    <n v="520"/>
    <n v="100"/>
    <n v="0"/>
    <s v="U36206"/>
    <s v="L1144/47"/>
    <x v="39"/>
    <m/>
    <m/>
    <m/>
    <n v="0"/>
    <m/>
    <m/>
  </r>
  <r>
    <n v="1488"/>
    <x v="17"/>
    <s v="Day"/>
    <x v="0"/>
    <n v="2000712280"/>
    <n v="400"/>
    <n v="79"/>
    <n v="0"/>
    <s v="U05944"/>
    <s v="L1188/89"/>
    <x v="168"/>
    <m/>
    <m/>
    <m/>
    <n v="0"/>
    <m/>
    <m/>
  </r>
  <r>
    <n v="1489"/>
    <x v="17"/>
    <s v="Day"/>
    <x v="0"/>
    <n v="2000712048"/>
    <n v="320"/>
    <n v="240"/>
    <n v="0"/>
    <s v="U05944"/>
    <s v="L1188/89"/>
    <x v="213"/>
    <m/>
    <m/>
    <m/>
    <n v="0"/>
    <m/>
    <m/>
  </r>
  <r>
    <n v="1490"/>
    <x v="17"/>
    <s v="Day"/>
    <x v="0"/>
    <n v="2000712032"/>
    <n v="2260"/>
    <n v="45"/>
    <n v="1"/>
    <s v="U05944"/>
    <s v="L1209/10"/>
    <x v="196"/>
    <s v="Thiếc phủ kín chân"/>
    <m/>
    <s v="R2722"/>
    <n v="1"/>
    <s v="\\vn-file\QC Department\4.OQC\00. OQC Performance\03. Images\01. NG\20210123-NG-1900712032.jpg"/>
    <s v="\\vn-file\QC Department\4.OQC\00. OQC Performance\03. Images\02. OK\20210123-OK-1900712032.jpg"/>
  </r>
  <r>
    <n v="1491"/>
    <x v="17"/>
    <s v="Day"/>
    <x v="0"/>
    <n v="2000711854"/>
    <n v="1808"/>
    <n v="50"/>
    <n v="0"/>
    <s v="U05944"/>
    <s v="L1193/94"/>
    <x v="119"/>
    <m/>
    <m/>
    <m/>
    <n v="0"/>
    <m/>
    <m/>
  </r>
  <r>
    <n v="1492"/>
    <x v="17"/>
    <s v="Day"/>
    <x v="0"/>
    <n v="2000711458"/>
    <n v="1987"/>
    <n v="987"/>
    <n v="0"/>
    <s v="U27723"/>
    <s v="L1151/52"/>
    <x v="167"/>
    <m/>
    <m/>
    <m/>
    <n v="0"/>
    <m/>
    <m/>
  </r>
  <r>
    <n v="1493"/>
    <x v="17"/>
    <s v="Day"/>
    <x v="0"/>
    <n v="2000711854"/>
    <n v="1808"/>
    <n v="50"/>
    <n v="0"/>
    <s v="U27723"/>
    <s v="L1193/94"/>
    <x v="119"/>
    <m/>
    <m/>
    <m/>
    <n v="0"/>
    <m/>
    <m/>
  </r>
  <r>
    <n v="1494"/>
    <x v="17"/>
    <s v="Day"/>
    <x v="0"/>
    <n v="2000712031"/>
    <n v="2206"/>
    <n v="60"/>
    <n v="0"/>
    <s v="U15759"/>
    <s v="L1188/89"/>
    <x v="109"/>
    <m/>
    <m/>
    <m/>
    <n v="0"/>
    <m/>
    <m/>
  </r>
  <r>
    <n v="1495"/>
    <x v="17"/>
    <s v="Day"/>
    <x v="0"/>
    <n v="2000711234"/>
    <n v="5592"/>
    <n v="1260"/>
    <n v="0"/>
    <s v="U03968"/>
    <s v="L1165"/>
    <x v="182"/>
    <m/>
    <m/>
    <m/>
    <n v="0"/>
    <m/>
    <m/>
  </r>
  <r>
    <n v="1496"/>
    <x v="17"/>
    <s v="Day"/>
    <x v="0"/>
    <n v="2000709832"/>
    <n v="1920"/>
    <n v="240"/>
    <n v="0"/>
    <s v="U03968"/>
    <s v="L1193/94"/>
    <x v="30"/>
    <m/>
    <m/>
    <m/>
    <n v="0"/>
    <m/>
    <m/>
  </r>
  <r>
    <n v="1497"/>
    <x v="17"/>
    <s v="Day"/>
    <x v="0"/>
    <n v="2000712247"/>
    <n v="1808"/>
    <n v="200"/>
    <n v="0"/>
    <s v="U03968"/>
    <s v="L1105"/>
    <x v="174"/>
    <m/>
    <m/>
    <m/>
    <n v="0"/>
    <m/>
    <m/>
  </r>
  <r>
    <n v="1498"/>
    <x v="17"/>
    <s v="Day"/>
    <x v="0"/>
    <n v="2000711378"/>
    <n v="2000"/>
    <n v="150"/>
    <n v="0"/>
    <s v="U03968"/>
    <s v="L1077"/>
    <x v="33"/>
    <m/>
    <m/>
    <m/>
    <n v="0"/>
    <m/>
    <m/>
  </r>
  <r>
    <n v="1499"/>
    <x v="17"/>
    <s v="Day"/>
    <x v="0"/>
    <n v="2000711863"/>
    <n v="2000"/>
    <n v="160"/>
    <n v="0"/>
    <s v="U03968"/>
    <s v="L1077"/>
    <x v="6"/>
    <m/>
    <m/>
    <m/>
    <n v="0"/>
    <m/>
    <m/>
  </r>
  <r>
    <n v="1500"/>
    <x v="17"/>
    <s v="Day"/>
    <x v="0"/>
    <n v="2000712350"/>
    <n v="640"/>
    <n v="160"/>
    <n v="0"/>
    <s v="U03968"/>
    <s v="L1151/52"/>
    <x v="185"/>
    <m/>
    <m/>
    <m/>
    <n v="0"/>
    <m/>
    <m/>
  </r>
  <r>
    <n v="1501"/>
    <x v="17"/>
    <s v="Day"/>
    <x v="0"/>
    <n v="2000712031"/>
    <n v="2206"/>
    <n v="165"/>
    <n v="0"/>
    <s v="U27687"/>
    <s v="L1188/89"/>
    <x v="109"/>
    <m/>
    <m/>
    <m/>
    <n v="0"/>
    <m/>
    <m/>
  </r>
  <r>
    <n v="1502"/>
    <x v="17"/>
    <s v="Day"/>
    <x v="0"/>
    <n v="2000712182"/>
    <n v="1600"/>
    <n v="60"/>
    <n v="0"/>
    <s v="U27687"/>
    <s v="L1172/73"/>
    <x v="18"/>
    <m/>
    <m/>
    <m/>
    <n v="0"/>
    <m/>
    <m/>
  </r>
  <r>
    <n v="1503"/>
    <x v="17"/>
    <s v="Day"/>
    <x v="0"/>
    <n v="2000712359"/>
    <n v="1800"/>
    <n v="40"/>
    <n v="0"/>
    <s v="U27687"/>
    <s v="L1168/69"/>
    <x v="93"/>
    <m/>
    <m/>
    <m/>
    <n v="0"/>
    <m/>
    <m/>
  </r>
  <r>
    <n v="1504"/>
    <x v="17"/>
    <s v="Day"/>
    <x v="0"/>
    <n v="2000712035"/>
    <n v="1500"/>
    <n v="120"/>
    <n v="0"/>
    <s v="U27687"/>
    <s v="L1168/69"/>
    <x v="37"/>
    <m/>
    <m/>
    <m/>
    <n v="0"/>
    <m/>
    <m/>
  </r>
  <r>
    <n v="1505"/>
    <x v="17"/>
    <s v="Day"/>
    <x v="0"/>
    <n v="2000711362"/>
    <n v="720"/>
    <n v="225"/>
    <n v="0"/>
    <s v="U27687"/>
    <s v="L1170/71"/>
    <x v="117"/>
    <m/>
    <m/>
    <m/>
    <n v="0"/>
    <m/>
    <m/>
  </r>
  <r>
    <n v="1506"/>
    <x v="17"/>
    <s v="Day"/>
    <x v="0"/>
    <n v="2000711002"/>
    <n v="1470"/>
    <n v="30"/>
    <n v="0"/>
    <s v="U27687"/>
    <s v="L1172/73"/>
    <x v="99"/>
    <m/>
    <m/>
    <m/>
    <n v="0"/>
    <m/>
    <m/>
  </r>
  <r>
    <n v="1507"/>
    <x v="17"/>
    <s v="Day"/>
    <x v="0"/>
    <n v="2000712280"/>
    <n v="400"/>
    <n v="200"/>
    <n v="0"/>
    <s v="U32991"/>
    <s v="L1188/89"/>
    <x v="214"/>
    <m/>
    <m/>
    <m/>
    <n v="0"/>
    <m/>
    <m/>
  </r>
  <r>
    <n v="1508"/>
    <x v="17"/>
    <s v="Day"/>
    <x v="0"/>
    <n v="2000712305"/>
    <n v="1800"/>
    <n v="20"/>
    <n v="0"/>
    <s v="U32991"/>
    <s v="L1172/73"/>
    <x v="83"/>
    <m/>
    <m/>
    <m/>
    <n v="0"/>
    <m/>
    <m/>
  </r>
  <r>
    <n v="1509"/>
    <x v="17"/>
    <s v="Day"/>
    <x v="0"/>
    <n v="2000712344"/>
    <n v="112"/>
    <n v="75"/>
    <n v="0"/>
    <s v="U32991"/>
    <s v="L1151/52"/>
    <x v="154"/>
    <m/>
    <m/>
    <m/>
    <n v="0"/>
    <m/>
    <m/>
  </r>
  <r>
    <n v="1510"/>
    <x v="17"/>
    <s v="Day"/>
    <x v="0"/>
    <n v="2000712318"/>
    <n v="160"/>
    <n v="120"/>
    <n v="0"/>
    <s v="U32991"/>
    <s v="L1172/73"/>
    <x v="103"/>
    <m/>
    <m/>
    <m/>
    <n v="0"/>
    <m/>
    <m/>
  </r>
  <r>
    <n v="1511"/>
    <x v="17"/>
    <s v="Day"/>
    <x v="0"/>
    <n v="2000711695"/>
    <n v="450"/>
    <n v="120"/>
    <n v="0"/>
    <s v="U18660"/>
    <s v="L1172/73"/>
    <x v="99"/>
    <m/>
    <m/>
    <m/>
    <n v="0"/>
    <m/>
    <m/>
  </r>
  <r>
    <n v="1512"/>
    <x v="17"/>
    <s v="Day"/>
    <x v="0"/>
    <n v="2000711002"/>
    <n v="1470"/>
    <n v="60"/>
    <n v="0"/>
    <s v="U18660"/>
    <s v="L1172/73"/>
    <x v="99"/>
    <m/>
    <m/>
    <m/>
    <n v="0"/>
    <m/>
    <m/>
  </r>
  <r>
    <n v="1513"/>
    <x v="17"/>
    <s v="Day"/>
    <x v="0"/>
    <n v="2000712031"/>
    <n v="2206"/>
    <n v="450"/>
    <n v="0"/>
    <s v="U18660"/>
    <s v="L1188/89"/>
    <x v="109"/>
    <m/>
    <m/>
    <m/>
    <n v="0"/>
    <m/>
    <m/>
  </r>
  <r>
    <n v="1514"/>
    <x v="17"/>
    <s v="Day"/>
    <x v="0"/>
    <n v="2000711363"/>
    <n v="360"/>
    <n v="37"/>
    <n v="0"/>
    <s v="U18660"/>
    <s v="L1170/71"/>
    <x v="46"/>
    <m/>
    <m/>
    <m/>
    <n v="0"/>
    <m/>
    <m/>
  </r>
  <r>
    <n v="1515"/>
    <x v="17"/>
    <s v="Day"/>
    <x v="0"/>
    <n v="2000712032"/>
    <n v="2260"/>
    <n v="45"/>
    <n v="0"/>
    <s v="U18660"/>
    <s v="L1209/10"/>
    <x v="196"/>
    <m/>
    <m/>
    <m/>
    <n v="0"/>
    <m/>
    <m/>
  </r>
  <r>
    <n v="1516"/>
    <x v="17"/>
    <s v="Day"/>
    <x v="0"/>
    <n v="2000712031"/>
    <n v="2206"/>
    <n v="270"/>
    <n v="0"/>
    <s v="U29686"/>
    <s v="L1188/89"/>
    <x v="109"/>
    <m/>
    <m/>
    <m/>
    <n v="0"/>
    <m/>
    <m/>
  </r>
  <r>
    <n v="1517"/>
    <x v="17"/>
    <s v="Day"/>
    <x v="0"/>
    <n v="2000711695"/>
    <n v="450"/>
    <n v="30"/>
    <n v="0"/>
    <s v="U29686"/>
    <s v="L1172/73"/>
    <x v="99"/>
    <m/>
    <m/>
    <m/>
    <n v="0"/>
    <m/>
    <m/>
  </r>
  <r>
    <n v="1518"/>
    <x v="17"/>
    <s v="Day"/>
    <x v="0"/>
    <n v="2000711002"/>
    <n v="1470"/>
    <n v="90"/>
    <n v="0"/>
    <s v="U29686"/>
    <s v="L1172/73"/>
    <x v="99"/>
    <m/>
    <m/>
    <m/>
    <n v="0"/>
    <m/>
    <m/>
  </r>
  <r>
    <n v="1519"/>
    <x v="17"/>
    <s v="Day"/>
    <x v="1"/>
    <n v="2000712459"/>
    <n v="660"/>
    <n v="180"/>
    <n v="0"/>
    <s v="U15759"/>
    <s v="SHANKS"/>
    <x v="22"/>
    <m/>
    <m/>
    <m/>
    <n v="0"/>
    <m/>
    <m/>
  </r>
  <r>
    <n v="1520"/>
    <x v="17"/>
    <s v="Day"/>
    <x v="1"/>
    <n v="2000711966"/>
    <n v="660"/>
    <n v="30"/>
    <n v="0"/>
    <s v="U15759"/>
    <s v="SHANKS"/>
    <x v="22"/>
    <m/>
    <m/>
    <m/>
    <n v="0"/>
    <m/>
    <m/>
  </r>
  <r>
    <n v="1521"/>
    <x v="17"/>
    <s v="Day"/>
    <x v="1"/>
    <n v="2000711697"/>
    <n v="750"/>
    <n v="175"/>
    <n v="0"/>
    <s v="U15759"/>
    <s v="SHANKS"/>
    <x v="24"/>
    <m/>
    <m/>
    <m/>
    <n v="0"/>
    <m/>
    <m/>
  </r>
  <r>
    <n v="1522"/>
    <x v="17"/>
    <s v="Day"/>
    <x v="1"/>
    <n v="2000711970"/>
    <n v="192"/>
    <n v="96"/>
    <n v="0"/>
    <s v="U15759"/>
    <s v="SHANKS"/>
    <x v="52"/>
    <m/>
    <m/>
    <m/>
    <n v="0"/>
    <m/>
    <m/>
  </r>
  <r>
    <n v="1523"/>
    <x v="17"/>
    <s v="Day"/>
    <x v="1"/>
    <n v="2000711661"/>
    <n v="350"/>
    <n v="130"/>
    <n v="0"/>
    <s v="U15759"/>
    <s v="PSLV"/>
    <x v="23"/>
    <m/>
    <m/>
    <m/>
    <n v="0"/>
    <m/>
    <m/>
  </r>
  <r>
    <n v="1524"/>
    <x v="17"/>
    <s v="Day"/>
    <x v="1"/>
    <n v="2000711964"/>
    <n v="190"/>
    <n v="60"/>
    <n v="0"/>
    <s v="U15759"/>
    <s v="PSLV"/>
    <x v="129"/>
    <m/>
    <m/>
    <m/>
    <n v="0"/>
    <m/>
    <m/>
  </r>
  <r>
    <n v="1525"/>
    <x v="17"/>
    <s v="Day"/>
    <x v="1"/>
    <n v="2000712460"/>
    <n v="630"/>
    <n v="120"/>
    <n v="0"/>
    <s v="U15759"/>
    <s v="PSHV"/>
    <x v="80"/>
    <m/>
    <m/>
    <m/>
    <n v="0"/>
    <m/>
    <m/>
  </r>
  <r>
    <n v="1526"/>
    <x v="17"/>
    <s v="Day"/>
    <x v="1"/>
    <n v="2000712451"/>
    <n v="400"/>
    <n v="50"/>
    <n v="0"/>
    <s v="U15759"/>
    <s v="PSHV"/>
    <x v="96"/>
    <m/>
    <m/>
    <m/>
    <n v="0"/>
    <m/>
    <m/>
  </r>
  <r>
    <n v="1527"/>
    <x v="18"/>
    <s v="Night"/>
    <x v="1"/>
    <n v="2000711963"/>
    <n v="680"/>
    <n v="130"/>
    <n v="0"/>
    <s v="U31065"/>
    <s v="HVPS"/>
    <x v="50"/>
    <m/>
    <m/>
    <m/>
    <n v="0"/>
    <m/>
    <m/>
  </r>
  <r>
    <n v="1528"/>
    <x v="18"/>
    <s v="Night"/>
    <x v="1"/>
    <n v="2000712882"/>
    <n v="350"/>
    <n v="349"/>
    <n v="0"/>
    <s v="U31065"/>
    <s v="PSLV"/>
    <x v="91"/>
    <m/>
    <m/>
    <m/>
    <n v="0"/>
    <m/>
    <m/>
  </r>
  <r>
    <n v="1529"/>
    <x v="18"/>
    <s v="Night"/>
    <x v="1"/>
    <n v="2000712881"/>
    <n v="250"/>
    <n v="120"/>
    <n v="0"/>
    <s v="U31065"/>
    <s v="PSLV"/>
    <x v="49"/>
    <m/>
    <m/>
    <m/>
    <n v="0"/>
    <m/>
    <m/>
  </r>
  <r>
    <n v="1530"/>
    <x v="17"/>
    <s v="Night"/>
    <x v="1"/>
    <n v="2000712451"/>
    <n v="400"/>
    <n v="100"/>
    <n v="0"/>
    <s v="U30119"/>
    <s v="PSHV"/>
    <x v="96"/>
    <m/>
    <m/>
    <m/>
    <n v="0"/>
    <m/>
    <m/>
  </r>
  <r>
    <n v="1531"/>
    <x v="17"/>
    <s v="Night"/>
    <x v="1"/>
    <n v="2000712460"/>
    <n v="630"/>
    <n v="120"/>
    <n v="0"/>
    <s v="U30119"/>
    <s v="PSHV"/>
    <x v="80"/>
    <m/>
    <m/>
    <m/>
    <n v="0"/>
    <m/>
    <m/>
  </r>
  <r>
    <n v="1532"/>
    <x v="17"/>
    <s v="Night"/>
    <x v="1"/>
    <n v="2000711963"/>
    <n v="680"/>
    <n v="330"/>
    <n v="0"/>
    <s v="U30119"/>
    <s v="PSHV"/>
    <x v="50"/>
    <m/>
    <m/>
    <m/>
    <n v="0"/>
    <m/>
    <m/>
  </r>
  <r>
    <n v="1533"/>
    <x v="17"/>
    <s v="Night"/>
    <x v="1"/>
    <n v="2000711661"/>
    <n v="350"/>
    <n v="20"/>
    <n v="0"/>
    <s v="U30119"/>
    <s v="PSLV"/>
    <x v="23"/>
    <m/>
    <m/>
    <m/>
    <n v="0"/>
    <m/>
    <m/>
  </r>
  <r>
    <n v="1534"/>
    <x v="17"/>
    <s v="Night"/>
    <x v="1"/>
    <n v="2000712633"/>
    <n v="660"/>
    <n v="150"/>
    <n v="0"/>
    <s v="U30119"/>
    <s v="SHANKS"/>
    <x v="22"/>
    <m/>
    <m/>
    <m/>
    <n v="0"/>
    <m/>
    <m/>
  </r>
  <r>
    <n v="1535"/>
    <x v="17"/>
    <s v="Night"/>
    <x v="1"/>
    <n v="2000712545"/>
    <n v="750"/>
    <n v="105"/>
    <n v="0"/>
    <s v="U30119"/>
    <s v="SHANKS"/>
    <x v="24"/>
    <m/>
    <m/>
    <m/>
    <n v="0"/>
    <m/>
    <m/>
  </r>
  <r>
    <n v="1536"/>
    <x v="17"/>
    <s v="Night"/>
    <x v="1"/>
    <n v="2000712458"/>
    <n v="1600"/>
    <n v="150"/>
    <n v="0"/>
    <s v="U30119"/>
    <s v="SHANKS"/>
    <x v="67"/>
    <m/>
    <m/>
    <m/>
    <n v="0"/>
    <m/>
    <m/>
  </r>
  <r>
    <n v="1537"/>
    <x v="17"/>
    <s v="Night"/>
    <x v="1"/>
    <n v="2000711960"/>
    <n v="1000"/>
    <n v="50"/>
    <n v="0"/>
    <s v="U30119"/>
    <s v="PSHV"/>
    <x v="25"/>
    <m/>
    <m/>
    <m/>
    <n v="0"/>
    <m/>
    <m/>
  </r>
  <r>
    <n v="1538"/>
    <x v="17"/>
    <s v="Night"/>
    <x v="0"/>
    <n v="2000711569"/>
    <n v="1337"/>
    <n v="9"/>
    <n v="0"/>
    <s v="U27724"/>
    <s v="L1151/52"/>
    <x v="173"/>
    <m/>
    <m/>
    <m/>
    <n v="0"/>
    <m/>
    <m/>
  </r>
  <r>
    <n v="1539"/>
    <x v="17"/>
    <s v="Night"/>
    <x v="0"/>
    <n v="2000711234"/>
    <n v="5592"/>
    <n v="1260"/>
    <n v="0"/>
    <s v="U27724"/>
    <s v="L1161/65"/>
    <x v="209"/>
    <m/>
    <m/>
    <m/>
    <n v="0"/>
    <m/>
    <m/>
  </r>
  <r>
    <n v="1540"/>
    <x v="17"/>
    <s v="Night"/>
    <x v="0"/>
    <n v="2000712238"/>
    <n v="3800"/>
    <n v="200"/>
    <n v="0"/>
    <s v="U27724"/>
    <s v="L1174/75"/>
    <x v="62"/>
    <m/>
    <m/>
    <m/>
    <n v="0"/>
    <m/>
    <m/>
  </r>
  <r>
    <n v="1541"/>
    <x v="17"/>
    <s v="Night"/>
    <x v="0"/>
    <n v="2000712350"/>
    <n v="640"/>
    <n v="20"/>
    <n v="0"/>
    <s v="U27724"/>
    <s v="L1151/52"/>
    <x v="185"/>
    <m/>
    <m/>
    <m/>
    <n v="0"/>
    <m/>
    <m/>
  </r>
  <r>
    <n v="1542"/>
    <x v="17"/>
    <s v="Night"/>
    <x v="0"/>
    <n v="2000712190"/>
    <n v="3200"/>
    <n v="200"/>
    <n v="0"/>
    <s v="U27724"/>
    <s v="L1144/47"/>
    <x v="92"/>
    <m/>
    <m/>
    <m/>
    <n v="0"/>
    <m/>
    <m/>
  </r>
  <r>
    <n v="1543"/>
    <x v="17"/>
    <s v="Night"/>
    <x v="0"/>
    <n v="2000712032"/>
    <n v="2260"/>
    <n v="90"/>
    <n v="0"/>
    <s v="U27724"/>
    <s v="L1209/10"/>
    <x v="196"/>
    <m/>
    <m/>
    <m/>
    <n v="0"/>
    <m/>
    <m/>
  </r>
  <r>
    <n v="1544"/>
    <x v="17"/>
    <s v="Night"/>
    <x v="0"/>
    <n v="2000712031"/>
    <n v="2206"/>
    <n v="90"/>
    <n v="0"/>
    <s v="U27724"/>
    <s v="L1188/89"/>
    <x v="109"/>
    <m/>
    <m/>
    <m/>
    <n v="0"/>
    <m/>
    <m/>
  </r>
  <r>
    <n v="1545"/>
    <x v="17"/>
    <s v="Night"/>
    <x v="0"/>
    <n v="2000712447"/>
    <n v="882"/>
    <n v="425"/>
    <n v="0"/>
    <s v="U27724"/>
    <s v="L1151/52"/>
    <x v="173"/>
    <m/>
    <m/>
    <m/>
    <n v="0"/>
    <m/>
    <m/>
  </r>
  <r>
    <n v="1546"/>
    <x v="17"/>
    <s v="Night"/>
    <x v="0"/>
    <n v="2000712032"/>
    <n v="2260"/>
    <n v="90"/>
    <n v="0"/>
    <s v="U07492"/>
    <s v="L1209/10"/>
    <x v="196"/>
    <m/>
    <m/>
    <m/>
    <n v="0"/>
    <m/>
    <m/>
  </r>
  <r>
    <n v="1547"/>
    <x v="17"/>
    <s v="Night"/>
    <x v="0"/>
    <n v="2000712031"/>
    <n v="2206"/>
    <n v="45"/>
    <n v="0"/>
    <s v="U07492"/>
    <s v="L1188/89"/>
    <x v="109"/>
    <m/>
    <m/>
    <m/>
    <n v="0"/>
    <m/>
    <m/>
  </r>
  <r>
    <n v="1548"/>
    <x v="17"/>
    <s v="Night"/>
    <x v="0"/>
    <n v="2000712031"/>
    <n v="2206"/>
    <n v="90"/>
    <n v="0"/>
    <s v="U30119"/>
    <s v="L1188/89"/>
    <x v="109"/>
    <m/>
    <m/>
    <m/>
    <n v="0"/>
    <m/>
    <m/>
  </r>
  <r>
    <n v="1549"/>
    <x v="17"/>
    <s v="Night"/>
    <x v="0"/>
    <n v="2000712031"/>
    <n v="2206"/>
    <n v="90"/>
    <n v="0"/>
    <s v="U36008"/>
    <s v="L1188/89"/>
    <x v="109"/>
    <m/>
    <m/>
    <m/>
    <n v="0"/>
    <m/>
    <m/>
  </r>
  <r>
    <n v="1550"/>
    <x v="17"/>
    <s v="Night"/>
    <x v="0"/>
    <n v="2000712048"/>
    <n v="320"/>
    <n v="80"/>
    <n v="0"/>
    <s v="U36008"/>
    <s v="L1188/89"/>
    <x v="17"/>
    <m/>
    <m/>
    <m/>
    <n v="0"/>
    <m/>
    <m/>
  </r>
  <r>
    <n v="1551"/>
    <x v="17"/>
    <s v="Night"/>
    <x v="0"/>
    <n v="2000712396"/>
    <n v="200"/>
    <n v="200"/>
    <n v="0"/>
    <s v="U36008"/>
    <s v="L1188/89"/>
    <x v="17"/>
    <m/>
    <m/>
    <m/>
    <n v="0"/>
    <m/>
    <m/>
  </r>
  <r>
    <n v="1552"/>
    <x v="17"/>
    <s v="Night"/>
    <x v="0"/>
    <n v="2000707222"/>
    <n v="1850"/>
    <n v="1"/>
    <n v="0"/>
    <s v="U36008"/>
    <s v="L1188/89"/>
    <x v="17"/>
    <m/>
    <m/>
    <m/>
    <n v="0"/>
    <m/>
    <m/>
  </r>
  <r>
    <n v="1553"/>
    <x v="17"/>
    <s v="Night"/>
    <x v="0"/>
    <n v="2000712394"/>
    <n v="400"/>
    <n v="40"/>
    <n v="0"/>
    <s v="U36008"/>
    <s v="L1188/89"/>
    <x v="130"/>
    <m/>
    <m/>
    <m/>
    <n v="0"/>
    <m/>
    <m/>
  </r>
  <r>
    <n v="1554"/>
    <x v="17"/>
    <s v="Night"/>
    <x v="0"/>
    <n v="2000712032"/>
    <n v="2260"/>
    <n v="90"/>
    <n v="0"/>
    <s v="U36008"/>
    <s v="L1209/10"/>
    <x v="196"/>
    <m/>
    <m/>
    <m/>
    <n v="0"/>
    <m/>
    <m/>
  </r>
  <r>
    <n v="1555"/>
    <x v="17"/>
    <s v="Night"/>
    <x v="0"/>
    <n v="2000712344"/>
    <n v="112"/>
    <n v="17"/>
    <n v="0"/>
    <s v="U31065"/>
    <s v="L1151/52"/>
    <x v="154"/>
    <m/>
    <m/>
    <m/>
    <n v="0"/>
    <m/>
    <m/>
  </r>
  <r>
    <n v="1556"/>
    <x v="17"/>
    <s v="Night"/>
    <x v="0"/>
    <n v="2000711722"/>
    <n v="630"/>
    <n v="123"/>
    <n v="0"/>
    <s v="U31065"/>
    <s v="L1193/94"/>
    <x v="104"/>
    <m/>
    <m/>
    <m/>
    <n v="0"/>
    <m/>
    <m/>
  </r>
  <r>
    <n v="1557"/>
    <x v="17"/>
    <s v="Night"/>
    <x v="0"/>
    <n v="2000712032"/>
    <n v="2260"/>
    <n v="90"/>
    <n v="0"/>
    <s v="U31065"/>
    <s v="L1209/10"/>
    <x v="196"/>
    <m/>
    <m/>
    <m/>
    <n v="0"/>
    <m/>
    <m/>
  </r>
  <r>
    <n v="1558"/>
    <x v="17"/>
    <s v="Night"/>
    <x v="0"/>
    <n v="2000712031"/>
    <n v="2206"/>
    <n v="90"/>
    <n v="0"/>
    <s v="U31065"/>
    <s v="L1188/89"/>
    <x v="109"/>
    <m/>
    <m/>
    <m/>
    <n v="0"/>
    <m/>
    <m/>
  </r>
  <r>
    <n v="1559"/>
    <x v="17"/>
    <s v="Night"/>
    <x v="0"/>
    <n v="2000712182"/>
    <n v="1600"/>
    <n v="30"/>
    <n v="0"/>
    <s v="U30425"/>
    <s v="L1172/73"/>
    <x v="18"/>
    <m/>
    <m/>
    <m/>
    <n v="0"/>
    <m/>
    <m/>
  </r>
  <r>
    <n v="1560"/>
    <x v="17"/>
    <s v="Night"/>
    <x v="0"/>
    <n v="2000712359"/>
    <n v="1800"/>
    <n v="40"/>
    <n v="0"/>
    <s v="U30425"/>
    <s v="L1168/69"/>
    <x v="93"/>
    <m/>
    <m/>
    <m/>
    <n v="0"/>
    <m/>
    <m/>
  </r>
  <r>
    <n v="1561"/>
    <x v="17"/>
    <s v="Night"/>
    <x v="0"/>
    <n v="2000712906"/>
    <n v="1488"/>
    <n v="120"/>
    <n v="0"/>
    <s v="U30425"/>
    <s v="L1128/29"/>
    <x v="11"/>
    <m/>
    <m/>
    <m/>
    <n v="0"/>
    <m/>
    <m/>
  </r>
  <r>
    <n v="1562"/>
    <x v="17"/>
    <s v="Night"/>
    <x v="0"/>
    <n v="2000712905"/>
    <n v="4000"/>
    <n v="80"/>
    <n v="0"/>
    <s v="U30425"/>
    <s v="L1112/13"/>
    <x v="8"/>
    <m/>
    <m/>
    <m/>
    <n v="0"/>
    <m/>
    <m/>
  </r>
  <r>
    <n v="1563"/>
    <x v="17"/>
    <s v="Night"/>
    <x v="0"/>
    <n v="2000712227"/>
    <n v="1380"/>
    <n v="120"/>
    <n v="0"/>
    <s v="U30425"/>
    <s v="L1144/47"/>
    <x v="101"/>
    <m/>
    <m/>
    <m/>
    <n v="0"/>
    <m/>
    <m/>
  </r>
  <r>
    <n v="1564"/>
    <x v="17"/>
    <s v="Night"/>
    <x v="0"/>
    <n v="2000712316"/>
    <n v="1400"/>
    <n v="60"/>
    <n v="0"/>
    <s v="U30425"/>
    <s v="L1172/73"/>
    <x v="19"/>
    <m/>
    <m/>
    <m/>
    <n v="0"/>
    <m/>
    <m/>
  </r>
  <r>
    <n v="1565"/>
    <x v="17"/>
    <s v="Night"/>
    <x v="0"/>
    <n v="2000712032"/>
    <n v="2260"/>
    <n v="90"/>
    <n v="0"/>
    <s v="U30425"/>
    <s v="L1209/10"/>
    <x v="196"/>
    <m/>
    <m/>
    <m/>
    <n v="0"/>
    <m/>
    <m/>
  </r>
  <r>
    <n v="1566"/>
    <x v="17"/>
    <s v="Night"/>
    <x v="0"/>
    <n v="2000712031"/>
    <n v="2206"/>
    <n v="45"/>
    <n v="0"/>
    <s v="U30425"/>
    <s v="L1188/89"/>
    <x v="109"/>
    <m/>
    <m/>
    <m/>
    <n v="0"/>
    <m/>
    <m/>
  </r>
  <r>
    <n v="1567"/>
    <x v="17"/>
    <s v="Night"/>
    <x v="0"/>
    <n v="2000711854"/>
    <n v="1808"/>
    <n v="300"/>
    <n v="0"/>
    <s v="U09854"/>
    <s v="L1193/94"/>
    <x v="119"/>
    <m/>
    <m/>
    <m/>
    <n v="0"/>
    <m/>
    <m/>
  </r>
  <r>
    <n v="1568"/>
    <x v="17"/>
    <s v="Night"/>
    <x v="0"/>
    <n v="2000712350"/>
    <n v="640"/>
    <n v="440"/>
    <n v="0"/>
    <s v="U09854"/>
    <s v="L1151/52"/>
    <x v="185"/>
    <m/>
    <m/>
    <m/>
    <n v="0"/>
    <m/>
    <m/>
  </r>
  <r>
    <n v="1569"/>
    <x v="17"/>
    <s v="Night"/>
    <x v="0"/>
    <n v="2000711468"/>
    <n v="150"/>
    <n v="149"/>
    <n v="0"/>
    <s v="U09854"/>
    <s v="L1172/73"/>
    <x v="165"/>
    <m/>
    <m/>
    <m/>
    <n v="0"/>
    <m/>
    <m/>
  </r>
  <r>
    <n v="1570"/>
    <x v="17"/>
    <s v="Night"/>
    <x v="0"/>
    <n v="2000712191"/>
    <n v="3200"/>
    <n v="200"/>
    <n v="0"/>
    <s v="U09854"/>
    <s v="L1144/47"/>
    <x v="77"/>
    <m/>
    <m/>
    <m/>
    <n v="0"/>
    <m/>
    <m/>
  </r>
  <r>
    <n v="1571"/>
    <x v="17"/>
    <s v="Night"/>
    <x v="0"/>
    <n v="2000711722"/>
    <n v="630"/>
    <n v="60"/>
    <n v="0"/>
    <s v="U09854"/>
    <s v="L1193/94"/>
    <x v="104"/>
    <m/>
    <m/>
    <m/>
    <n v="0"/>
    <m/>
    <m/>
  </r>
  <r>
    <n v="1572"/>
    <x v="17"/>
    <s v="Night"/>
    <x v="0"/>
    <n v="2000712031"/>
    <n v="2206"/>
    <n v="90"/>
    <n v="0"/>
    <s v="U09854"/>
    <s v="L1188/89"/>
    <x v="109"/>
    <m/>
    <m/>
    <m/>
    <n v="0"/>
    <m/>
    <m/>
  </r>
  <r>
    <n v="1573"/>
    <x v="17"/>
    <s v="Night"/>
    <x v="0"/>
    <n v="2000711362"/>
    <n v="720"/>
    <n v="17"/>
    <n v="0"/>
    <s v="U09854"/>
    <s v="L1170/71"/>
    <x v="117"/>
    <m/>
    <m/>
    <m/>
    <n v="0"/>
    <m/>
    <m/>
  </r>
  <r>
    <n v="1574"/>
    <x v="17"/>
    <s v="Night"/>
    <x v="0"/>
    <n v="2000712032"/>
    <n v="2260"/>
    <n v="135"/>
    <n v="0"/>
    <s v="U09854"/>
    <s v="L1209/10"/>
    <x v="196"/>
    <m/>
    <m/>
    <m/>
    <n v="0"/>
    <m/>
    <m/>
  </r>
  <r>
    <n v="1575"/>
    <x v="17"/>
    <s v="Night"/>
    <x v="0"/>
    <n v="2000712317"/>
    <n v="150"/>
    <n v="150"/>
    <n v="0"/>
    <s v="U23987"/>
    <s v="L1172/73"/>
    <x v="169"/>
    <m/>
    <m/>
    <m/>
    <n v="0"/>
    <m/>
    <m/>
  </r>
  <r>
    <n v="1576"/>
    <x v="17"/>
    <s v="Night"/>
    <x v="0"/>
    <n v="2000712318"/>
    <n v="160"/>
    <n v="40"/>
    <n v="0"/>
    <s v="U23987"/>
    <s v="L1172/73"/>
    <x v="103"/>
    <m/>
    <m/>
    <m/>
    <n v="0"/>
    <m/>
    <m/>
  </r>
  <r>
    <n v="1577"/>
    <x v="17"/>
    <s v="Night"/>
    <x v="0"/>
    <n v="2000712031"/>
    <n v="2206"/>
    <n v="90"/>
    <n v="0"/>
    <s v="U23987"/>
    <s v="L1188/89"/>
    <x v="109"/>
    <m/>
    <m/>
    <m/>
    <n v="0"/>
    <m/>
    <m/>
  </r>
  <r>
    <n v="1578"/>
    <x v="17"/>
    <s v="Night"/>
    <x v="0"/>
    <n v="2000712032"/>
    <n v="2260"/>
    <n v="180"/>
    <n v="0"/>
    <s v="U23987"/>
    <s v="L1209/10"/>
    <x v="196"/>
    <m/>
    <m/>
    <m/>
    <n v="0"/>
    <m/>
    <m/>
  </r>
  <r>
    <n v="1579"/>
    <x v="17"/>
    <s v="Night"/>
    <x v="0"/>
    <n v="2000712032"/>
    <n v="2260"/>
    <n v="135"/>
    <n v="0"/>
    <s v="U09749"/>
    <s v="L1209/10"/>
    <x v="196"/>
    <m/>
    <m/>
    <m/>
    <n v="0"/>
    <m/>
    <m/>
  </r>
  <r>
    <n v="1580"/>
    <x v="17"/>
    <s v="Night"/>
    <x v="0"/>
    <n v="2000712031"/>
    <n v="2206"/>
    <n v="1"/>
    <n v="0"/>
    <s v="U09749"/>
    <s v="L1188/89"/>
    <x v="109"/>
    <m/>
    <m/>
    <m/>
    <n v="0"/>
    <m/>
    <m/>
  </r>
  <r>
    <n v="1581"/>
    <x v="19"/>
    <s v="Day"/>
    <x v="0"/>
    <n v="2000712664"/>
    <n v="482"/>
    <n v="40"/>
    <n v="0"/>
    <s v="U30840"/>
    <s v="L1188/89"/>
    <x v="47"/>
    <m/>
    <m/>
    <m/>
    <n v="0"/>
    <m/>
    <m/>
  </r>
  <r>
    <n v="1582"/>
    <x v="19"/>
    <s v="Day"/>
    <x v="0"/>
    <n v="2000712395"/>
    <n v="402"/>
    <n v="40"/>
    <n v="0"/>
    <s v="U30840"/>
    <s v="L1188/89_x0009_"/>
    <x v="73"/>
    <m/>
    <m/>
    <m/>
    <n v="0"/>
    <m/>
    <m/>
  </r>
  <r>
    <n v="1583"/>
    <x v="19"/>
    <s v="Day"/>
    <x v="0"/>
    <n v="2000712656"/>
    <n v="1130"/>
    <n v="135"/>
    <n v="0"/>
    <s v="U30840"/>
    <s v="L1170/71"/>
    <x v="117"/>
    <m/>
    <m/>
    <m/>
    <n v="0"/>
    <m/>
    <m/>
  </r>
  <r>
    <n v="1584"/>
    <x v="19"/>
    <s v="Day"/>
    <x v="0"/>
    <n v="2000712395"/>
    <n v="402"/>
    <n v="2"/>
    <n v="0"/>
    <s v="U09544"/>
    <s v="L1188/89"/>
    <x v="73"/>
    <m/>
    <m/>
    <m/>
    <n v="0"/>
    <m/>
    <m/>
  </r>
  <r>
    <n v="1585"/>
    <x v="19"/>
    <s v="Day"/>
    <x v="0"/>
    <n v="2000712031"/>
    <n v="2206"/>
    <n v="135"/>
    <n v="0"/>
    <s v="U09544"/>
    <s v="L1188/89"/>
    <x v="109"/>
    <m/>
    <m/>
    <m/>
    <n v="0"/>
    <m/>
    <m/>
  </r>
  <r>
    <n v="1586"/>
    <x v="19"/>
    <s v="Day"/>
    <x v="0"/>
    <n v="2000712260"/>
    <n v="2000"/>
    <n v="200"/>
    <n v="0"/>
    <s v="U03968"/>
    <s v="L1077"/>
    <x v="36"/>
    <m/>
    <m/>
    <m/>
    <n v="0"/>
    <m/>
    <m/>
  </r>
  <r>
    <n v="1587"/>
    <x v="19"/>
    <s v="Day"/>
    <x v="0"/>
    <n v="2000709832"/>
    <n v="1920"/>
    <n v="240"/>
    <n v="0"/>
    <s v="U03968"/>
    <s v="L1193/94"/>
    <x v="30"/>
    <m/>
    <m/>
    <m/>
    <n v="0"/>
    <m/>
    <m/>
  </r>
  <r>
    <n v="1588"/>
    <x v="19"/>
    <s v="Day"/>
    <x v="0"/>
    <n v="2000712905"/>
    <n v="4000"/>
    <n v="120"/>
    <n v="0"/>
    <s v="U03968"/>
    <s v="L1112/13"/>
    <x v="8"/>
    <m/>
    <m/>
    <m/>
    <n v="0"/>
    <m/>
    <m/>
  </r>
  <r>
    <n v="1589"/>
    <x v="19"/>
    <s v="Day"/>
    <x v="0"/>
    <n v="2000712908"/>
    <n v="2000"/>
    <n v="160"/>
    <n v="0"/>
    <s v="U03968"/>
    <s v="L1128/29"/>
    <x v="215"/>
    <m/>
    <m/>
    <m/>
    <n v="0"/>
    <m/>
    <m/>
  </r>
  <r>
    <n v="1590"/>
    <x v="19"/>
    <s v="Day"/>
    <x v="0"/>
    <n v="2000712248"/>
    <n v="6600"/>
    <n v="300"/>
    <n v="0"/>
    <s v="U03968"/>
    <s v="L1112/13"/>
    <x v="75"/>
    <m/>
    <m/>
    <m/>
    <n v="0"/>
    <m/>
    <m/>
  </r>
  <r>
    <n v="1591"/>
    <x v="19"/>
    <s v="Day"/>
    <x v="0"/>
    <n v="2000712192"/>
    <n v="3200"/>
    <n v="300"/>
    <n v="0"/>
    <s v="U03968"/>
    <s v="L1144/47"/>
    <x v="13"/>
    <m/>
    <m/>
    <m/>
    <n v="0"/>
    <m/>
    <m/>
  </r>
  <r>
    <n v="1592"/>
    <x v="19"/>
    <s v="Day"/>
    <x v="0"/>
    <n v="2000712257"/>
    <n v="2000"/>
    <n v="200"/>
    <n v="0"/>
    <s v="U03968"/>
    <s v="L1077"/>
    <x v="10"/>
    <m/>
    <m/>
    <m/>
    <n v="0"/>
    <m/>
    <m/>
  </r>
  <r>
    <n v="1593"/>
    <x v="19"/>
    <s v="Day"/>
    <x v="0"/>
    <n v="2000709832"/>
    <n v="1920"/>
    <n v="240"/>
    <n v="0"/>
    <s v="U03968"/>
    <s v="L1193/94"/>
    <x v="65"/>
    <m/>
    <m/>
    <m/>
    <n v="0"/>
    <m/>
    <m/>
  </r>
  <r>
    <n v="1594"/>
    <x v="19"/>
    <s v="Day"/>
    <x v="0"/>
    <n v="2000712259"/>
    <n v="2000"/>
    <n v="160"/>
    <n v="0"/>
    <s v="U03968"/>
    <s v="L1077"/>
    <x v="6"/>
    <m/>
    <m/>
    <m/>
    <n v="0"/>
    <m/>
    <m/>
  </r>
  <r>
    <n v="1595"/>
    <x v="19"/>
    <s v="Day"/>
    <x v="0"/>
    <n v="2000712449"/>
    <n v="4221"/>
    <n v="240"/>
    <n v="0"/>
    <s v="U03968"/>
    <s v="L1172/73"/>
    <x v="7"/>
    <m/>
    <m/>
    <m/>
    <n v="0"/>
    <m/>
    <m/>
  </r>
  <r>
    <n v="1596"/>
    <x v="19"/>
    <s v="Day"/>
    <x v="0"/>
    <n v="2000711854"/>
    <n v="1808"/>
    <n v="400"/>
    <n v="0"/>
    <s v="U27723"/>
    <s v="L1193/94"/>
    <x v="119"/>
    <m/>
    <m/>
    <m/>
    <n v="0"/>
    <m/>
    <m/>
  </r>
  <r>
    <n v="1597"/>
    <x v="19"/>
    <s v="Day"/>
    <x v="0"/>
    <n v="2000712394"/>
    <n v="400"/>
    <n v="40"/>
    <n v="0"/>
    <s v="U27723"/>
    <s v="L1188/89"/>
    <x v="130"/>
    <m/>
    <m/>
    <m/>
    <n v="0"/>
    <m/>
    <m/>
  </r>
  <r>
    <n v="1598"/>
    <x v="19"/>
    <s v="Day"/>
    <x v="0"/>
    <n v="2000712395"/>
    <n v="402"/>
    <n v="320"/>
    <n v="0"/>
    <s v="U27723"/>
    <s v="L1188/89"/>
    <x v="73"/>
    <m/>
    <m/>
    <m/>
    <n v="0"/>
    <m/>
    <m/>
  </r>
  <r>
    <n v="1599"/>
    <x v="19"/>
    <s v="Day"/>
    <x v="0"/>
    <n v="2000712361"/>
    <n v="900"/>
    <n v="80"/>
    <n v="0"/>
    <s v="U27723"/>
    <s v="L1168/69"/>
    <x v="48"/>
    <m/>
    <m/>
    <m/>
    <n v="0"/>
    <m/>
    <m/>
  </r>
  <r>
    <n v="1600"/>
    <x v="19"/>
    <s v="Day"/>
    <x v="0"/>
    <n v="2000712394"/>
    <n v="400"/>
    <n v="317"/>
    <n v="0"/>
    <s v="U18660"/>
    <s v="L1188/89"/>
    <x v="130"/>
    <m/>
    <m/>
    <m/>
    <n v="0"/>
    <m/>
    <m/>
  </r>
  <r>
    <n v="1601"/>
    <x v="19"/>
    <s v="Day"/>
    <x v="0"/>
    <n v="2000712031"/>
    <n v="2206"/>
    <n v="90"/>
    <n v="0"/>
    <s v="U18660"/>
    <s v="L1188/89"/>
    <x v="109"/>
    <m/>
    <m/>
    <m/>
    <n v="0"/>
    <m/>
    <m/>
  </r>
  <r>
    <n v="1602"/>
    <x v="19"/>
    <s v="Day"/>
    <x v="0"/>
    <n v="2000712665"/>
    <n v="280"/>
    <n v="280"/>
    <n v="0"/>
    <s v="U18660"/>
    <s v="L1188/89"/>
    <x v="60"/>
    <m/>
    <m/>
    <m/>
    <n v="0"/>
    <m/>
    <m/>
  </r>
  <r>
    <n v="1603"/>
    <x v="19"/>
    <s v="Day"/>
    <x v="0"/>
    <n v="2000712994"/>
    <n v="96"/>
    <n v="96"/>
    <n v="0"/>
    <s v="U18660"/>
    <s v="L1172/73"/>
    <x v="19"/>
    <m/>
    <m/>
    <m/>
    <n v="0"/>
    <m/>
    <m/>
  </r>
  <r>
    <n v="1604"/>
    <x v="19"/>
    <s v="Day"/>
    <x v="0"/>
    <n v="2000712261"/>
    <n v="200"/>
    <n v="140"/>
    <n v="0"/>
    <s v="U36206"/>
    <s v="L1077"/>
    <x v="2"/>
    <m/>
    <m/>
    <m/>
    <n v="0"/>
    <m/>
    <m/>
  </r>
  <r>
    <n v="1605"/>
    <x v="19"/>
    <s v="Day"/>
    <x v="0"/>
    <n v="2000712333"/>
    <n v="40"/>
    <n v="20"/>
    <n v="0"/>
    <s v="U36206"/>
    <s v="L1144/47"/>
    <x v="170"/>
    <m/>
    <m/>
    <m/>
    <n v="0"/>
    <m/>
    <m/>
  </r>
  <r>
    <n v="1606"/>
    <x v="19"/>
    <s v="Day"/>
    <x v="0"/>
    <n v="2000712239"/>
    <n v="3800"/>
    <n v="20"/>
    <n v="0"/>
    <s v="U36206"/>
    <s v="L1174/75"/>
    <x v="3"/>
    <m/>
    <m/>
    <m/>
    <n v="0"/>
    <m/>
    <m/>
  </r>
  <r>
    <n v="1607"/>
    <x v="19"/>
    <s v="Day"/>
    <x v="0"/>
    <n v="2000712193"/>
    <n v="3200"/>
    <n v="120"/>
    <n v="0"/>
    <s v="U36206"/>
    <s v="L1144/47"/>
    <x v="59"/>
    <m/>
    <m/>
    <m/>
    <n v="0"/>
    <m/>
    <m/>
  </r>
  <r>
    <n v="1608"/>
    <x v="19"/>
    <s v="Day"/>
    <x v="0"/>
    <n v="2000712724"/>
    <n v="2300"/>
    <n v="130"/>
    <n v="0"/>
    <s v="U36206"/>
    <s v="L1174/75"/>
    <x v="61"/>
    <m/>
    <m/>
    <m/>
    <n v="0"/>
    <m/>
    <m/>
  </r>
  <r>
    <n v="1609"/>
    <x v="19"/>
    <s v="Day"/>
    <x v="0"/>
    <n v="2000712226"/>
    <n v="440"/>
    <n v="80"/>
    <n v="0"/>
    <s v="U36206"/>
    <s v="L1144/47"/>
    <x v="57"/>
    <m/>
    <m/>
    <m/>
    <n v="0"/>
    <m/>
    <m/>
  </r>
  <r>
    <n v="1610"/>
    <x v="19"/>
    <s v="Day"/>
    <x v="0"/>
    <n v="2000712335"/>
    <n v="100"/>
    <n v="20"/>
    <n v="0"/>
    <s v="U36206"/>
    <s v="L1144/47"/>
    <x v="58"/>
    <m/>
    <m/>
    <m/>
    <n v="0"/>
    <m/>
    <m/>
  </r>
  <r>
    <n v="1611"/>
    <x v="19"/>
    <s v="Day"/>
    <x v="0"/>
    <n v="2000712228"/>
    <n v="670"/>
    <n v="80"/>
    <n v="0"/>
    <s v="U36206"/>
    <s v="L1144/47"/>
    <x v="56"/>
    <m/>
    <m/>
    <m/>
    <n v="0"/>
    <m/>
    <m/>
  </r>
  <r>
    <n v="1612"/>
    <x v="19"/>
    <s v="Day"/>
    <x v="0"/>
    <n v="2000711362"/>
    <n v="720"/>
    <n v="135"/>
    <n v="0"/>
    <s v="U15759"/>
    <s v="L1170/71"/>
    <x v="117"/>
    <m/>
    <m/>
    <m/>
    <n v="0"/>
    <m/>
    <m/>
  </r>
  <r>
    <n v="1613"/>
    <x v="19"/>
    <s v="Day"/>
    <x v="0"/>
    <n v="2000711722"/>
    <n v="630"/>
    <n v="30"/>
    <n v="0"/>
    <s v="U32991"/>
    <s v="L1193/94"/>
    <x v="104"/>
    <m/>
    <m/>
    <m/>
    <n v="0"/>
    <m/>
    <m/>
  </r>
  <r>
    <n v="1614"/>
    <x v="19"/>
    <s v="Day"/>
    <x v="0"/>
    <n v="2000711721"/>
    <n v="420"/>
    <n v="120"/>
    <n v="0"/>
    <s v="U32991"/>
    <s v="L1193/94"/>
    <x v="123"/>
    <m/>
    <m/>
    <m/>
    <n v="0"/>
    <m/>
    <m/>
  </r>
  <r>
    <n v="1615"/>
    <x v="19"/>
    <s v="Day"/>
    <x v="0"/>
    <n v="2000711362"/>
    <n v="720"/>
    <n v="45"/>
    <n v="0"/>
    <s v="U27687"/>
    <s v="L1170/71"/>
    <x v="117"/>
    <m/>
    <m/>
    <m/>
    <n v="0"/>
    <m/>
    <m/>
  </r>
  <r>
    <n v="1616"/>
    <x v="19"/>
    <s v="Day"/>
    <x v="0"/>
    <n v="2000712182"/>
    <n v="1600"/>
    <n v="30"/>
    <n v="0"/>
    <s v="U27687"/>
    <s v="L1172/73"/>
    <x v="18"/>
    <m/>
    <m/>
    <m/>
    <n v="0"/>
    <m/>
    <m/>
  </r>
  <r>
    <n v="1617"/>
    <x v="19"/>
    <s v="Day"/>
    <x v="0"/>
    <n v="2000712316"/>
    <n v="1400"/>
    <n v="60"/>
    <n v="0"/>
    <s v="U27687"/>
    <s v="L1172/73"/>
    <x v="19"/>
    <m/>
    <m/>
    <m/>
    <n v="0"/>
    <m/>
    <m/>
  </r>
  <r>
    <n v="1618"/>
    <x v="19"/>
    <s v="Day"/>
    <x v="0"/>
    <n v="2000712656"/>
    <n v="1130"/>
    <n v="285"/>
    <n v="0"/>
    <s v="U27687"/>
    <s v="L1170/71"/>
    <x v="117"/>
    <m/>
    <m/>
    <m/>
    <n v="0"/>
    <m/>
    <m/>
  </r>
  <r>
    <n v="1619"/>
    <x v="19"/>
    <s v="Day"/>
    <x v="0"/>
    <n v="2000711721"/>
    <n v="420"/>
    <n v="60"/>
    <n v="0"/>
    <s v="U27687"/>
    <s v="L1193/94"/>
    <x v="123"/>
    <m/>
    <m/>
    <m/>
    <n v="0"/>
    <m/>
    <m/>
  </r>
  <r>
    <n v="1620"/>
    <x v="19"/>
    <s v="Day"/>
    <x v="0"/>
    <n v="2000712664"/>
    <n v="482"/>
    <n v="80"/>
    <n v="0"/>
    <s v="U27687"/>
    <s v="L1188/89"/>
    <x v="47"/>
    <m/>
    <m/>
    <m/>
    <n v="0"/>
    <m/>
    <m/>
  </r>
  <r>
    <n v="1621"/>
    <x v="19"/>
    <s v="Day"/>
    <x v="0"/>
    <n v="2000712656"/>
    <n v="1130"/>
    <n v="480"/>
    <n v="0"/>
    <s v="U29686"/>
    <s v="L1170/71"/>
    <x v="117"/>
    <m/>
    <m/>
    <m/>
    <n v="0"/>
    <m/>
    <m/>
  </r>
  <r>
    <n v="1622"/>
    <x v="19"/>
    <s v="Day"/>
    <x v="0"/>
    <n v="2000711362"/>
    <n v="720"/>
    <n v="90"/>
    <n v="0"/>
    <s v="U29686"/>
    <s v="L1170/71"/>
    <x v="117"/>
    <m/>
    <m/>
    <m/>
    <n v="0"/>
    <m/>
    <m/>
  </r>
  <r>
    <n v="1623"/>
    <x v="19"/>
    <s v="Day"/>
    <x v="1"/>
    <n v="2000711963"/>
    <n v="680"/>
    <n v="170"/>
    <n v="0"/>
    <s v="U32991"/>
    <s v="PSHV"/>
    <x v="50"/>
    <m/>
    <m/>
    <m/>
    <n v="0"/>
    <m/>
    <m/>
  </r>
  <r>
    <n v="1624"/>
    <x v="19"/>
    <s v="Day"/>
    <x v="1"/>
    <n v="2000711962"/>
    <n v="70"/>
    <n v="20"/>
    <n v="0"/>
    <s v="U32991"/>
    <s v="PSLV"/>
    <x v="112"/>
    <m/>
    <m/>
    <m/>
    <n v="0"/>
    <m/>
    <m/>
  </r>
  <r>
    <n v="1625"/>
    <x v="19"/>
    <s v="Day"/>
    <x v="1"/>
    <n v="2000712458"/>
    <n v="1600"/>
    <n v="120"/>
    <n v="0"/>
    <s v="U32991"/>
    <s v="SHANKS"/>
    <x v="67"/>
    <m/>
    <m/>
    <m/>
    <n v="0"/>
    <m/>
    <m/>
  </r>
  <r>
    <n v="1626"/>
    <x v="19"/>
    <s v="Day"/>
    <x v="1"/>
    <n v="2000712881"/>
    <n v="250"/>
    <n v="40"/>
    <n v="0"/>
    <s v="U32991"/>
    <s v="PSLV"/>
    <x v="153"/>
    <m/>
    <m/>
    <m/>
    <n v="0"/>
    <m/>
    <m/>
  </r>
  <r>
    <n v="1627"/>
    <x v="19"/>
    <s v="Day"/>
    <x v="1"/>
    <n v="2000712653"/>
    <n v="600"/>
    <n v="80"/>
    <n v="0"/>
    <s v="U32991"/>
    <s v="PSLV"/>
    <x v="153"/>
    <m/>
    <m/>
    <m/>
    <n v="0"/>
    <m/>
    <m/>
  </r>
  <r>
    <n v="1628"/>
    <x v="19"/>
    <s v="Day"/>
    <x v="1"/>
    <n v="2000712650"/>
    <n v="660"/>
    <n v="60"/>
    <n v="0"/>
    <s v="U32991"/>
    <s v="SHANKS"/>
    <x v="22"/>
    <m/>
    <m/>
    <m/>
    <n v="0"/>
    <m/>
    <m/>
  </r>
  <r>
    <n v="1629"/>
    <x v="19"/>
    <s v="Day"/>
    <x v="1"/>
    <n v="2000711960"/>
    <n v="1000"/>
    <n v="80"/>
    <n v="0"/>
    <s v="U15759"/>
    <s v="PSHV"/>
    <x v="25"/>
    <m/>
    <m/>
    <m/>
    <n v="0"/>
    <m/>
    <m/>
  </r>
  <r>
    <n v="1630"/>
    <x v="19"/>
    <s v="Day"/>
    <x v="1"/>
    <n v="2000711963"/>
    <n v="680"/>
    <n v="30"/>
    <n v="0"/>
    <s v="U15759"/>
    <s v="PSHV"/>
    <x v="50"/>
    <m/>
    <m/>
    <m/>
    <n v="0"/>
    <m/>
    <m/>
  </r>
  <r>
    <n v="1631"/>
    <x v="19"/>
    <s v="Night"/>
    <x v="0"/>
    <n v="2000712395"/>
    <n v="402"/>
    <n v="40"/>
    <n v="0"/>
    <s v="U36008"/>
    <s v="L1188/89"/>
    <x v="73"/>
    <m/>
    <m/>
    <m/>
    <n v="0"/>
    <m/>
    <m/>
  </r>
  <r>
    <n v="1632"/>
    <x v="19"/>
    <s v="Night"/>
    <x v="0"/>
    <n v="2000712664"/>
    <n v="482"/>
    <n v="362"/>
    <n v="0"/>
    <s v="U36008"/>
    <s v="L1188/89"/>
    <x v="47"/>
    <m/>
    <m/>
    <m/>
    <n v="0"/>
    <m/>
    <m/>
  </r>
  <r>
    <n v="1633"/>
    <x v="19"/>
    <s v="Night"/>
    <x v="0"/>
    <n v="2000712666"/>
    <n v="280"/>
    <n v="80"/>
    <n v="0"/>
    <s v="U36008"/>
    <s v="L1188/89"/>
    <x v="17"/>
    <m/>
    <m/>
    <m/>
    <n v="0"/>
    <m/>
    <m/>
  </r>
  <r>
    <n v="1634"/>
    <x v="19"/>
    <s v="Night"/>
    <x v="0"/>
    <n v="2000712657"/>
    <n v="674"/>
    <n v="70"/>
    <n v="0"/>
    <s v="U36008"/>
    <s v="L1209/10"/>
    <x v="69"/>
    <m/>
    <m/>
    <m/>
    <n v="0"/>
    <m/>
    <m/>
  </r>
  <r>
    <n v="1635"/>
    <x v="19"/>
    <s v="Night"/>
    <x v="0"/>
    <n v="2000712994"/>
    <n v="96"/>
    <n v="96"/>
    <n v="0"/>
    <s v="U09854"/>
    <s v="L1172/73"/>
    <x v="19"/>
    <m/>
    <m/>
    <m/>
    <n v="0"/>
    <m/>
    <m/>
  </r>
  <r>
    <n v="1636"/>
    <x v="19"/>
    <s v="Night"/>
    <x v="0"/>
    <n v="2000712995"/>
    <n v="48"/>
    <n v="48"/>
    <n v="0"/>
    <s v="U09854"/>
    <s v="L1172/73"/>
    <x v="19"/>
    <m/>
    <m/>
    <m/>
    <n v="0"/>
    <m/>
    <m/>
  </r>
  <r>
    <n v="1637"/>
    <x v="19"/>
    <s v="Night"/>
    <x v="0"/>
    <n v="2000712031"/>
    <n v="2206"/>
    <n v="90"/>
    <n v="0"/>
    <s v="U09854"/>
    <s v="L1188/89"/>
    <x v="109"/>
    <m/>
    <m/>
    <m/>
    <n v="0"/>
    <m/>
    <m/>
  </r>
  <r>
    <n v="1638"/>
    <x v="19"/>
    <s v="Night"/>
    <x v="0"/>
    <n v="2000711677"/>
    <n v="1130"/>
    <n v="270"/>
    <n v="0"/>
    <s v="U09854"/>
    <s v="L1209/10"/>
    <x v="196"/>
    <m/>
    <m/>
    <m/>
    <n v="0"/>
    <m/>
    <m/>
  </r>
  <r>
    <n v="1639"/>
    <x v="19"/>
    <s v="Night"/>
    <x v="0"/>
    <n v="2000712657"/>
    <n v="674"/>
    <n v="155"/>
    <n v="0"/>
    <s v="U09854"/>
    <s v="L1209/10"/>
    <x v="69"/>
    <m/>
    <m/>
    <m/>
    <n v="0"/>
    <m/>
    <m/>
  </r>
  <r>
    <n v="1640"/>
    <x v="19"/>
    <s v="Night"/>
    <x v="0"/>
    <n v="2000712707"/>
    <n v="440"/>
    <n v="40"/>
    <n v="0"/>
    <s v="U09854"/>
    <s v="L1144/47"/>
    <x v="88"/>
    <m/>
    <m/>
    <m/>
    <n v="0"/>
    <m/>
    <m/>
  </r>
  <r>
    <n v="1641"/>
    <x v="19"/>
    <s v="Night"/>
    <x v="0"/>
    <n v="2000711677"/>
    <n v="1130"/>
    <n v="90"/>
    <n v="0"/>
    <s v="U07492"/>
    <s v="L1209/10"/>
    <x v="196"/>
    <m/>
    <m/>
    <m/>
    <n v="0"/>
    <m/>
    <m/>
  </r>
  <r>
    <n v="1642"/>
    <x v="19"/>
    <s v="Night"/>
    <x v="0"/>
    <n v="2000711314"/>
    <n v="28"/>
    <n v="10"/>
    <n v="0"/>
    <s v="U07492"/>
    <s v="L1209/10"/>
    <x v="69"/>
    <m/>
    <m/>
    <m/>
    <n v="0"/>
    <m/>
    <m/>
  </r>
  <r>
    <n v="1643"/>
    <x v="19"/>
    <s v="Night"/>
    <x v="0"/>
    <n v="2000712031"/>
    <n v="2206"/>
    <n v="135"/>
    <n v="0"/>
    <s v="U31065"/>
    <s v="L1188/89"/>
    <x v="109"/>
    <m/>
    <m/>
    <m/>
    <n v="0"/>
    <m/>
    <m/>
  </r>
  <r>
    <n v="1644"/>
    <x v="19"/>
    <s v="Night"/>
    <x v="0"/>
    <n v="2000711677"/>
    <n v="1130"/>
    <n v="208"/>
    <n v="0"/>
    <s v="U31065"/>
    <s v="L1209/10"/>
    <x v="196"/>
    <m/>
    <m/>
    <m/>
    <n v="0"/>
    <m/>
    <m/>
  </r>
  <r>
    <n v="1645"/>
    <x v="19"/>
    <s v="Night"/>
    <x v="0"/>
    <n v="2000711361"/>
    <n v="2400"/>
    <n v="45"/>
    <n v="0"/>
    <s v="U31065"/>
    <s v="L1209/10"/>
    <x v="196"/>
    <m/>
    <m/>
    <m/>
    <n v="0"/>
    <m/>
    <m/>
  </r>
  <r>
    <n v="1646"/>
    <x v="19"/>
    <s v="Night"/>
    <x v="0"/>
    <n v="2000711340"/>
    <n v="2000"/>
    <n v="1"/>
    <n v="0"/>
    <s v="U31065"/>
    <s v="L1209/10"/>
    <x v="196"/>
    <m/>
    <m/>
    <m/>
    <n v="0"/>
    <m/>
    <m/>
  </r>
  <r>
    <n v="1647"/>
    <x v="19"/>
    <s v="Night"/>
    <x v="0"/>
    <n v="2000712031"/>
    <n v="2206"/>
    <n v="90"/>
    <n v="0"/>
    <s v="U09749"/>
    <s v="L1188/89"/>
    <x v="109"/>
    <m/>
    <m/>
    <m/>
    <n v="0"/>
    <m/>
    <m/>
  </r>
  <r>
    <n v="1648"/>
    <x v="19"/>
    <s v="Night"/>
    <x v="0"/>
    <n v="2000711340"/>
    <n v="2000"/>
    <n v="45"/>
    <n v="0"/>
    <s v="U09749"/>
    <s v="L1209/10"/>
    <x v="196"/>
    <m/>
    <m/>
    <m/>
    <n v="0"/>
    <m/>
    <m/>
  </r>
  <r>
    <n v="1649"/>
    <x v="19"/>
    <s v="Night"/>
    <x v="0"/>
    <n v="2000711677"/>
    <n v="1130"/>
    <n v="270"/>
    <n v="0"/>
    <s v="U09749"/>
    <s v="L1209/10"/>
    <x v="196"/>
    <m/>
    <m/>
    <m/>
    <n v="0"/>
    <m/>
    <m/>
  </r>
  <r>
    <n v="1650"/>
    <x v="19"/>
    <s v="Night"/>
    <x v="0"/>
    <n v="2000712816"/>
    <n v="752"/>
    <n v="150"/>
    <n v="0"/>
    <s v="U26613"/>
    <s v="L1172/73"/>
    <x v="175"/>
    <m/>
    <m/>
    <m/>
    <n v="0"/>
    <m/>
    <m/>
  </r>
  <r>
    <n v="1651"/>
    <x v="19"/>
    <s v="Night"/>
    <x v="0"/>
    <n v="2000687440"/>
    <n v="300"/>
    <n v="4"/>
    <n v="0"/>
    <s v="U26613"/>
    <s v="L1172/73"/>
    <x v="175"/>
    <m/>
    <m/>
    <m/>
    <n v="0"/>
    <m/>
    <m/>
  </r>
  <r>
    <n v="1652"/>
    <x v="19"/>
    <s v="Night"/>
    <x v="0"/>
    <n v="2000711826"/>
    <n v="1440"/>
    <n v="240"/>
    <n v="0"/>
    <s v="U26613"/>
    <s v="L1193/94"/>
    <x v="30"/>
    <m/>
    <m/>
    <m/>
    <n v="0"/>
    <m/>
    <m/>
  </r>
  <r>
    <n v="1653"/>
    <x v="19"/>
    <s v="Night"/>
    <x v="0"/>
    <n v="2000712258"/>
    <n v="2000"/>
    <n v="300"/>
    <n v="0"/>
    <s v="U26613"/>
    <s v="L1077"/>
    <x v="33"/>
    <m/>
    <m/>
    <m/>
    <n v="0"/>
    <m/>
    <m/>
  </r>
  <r>
    <n v="1654"/>
    <x v="19"/>
    <s v="Night"/>
    <x v="0"/>
    <n v="2000712721"/>
    <n v="1540"/>
    <n v="400"/>
    <n v="0"/>
    <s v="U26613"/>
    <s v="L1174/75"/>
    <x v="62"/>
    <m/>
    <m/>
    <m/>
    <n v="0"/>
    <m/>
    <m/>
  </r>
  <r>
    <n v="1655"/>
    <x v="19"/>
    <s v="Night"/>
    <x v="0"/>
    <n v="2000712031"/>
    <n v="2206"/>
    <n v="45"/>
    <n v="0"/>
    <s v="U27724"/>
    <s v="L1188/89"/>
    <x v="109"/>
    <m/>
    <m/>
    <m/>
    <n v="0"/>
    <m/>
    <m/>
  </r>
  <r>
    <n v="1656"/>
    <x v="19"/>
    <s v="Night"/>
    <x v="0"/>
    <n v="2000712656"/>
    <n v="1130"/>
    <n v="95"/>
    <n v="0"/>
    <s v="U27724"/>
    <s v="L1170/71"/>
    <x v="117"/>
    <m/>
    <m/>
    <m/>
    <n v="0"/>
    <m/>
    <m/>
  </r>
  <r>
    <n v="1657"/>
    <x v="19"/>
    <s v="Night"/>
    <x v="0"/>
    <n v="2000711362"/>
    <n v="720"/>
    <n v="4"/>
    <n v="0"/>
    <s v="U27724"/>
    <s v="L1170/71"/>
    <x v="117"/>
    <m/>
    <m/>
    <m/>
    <n v="0"/>
    <m/>
    <m/>
  </r>
  <r>
    <n v="1658"/>
    <x v="19"/>
    <s v="Night"/>
    <x v="0"/>
    <n v="2000711721"/>
    <n v="420"/>
    <n v="150"/>
    <n v="0"/>
    <s v="U27724"/>
    <s v="L1193/94"/>
    <x v="123"/>
    <m/>
    <m/>
    <m/>
    <n v="0"/>
    <m/>
    <m/>
  </r>
  <r>
    <n v="1659"/>
    <x v="19"/>
    <s v="Night"/>
    <x v="0"/>
    <n v="2000711677"/>
    <n v="1130"/>
    <n v="45"/>
    <n v="0"/>
    <s v="U27724"/>
    <s v="L1209/10"/>
    <x v="196"/>
    <m/>
    <m/>
    <m/>
    <n v="0"/>
    <m/>
    <m/>
  </r>
  <r>
    <n v="1660"/>
    <x v="19"/>
    <s v="Night"/>
    <x v="0"/>
    <n v="2000712657"/>
    <n v="674"/>
    <n v="180"/>
    <n v="0"/>
    <s v="U27724"/>
    <s v="L1209/10"/>
    <x v="69"/>
    <m/>
    <m/>
    <m/>
    <n v="0"/>
    <m/>
    <m/>
  </r>
  <r>
    <n v="1661"/>
    <x v="19"/>
    <s v="Night"/>
    <x v="0"/>
    <n v="2000712415"/>
    <n v="2000"/>
    <n v="120"/>
    <n v="0"/>
    <s v="U30425"/>
    <s v="L1172/73"/>
    <x v="18"/>
    <m/>
    <m/>
    <m/>
    <n v="0"/>
    <m/>
    <m/>
  </r>
  <r>
    <n v="1662"/>
    <x v="19"/>
    <s v="Night"/>
    <x v="0"/>
    <n v="2000712337"/>
    <n v="1800"/>
    <n v="120"/>
    <n v="0"/>
    <s v="U30425"/>
    <s v="L1172/73"/>
    <x v="83"/>
    <m/>
    <m/>
    <m/>
    <n v="0"/>
    <m/>
    <m/>
  </r>
  <r>
    <n v="1663"/>
    <x v="19"/>
    <s v="Night"/>
    <x v="0"/>
    <n v="2000712708"/>
    <n v="2470"/>
    <n v="120"/>
    <n v="0"/>
    <s v="U30425"/>
    <s v="L1144/47"/>
    <x v="120"/>
    <m/>
    <m/>
    <m/>
    <n v="0"/>
    <m/>
    <m/>
  </r>
  <r>
    <n v="1664"/>
    <x v="19"/>
    <s v="Night"/>
    <x v="0"/>
    <n v="2000712707"/>
    <n v="440"/>
    <n v="40"/>
    <n v="0"/>
    <s v="U30425"/>
    <s v="L1144/47"/>
    <x v="88"/>
    <m/>
    <m/>
    <m/>
    <n v="0"/>
    <m/>
    <m/>
  </r>
  <r>
    <n v="1665"/>
    <x v="19"/>
    <s v="Night"/>
    <x v="0"/>
    <n v="2000712656"/>
    <n v="1130"/>
    <n v="135"/>
    <n v="0"/>
    <s v="U23987"/>
    <s v="L1170/71"/>
    <x v="117"/>
    <m/>
    <m/>
    <m/>
    <n v="0"/>
    <m/>
    <m/>
  </r>
  <r>
    <n v="1666"/>
    <x v="19"/>
    <s v="Night"/>
    <x v="0"/>
    <n v="2000712360"/>
    <n v="1500"/>
    <n v="240"/>
    <n v="0"/>
    <s v="U23987"/>
    <s v="L1168/69"/>
    <x v="37"/>
    <m/>
    <m/>
    <m/>
    <n v="0"/>
    <m/>
    <m/>
  </r>
  <r>
    <n v="1667"/>
    <x v="19"/>
    <s v="Night"/>
    <x v="0"/>
    <n v="2000712694"/>
    <n v="2000"/>
    <n v="20"/>
    <n v="0"/>
    <s v="U23987"/>
    <s v="L1077"/>
    <x v="2"/>
    <m/>
    <m/>
    <m/>
    <n v="0"/>
    <m/>
    <m/>
  </r>
  <r>
    <n v="1668"/>
    <x v="19"/>
    <s v="Night"/>
    <x v="1"/>
    <n v="2000712881"/>
    <n v="250"/>
    <n v="90"/>
    <n v="0"/>
    <s v="U30119"/>
    <s v="PSLV"/>
    <x v="49"/>
    <m/>
    <m/>
    <m/>
    <n v="0"/>
    <m/>
    <m/>
  </r>
  <r>
    <n v="1669"/>
    <x v="19"/>
    <s v="Night"/>
    <x v="1"/>
    <n v="2000709353"/>
    <n v="120"/>
    <n v="1"/>
    <n v="0"/>
    <s v="U30119"/>
    <s v="PSLV"/>
    <x v="135"/>
    <m/>
    <m/>
    <m/>
    <n v="0"/>
    <m/>
    <m/>
  </r>
  <r>
    <n v="1670"/>
    <x v="19"/>
    <s v="Night"/>
    <x v="1"/>
    <n v="2000711963"/>
    <n v="680"/>
    <n v="19"/>
    <n v="0"/>
    <s v="U30119"/>
    <s v="PSHV"/>
    <x v="50"/>
    <m/>
    <m/>
    <m/>
    <n v="0"/>
    <m/>
    <m/>
  </r>
  <r>
    <n v="1671"/>
    <x v="19"/>
    <s v="Night"/>
    <x v="1"/>
    <n v="2000709357"/>
    <n v="450"/>
    <n v="1"/>
    <n v="0"/>
    <s v="U30119"/>
    <s v="BORUTO"/>
    <x v="107"/>
    <m/>
    <m/>
    <m/>
    <n v="0"/>
    <m/>
    <m/>
  </r>
  <r>
    <n v="1672"/>
    <x v="19"/>
    <s v="Night"/>
    <x v="1"/>
    <n v="2000712882"/>
    <n v="350"/>
    <n v="1"/>
    <n v="0"/>
    <s v="U30119"/>
    <s v="PSLV"/>
    <x v="91"/>
    <m/>
    <m/>
    <m/>
    <n v="0"/>
    <m/>
    <m/>
  </r>
  <r>
    <n v="1673"/>
    <x v="19"/>
    <s v="Night"/>
    <x v="1"/>
    <n v="2000712650"/>
    <n v="660"/>
    <n v="150"/>
    <n v="0"/>
    <s v="U30119"/>
    <s v="SHANKS"/>
    <x v="22"/>
    <m/>
    <m/>
    <m/>
    <n v="0"/>
    <m/>
    <m/>
  </r>
  <r>
    <n v="1674"/>
    <x v="19"/>
    <s v="Night"/>
    <x v="1"/>
    <n v="2000712455"/>
    <n v="330"/>
    <n v="180"/>
    <n v="0"/>
    <s v="U30119"/>
    <s v="PSLV"/>
    <x v="128"/>
    <m/>
    <m/>
    <m/>
    <n v="0"/>
    <m/>
    <m/>
  </r>
  <r>
    <n v="1675"/>
    <x v="19"/>
    <s v="Night"/>
    <x v="1"/>
    <n v="2000711961"/>
    <n v="360"/>
    <n v="150"/>
    <n v="0"/>
    <s v="U30119"/>
    <s v="PSHV"/>
    <x v="96"/>
    <m/>
    <m/>
    <m/>
    <n v="0"/>
    <m/>
    <m/>
  </r>
  <r>
    <n v="1676"/>
    <x v="19"/>
    <s v="Night"/>
    <x v="1"/>
    <n v="2000712649"/>
    <n v="150"/>
    <n v="60"/>
    <n v="0"/>
    <s v="U30119"/>
    <s v="ZAKURO"/>
    <x v="114"/>
    <m/>
    <m/>
    <m/>
    <n v="0"/>
    <m/>
    <m/>
  </r>
  <r>
    <n v="1677"/>
    <x v="19"/>
    <s v="Night"/>
    <x v="1"/>
    <n v="2000712546"/>
    <n v="900"/>
    <n v="140"/>
    <n v="0"/>
    <s v="U30119"/>
    <s v="SHANKS"/>
    <x v="24"/>
    <m/>
    <m/>
    <m/>
    <n v="0"/>
    <m/>
    <m/>
  </r>
  <r>
    <n v="1678"/>
    <x v="19"/>
    <s v="Night"/>
    <x v="1"/>
    <n v="2000712883"/>
    <n v="352"/>
    <n v="100"/>
    <n v="0"/>
    <s v="U30119"/>
    <s v="PSLV"/>
    <x v="49"/>
    <m/>
    <m/>
    <m/>
    <n v="0"/>
    <m/>
    <m/>
  </r>
  <r>
    <n v="1679"/>
    <x v="19"/>
    <s v="Night"/>
    <x v="1"/>
    <n v="2000712483"/>
    <n v="285"/>
    <n v="30"/>
    <n v="0"/>
    <s v="U30119"/>
    <s v="PSLV"/>
    <x v="23"/>
    <m/>
    <m/>
    <m/>
    <n v="0"/>
    <m/>
    <m/>
  </r>
  <r>
    <n v="1680"/>
    <x v="20"/>
    <s v="Day"/>
    <x v="0"/>
    <n v="2000712657"/>
    <n v="674"/>
    <n v="20"/>
    <n v="0"/>
    <s v="U29686"/>
    <s v="L1209/10"/>
    <x v="69"/>
    <m/>
    <m/>
    <m/>
    <n v="0"/>
    <m/>
    <m/>
  </r>
  <r>
    <n v="1681"/>
    <x v="20"/>
    <s v="Day"/>
    <x v="0"/>
    <n v="2000712370"/>
    <n v="818"/>
    <n v="412"/>
    <n v="0"/>
    <s v="U29686"/>
    <s v="L1209/10_x0009_"/>
    <x v="55"/>
    <m/>
    <m/>
    <m/>
    <n v="0"/>
    <m/>
    <m/>
  </r>
  <r>
    <n v="1682"/>
    <x v="20"/>
    <s v="Day"/>
    <x v="0"/>
    <n v="2000712658"/>
    <n v="900"/>
    <n v="360"/>
    <n v="0"/>
    <s v="U29686"/>
    <s v="L1209/10"/>
    <x v="44"/>
    <m/>
    <m/>
    <m/>
    <n v="0"/>
    <m/>
    <m/>
  </r>
  <r>
    <n v="1683"/>
    <x v="20"/>
    <s v="Day"/>
    <x v="0"/>
    <n v="2000708959"/>
    <n v="1132"/>
    <n v="30"/>
    <n v="0"/>
    <s v="U29686"/>
    <s v="L1209/10"/>
    <x v="55"/>
    <m/>
    <m/>
    <m/>
    <n v="0"/>
    <m/>
    <m/>
  </r>
  <r>
    <n v="1684"/>
    <x v="20"/>
    <s v="Day"/>
    <x v="0"/>
    <n v="2000712658"/>
    <n v="900"/>
    <n v="90"/>
    <n v="0"/>
    <s v="U05944"/>
    <s v="L1209/10"/>
    <x v="44"/>
    <m/>
    <m/>
    <m/>
    <n v="0"/>
    <m/>
    <m/>
  </r>
  <r>
    <n v="1685"/>
    <x v="20"/>
    <s v="Day"/>
    <x v="0"/>
    <n v="2000712397"/>
    <n v="240"/>
    <n v="20"/>
    <n v="0"/>
    <s v="U05944"/>
    <s v="L1188/89"/>
    <x v="178"/>
    <m/>
    <m/>
    <m/>
    <n v="0"/>
    <m/>
    <m/>
  </r>
  <r>
    <n v="1686"/>
    <x v="20"/>
    <s v="Day"/>
    <x v="0"/>
    <n v="2000712416"/>
    <n v="2000"/>
    <n v="30"/>
    <n v="0"/>
    <s v="U05944"/>
    <s v="L1172/73"/>
    <x v="18"/>
    <m/>
    <m/>
    <m/>
    <n v="0"/>
    <m/>
    <m/>
  </r>
  <r>
    <n v="1687"/>
    <x v="20"/>
    <s v="Day"/>
    <x v="0"/>
    <n v="2000712657"/>
    <n v="674"/>
    <n v="244"/>
    <n v="0"/>
    <s v="U18660"/>
    <s v="L1209/10"/>
    <x v="69"/>
    <m/>
    <m/>
    <m/>
    <n v="0"/>
    <m/>
    <m/>
  </r>
  <r>
    <n v="1688"/>
    <x v="20"/>
    <s v="Day"/>
    <x v="0"/>
    <n v="2000711677"/>
    <n v="1130"/>
    <n v="90"/>
    <n v="0"/>
    <s v="U18660"/>
    <s v="L1209/10"/>
    <x v="196"/>
    <m/>
    <m/>
    <m/>
    <n v="0"/>
    <m/>
    <m/>
  </r>
  <r>
    <n v="1689"/>
    <x v="20"/>
    <s v="Day"/>
    <x v="0"/>
    <n v="2000712370"/>
    <n v="818"/>
    <n v="135"/>
    <n v="0"/>
    <s v="U18660"/>
    <s v="L1209/10"/>
    <x v="55"/>
    <m/>
    <m/>
    <m/>
    <n v="0"/>
    <m/>
    <m/>
  </r>
  <r>
    <n v="1690"/>
    <x v="20"/>
    <s v="Day"/>
    <x v="0"/>
    <n v="2000793344"/>
    <n v="37"/>
    <n v="3"/>
    <n v="0"/>
    <s v="U18660"/>
    <s v="L1197/98"/>
    <x v="156"/>
    <m/>
    <m/>
    <m/>
    <n v="0"/>
    <m/>
    <m/>
  </r>
  <r>
    <n v="1691"/>
    <x v="20"/>
    <s v="Day"/>
    <x v="0"/>
    <n v="2000693346"/>
    <n v="37"/>
    <n v="8"/>
    <n v="0"/>
    <s v="U18660"/>
    <s v="L1197/98"/>
    <x v="156"/>
    <m/>
    <m/>
    <m/>
    <n v="0"/>
    <m/>
    <m/>
  </r>
  <r>
    <n v="1692"/>
    <x v="20"/>
    <s v="Day"/>
    <x v="0"/>
    <n v="2000711677"/>
    <n v="1130"/>
    <n v="45"/>
    <n v="0"/>
    <s v="U32991"/>
    <s v="L1209/10"/>
    <x v="196"/>
    <m/>
    <m/>
    <m/>
    <n v="0"/>
    <m/>
    <m/>
  </r>
  <r>
    <n v="1693"/>
    <x v="20"/>
    <s v="Day"/>
    <x v="0"/>
    <n v="2000712995"/>
    <n v="48"/>
    <n v="48"/>
    <n v="0"/>
    <s v="U32991"/>
    <s v="L1172/73"/>
    <x v="19"/>
    <m/>
    <m/>
    <m/>
    <n v="0"/>
    <m/>
    <m/>
  </r>
  <r>
    <n v="1694"/>
    <x v="20"/>
    <s v="Day"/>
    <x v="0"/>
    <n v="2000711721"/>
    <n v="420"/>
    <n v="60"/>
    <n v="0"/>
    <s v="U27687"/>
    <s v="L1193/94"/>
    <x v="123"/>
    <m/>
    <m/>
    <m/>
    <n v="0"/>
    <m/>
    <m/>
  </r>
  <r>
    <n v="1695"/>
    <x v="20"/>
    <s v="Day"/>
    <x v="0"/>
    <n v="2000712370"/>
    <n v="818"/>
    <n v="90"/>
    <n v="0"/>
    <s v="U27687"/>
    <s v="L1188/89"/>
    <x v="55"/>
    <m/>
    <m/>
    <m/>
    <n v="0"/>
    <m/>
    <m/>
  </r>
  <r>
    <n v="1696"/>
    <x v="20"/>
    <s v="Day"/>
    <x v="0"/>
    <n v="2000712663"/>
    <n v="3000"/>
    <n v="120"/>
    <n v="0"/>
    <s v="U27687"/>
    <s v="L1168/69"/>
    <x v="37"/>
    <m/>
    <m/>
    <m/>
    <n v="0"/>
    <m/>
    <m/>
  </r>
  <r>
    <n v="1697"/>
    <x v="20"/>
    <s v="Day"/>
    <x v="0"/>
    <n v="2000711677"/>
    <n v="1130"/>
    <n v="90"/>
    <n v="0"/>
    <s v="U27687"/>
    <s v="L1209/10"/>
    <x v="196"/>
    <m/>
    <m/>
    <m/>
    <n v="0"/>
    <m/>
    <m/>
  </r>
  <r>
    <n v="1698"/>
    <x v="20"/>
    <s v="Day"/>
    <x v="0"/>
    <n v="2000711361"/>
    <n v="2400"/>
    <n v="43"/>
    <n v="0"/>
    <s v="U27687"/>
    <s v="L1209/10"/>
    <x v="196"/>
    <m/>
    <m/>
    <m/>
    <n v="0"/>
    <m/>
    <m/>
  </r>
  <r>
    <n v="1699"/>
    <x v="20"/>
    <s v="Day"/>
    <x v="0"/>
    <n v="2000713119"/>
    <n v="2300"/>
    <n v="170"/>
    <n v="0"/>
    <s v="U36206"/>
    <s v="L1174/75"/>
    <x v="61"/>
    <m/>
    <m/>
    <m/>
    <n v="0"/>
    <m/>
    <m/>
  </r>
  <r>
    <n v="1700"/>
    <x v="20"/>
    <s v="Day"/>
    <x v="0"/>
    <n v="2000713049"/>
    <n v="540"/>
    <n v="80"/>
    <n v="0"/>
    <s v="U36206"/>
    <s v="L1144/47"/>
    <x v="39"/>
    <m/>
    <m/>
    <m/>
    <n v="0"/>
    <m/>
    <m/>
  </r>
  <r>
    <n v="1701"/>
    <x v="20"/>
    <s v="Day"/>
    <x v="0"/>
    <n v="2000712725"/>
    <n v="1540"/>
    <n v="130"/>
    <n v="0"/>
    <s v="U36206"/>
    <s v="L1174/75"/>
    <x v="40"/>
    <m/>
    <m/>
    <m/>
    <n v="0"/>
    <m/>
    <m/>
  </r>
  <r>
    <n v="1702"/>
    <x v="20"/>
    <s v="Day"/>
    <x v="0"/>
    <n v="2000712343"/>
    <n v="3200"/>
    <n v="120"/>
    <n v="0"/>
    <s v="U36206"/>
    <s v="L1144/47"/>
    <x v="59"/>
    <m/>
    <m/>
    <m/>
    <n v="0"/>
    <m/>
    <m/>
  </r>
  <r>
    <n v="1703"/>
    <x v="20"/>
    <s v="Day"/>
    <x v="0"/>
    <n v="2000712048"/>
    <n v="200"/>
    <n v="20"/>
    <n v="0"/>
    <s v="U36206"/>
    <s v="L1144/47"/>
    <x v="57"/>
    <m/>
    <m/>
    <m/>
    <n v="0"/>
    <m/>
    <m/>
  </r>
  <r>
    <n v="1704"/>
    <x v="20"/>
    <s v="Day"/>
    <x v="0"/>
    <n v="2000711855"/>
    <n v="4210"/>
    <n v="300"/>
    <n v="0"/>
    <s v="U03968"/>
    <s v="T515"/>
    <x v="15"/>
    <m/>
    <m/>
    <m/>
    <n v="0"/>
    <m/>
    <m/>
  </r>
  <r>
    <n v="1705"/>
    <x v="20"/>
    <s v="Day"/>
    <x v="0"/>
    <n v="2000712341"/>
    <n v="3200"/>
    <n v="200"/>
    <n v="0"/>
    <s v="U03968"/>
    <s v="L1144/47"/>
    <x v="77"/>
    <m/>
    <m/>
    <m/>
    <n v="0"/>
    <m/>
    <m/>
  </r>
  <r>
    <n v="1706"/>
    <x v="20"/>
    <s v="Day"/>
    <x v="0"/>
    <n v="2000712448"/>
    <n v="4032"/>
    <n v="200"/>
    <n v="0"/>
    <s v="U03968"/>
    <s v="L1144/47"/>
    <x v="14"/>
    <m/>
    <m/>
    <m/>
    <n v="0"/>
    <m/>
    <m/>
  </r>
  <r>
    <n v="1707"/>
    <x v="20"/>
    <s v="Day"/>
    <x v="0"/>
    <n v="2000712816"/>
    <n v="752"/>
    <n v="150"/>
    <n v="0"/>
    <s v="U03968"/>
    <s v="L1172/73"/>
    <x v="175"/>
    <m/>
    <m/>
    <m/>
    <n v="0"/>
    <m/>
    <m/>
  </r>
  <r>
    <n v="1708"/>
    <x v="20"/>
    <s v="Day"/>
    <x v="0"/>
    <n v="2000712340"/>
    <n v="3200"/>
    <n v="200"/>
    <n v="0"/>
    <s v="U03968"/>
    <s v="L1144/47"/>
    <x v="92"/>
    <m/>
    <m/>
    <m/>
    <n v="0"/>
    <m/>
    <m/>
  </r>
  <r>
    <n v="1709"/>
    <x v="20"/>
    <s v="Day"/>
    <x v="0"/>
    <n v="2000712815"/>
    <n v="7800"/>
    <n v="300"/>
    <n v="0"/>
    <s v="U03968"/>
    <s v="L1112/13"/>
    <x v="75"/>
    <m/>
    <m/>
    <m/>
    <n v="0"/>
    <m/>
    <m/>
  </r>
  <r>
    <n v="1710"/>
    <x v="20"/>
    <s v="Day"/>
    <x v="0"/>
    <n v="2000712907"/>
    <n v="4016"/>
    <n v="200"/>
    <n v="0"/>
    <s v="U03968"/>
    <s v="L1112/13"/>
    <x v="8"/>
    <m/>
    <m/>
    <m/>
    <n v="0"/>
    <m/>
    <m/>
  </r>
  <r>
    <n v="1711"/>
    <x v="20"/>
    <s v="Day"/>
    <x v="0"/>
    <n v="2000712342"/>
    <n v="3200"/>
    <n v="150"/>
    <n v="0"/>
    <s v="U03968"/>
    <s v="L1144/47"/>
    <x v="13"/>
    <m/>
    <m/>
    <m/>
    <n v="0"/>
    <m/>
    <m/>
  </r>
  <r>
    <n v="1712"/>
    <x v="20"/>
    <s v="Day"/>
    <x v="0"/>
    <n v="2000712666"/>
    <n v="280"/>
    <n v="200"/>
    <n v="0"/>
    <s v="U27723"/>
    <s v="L1188/89"/>
    <x v="17"/>
    <m/>
    <m/>
    <m/>
    <n v="0"/>
    <m/>
    <m/>
  </r>
  <r>
    <n v="1713"/>
    <x v="20"/>
    <s v="Day"/>
    <x v="0"/>
    <n v="2000709979"/>
    <n v="2064"/>
    <n v="12"/>
    <n v="0"/>
    <s v="U27723"/>
    <s v="L1128/29"/>
    <x v="215"/>
    <m/>
    <m/>
    <m/>
    <n v="0"/>
    <m/>
    <m/>
  </r>
  <r>
    <n v="1714"/>
    <x v="20"/>
    <s v="Day"/>
    <x v="0"/>
    <n v="2000707222"/>
    <n v="1850"/>
    <n v="1"/>
    <n v="0"/>
    <s v="U27723"/>
    <s v="L1188/89"/>
    <x v="17"/>
    <m/>
    <m/>
    <m/>
    <n v="0"/>
    <m/>
    <m/>
  </r>
  <r>
    <n v="1715"/>
    <x v="20"/>
    <s v="Day"/>
    <x v="0"/>
    <n v="2000712397"/>
    <n v="240"/>
    <n v="218"/>
    <n v="0"/>
    <s v="U27723"/>
    <s v="L1188/89"/>
    <x v="178"/>
    <m/>
    <m/>
    <m/>
    <n v="0"/>
    <m/>
    <m/>
  </r>
  <r>
    <n v="1716"/>
    <x v="20"/>
    <s v="Day"/>
    <x v="1"/>
    <n v="2000712883"/>
    <n v="352"/>
    <n v="62"/>
    <n v="0"/>
    <s v="U18660"/>
    <s v="PSLV"/>
    <x v="49"/>
    <m/>
    <m/>
    <m/>
    <n v="0"/>
    <m/>
    <m/>
  </r>
  <r>
    <n v="1717"/>
    <x v="20"/>
    <s v="Day"/>
    <x v="1"/>
    <n v="2000712883"/>
    <n v="352"/>
    <n v="100"/>
    <n v="0"/>
    <s v="U32991"/>
    <s v="PSLV"/>
    <x v="49"/>
    <m/>
    <m/>
    <m/>
    <n v="0"/>
    <m/>
    <m/>
  </r>
  <r>
    <n v="1718"/>
    <x v="20"/>
    <s v="Day"/>
    <x v="1"/>
    <n v="2000712450"/>
    <n v="945"/>
    <n v="80"/>
    <n v="0"/>
    <s v="U32991"/>
    <s v="PSHV"/>
    <x v="26"/>
    <m/>
    <m/>
    <m/>
    <n v="0"/>
    <m/>
    <m/>
  </r>
  <r>
    <n v="1719"/>
    <x v="20"/>
    <s v="Day"/>
    <x v="1"/>
    <n v="2000712904"/>
    <n v="1059"/>
    <n v="192"/>
    <n v="0"/>
    <s v="U32991"/>
    <s v="FRANKY"/>
    <x v="51"/>
    <m/>
    <m/>
    <m/>
    <n v="0"/>
    <m/>
    <m/>
  </r>
  <r>
    <n v="1720"/>
    <x v="20"/>
    <s v="Day"/>
    <x v="1"/>
    <n v="2000712483"/>
    <n v="285"/>
    <n v="130"/>
    <n v="0"/>
    <s v="U32991"/>
    <s v="PSLV"/>
    <x v="23"/>
    <m/>
    <m/>
    <m/>
    <n v="0"/>
    <m/>
    <m/>
  </r>
  <r>
    <n v="1721"/>
    <x v="20"/>
    <s v="Day"/>
    <x v="1"/>
    <n v="2000712654"/>
    <n v="30"/>
    <n v="20"/>
    <n v="0"/>
    <s v="U32991"/>
    <s v="PSLV"/>
    <x v="105"/>
    <m/>
    <m/>
    <m/>
    <n v="0"/>
    <m/>
    <m/>
  </r>
  <r>
    <n v="1722"/>
    <x v="20"/>
    <s v="Day"/>
    <x v="1"/>
    <n v="2000712465"/>
    <n v="300"/>
    <n v="30"/>
    <n v="0"/>
    <s v="U32991"/>
    <s v="PSLV"/>
    <x v="128"/>
    <m/>
    <m/>
    <m/>
    <n v="0"/>
    <m/>
    <m/>
  </r>
  <r>
    <n v="1723"/>
    <x v="20"/>
    <s v="Night"/>
    <x v="0"/>
    <n v="2000710292"/>
    <n v="280"/>
    <n v="120"/>
    <n v="0"/>
    <s v="U09749"/>
    <s v="L1144/47"/>
    <x v="203"/>
    <m/>
    <m/>
    <m/>
    <n v="0"/>
    <m/>
    <m/>
  </r>
  <r>
    <n v="1724"/>
    <x v="20"/>
    <s v="Night"/>
    <x v="0"/>
    <n v="2000712690"/>
    <n v="2000"/>
    <n v="200"/>
    <n v="0"/>
    <s v="U09749"/>
    <s v="L1077"/>
    <x v="2"/>
    <m/>
    <m/>
    <m/>
    <n v="0"/>
    <m/>
    <m/>
  </r>
  <r>
    <n v="1725"/>
    <x v="20"/>
    <s v="Night"/>
    <x v="0"/>
    <n v="2000712720"/>
    <n v="3900"/>
    <n v="400"/>
    <n v="0"/>
    <s v="U09749"/>
    <s v="L1174/75"/>
    <x v="62"/>
    <m/>
    <m/>
    <m/>
    <n v="0"/>
    <m/>
    <m/>
  </r>
  <r>
    <n v="1726"/>
    <x v="20"/>
    <s v="Night"/>
    <x v="0"/>
    <n v="2000713139"/>
    <n v="480"/>
    <n v="74"/>
    <n v="0"/>
    <s v="U09749"/>
    <s v="L1188/89"/>
    <x v="72"/>
    <m/>
    <m/>
    <m/>
    <n v="0"/>
    <m/>
    <m/>
  </r>
  <r>
    <n v="1727"/>
    <x v="20"/>
    <s v="Night"/>
    <x v="0"/>
    <n v="2000712667"/>
    <n v="120"/>
    <n v="20"/>
    <n v="0"/>
    <s v="U09749"/>
    <s v="L1188/89"/>
    <x v="168"/>
    <m/>
    <m/>
    <m/>
    <n v="0"/>
    <m/>
    <m/>
  </r>
  <r>
    <n v="1728"/>
    <x v="20"/>
    <s v="Night"/>
    <x v="0"/>
    <n v="2000713139"/>
    <n v="480"/>
    <n v="60"/>
    <n v="0"/>
    <s v="U07492"/>
    <s v="L1188/89"/>
    <x v="72"/>
    <m/>
    <m/>
    <m/>
    <n v="0"/>
    <m/>
    <m/>
  </r>
  <r>
    <n v="1729"/>
    <x v="20"/>
    <s v="Night"/>
    <x v="0"/>
    <n v="2000712667"/>
    <n v="120"/>
    <n v="40"/>
    <n v="0"/>
    <s v="U07492"/>
    <s v="L1188/89"/>
    <x v="168"/>
    <m/>
    <m/>
    <m/>
    <n v="0"/>
    <m/>
    <m/>
  </r>
  <r>
    <n v="1730"/>
    <x v="20"/>
    <s v="Night"/>
    <x v="0"/>
    <n v="2000712370"/>
    <n v="818"/>
    <n v="45"/>
    <n v="0"/>
    <s v="U31065"/>
    <s v="L1209/10"/>
    <x v="55"/>
    <m/>
    <m/>
    <m/>
    <n v="0"/>
    <m/>
    <m/>
  </r>
  <r>
    <n v="1731"/>
    <x v="20"/>
    <s v="Night"/>
    <x v="0"/>
    <n v="2000713138"/>
    <n v="446"/>
    <n v="80"/>
    <n v="0"/>
    <s v="U31065"/>
    <s v="L1188/89"/>
    <x v="0"/>
    <m/>
    <m/>
    <m/>
    <n v="0"/>
    <m/>
    <m/>
  </r>
  <r>
    <n v="1732"/>
    <x v="20"/>
    <s v="Night"/>
    <x v="0"/>
    <n v="2000706629"/>
    <n v="764"/>
    <n v="2"/>
    <n v="0"/>
    <s v="U31065"/>
    <s v="L1188/89"/>
    <x v="72"/>
    <m/>
    <m/>
    <m/>
    <n v="0"/>
    <m/>
    <m/>
  </r>
  <r>
    <n v="1733"/>
    <x v="20"/>
    <s v="Night"/>
    <x v="0"/>
    <n v="2000713139"/>
    <n v="480"/>
    <n v="280"/>
    <n v="0"/>
    <s v="U31065"/>
    <s v="L1188/89"/>
    <x v="72"/>
    <m/>
    <m/>
    <m/>
    <n v="0"/>
    <m/>
    <m/>
  </r>
  <r>
    <n v="1734"/>
    <x v="20"/>
    <s v="Night"/>
    <x v="0"/>
    <n v="2000703699"/>
    <n v="1640"/>
    <n v="3"/>
    <n v="0"/>
    <s v="U31065"/>
    <s v="L1188/89"/>
    <x v="72"/>
    <m/>
    <m/>
    <m/>
    <n v="0"/>
    <m/>
    <m/>
  </r>
  <r>
    <n v="1735"/>
    <x v="20"/>
    <s v="Night"/>
    <x v="0"/>
    <n v="2000713138"/>
    <n v="446"/>
    <n v="366"/>
    <n v="0"/>
    <s v="U36008"/>
    <s v="L1188/89"/>
    <x v="0"/>
    <m/>
    <m/>
    <m/>
    <n v="0"/>
    <m/>
    <m/>
  </r>
  <r>
    <n v="1736"/>
    <x v="20"/>
    <s v="Night"/>
    <x v="0"/>
    <n v="2000705992"/>
    <n v="2800"/>
    <n v="2"/>
    <n v="0"/>
    <s v="U36008"/>
    <s v="L1188/89"/>
    <x v="0"/>
    <m/>
    <m/>
    <m/>
    <n v="0"/>
    <m/>
    <m/>
  </r>
  <r>
    <n v="1737"/>
    <x v="20"/>
    <s v="Night"/>
    <x v="0"/>
    <n v="2000393344"/>
    <n v="37"/>
    <n v="3"/>
    <n v="0"/>
    <s v="U09854"/>
    <s v="L1197/98"/>
    <x v="156"/>
    <m/>
    <m/>
    <m/>
    <n v="0"/>
    <m/>
    <m/>
  </r>
  <r>
    <n v="1738"/>
    <x v="20"/>
    <s v="Night"/>
    <x v="0"/>
    <n v="2000393346"/>
    <n v="37"/>
    <n v="8"/>
    <n v="0"/>
    <s v="U09854"/>
    <s v="L1197/98"/>
    <x v="156"/>
    <m/>
    <m/>
    <m/>
    <n v="0"/>
    <m/>
    <m/>
  </r>
  <r>
    <n v="1739"/>
    <x v="20"/>
    <s v="Night"/>
    <x v="0"/>
    <n v="2000712370"/>
    <n v="818"/>
    <n v="45"/>
    <n v="0"/>
    <s v="U09854"/>
    <s v="L1209/10"/>
    <x v="55"/>
    <m/>
    <m/>
    <m/>
    <n v="0"/>
    <m/>
    <m/>
  </r>
  <r>
    <n v="1740"/>
    <x v="20"/>
    <s v="Night"/>
    <x v="0"/>
    <n v="2000712658"/>
    <n v="900"/>
    <n v="225"/>
    <n v="0"/>
    <s v="U09854"/>
    <s v="L1209/10"/>
    <x v="44"/>
    <m/>
    <m/>
    <m/>
    <n v="0"/>
    <m/>
    <m/>
  </r>
  <r>
    <n v="1741"/>
    <x v="20"/>
    <s v="Night"/>
    <x v="0"/>
    <n v="2000713386"/>
    <n v="952"/>
    <n v="90"/>
    <n v="0"/>
    <s v="U09854"/>
    <s v="L1209/10"/>
    <x v="216"/>
    <m/>
    <m/>
    <m/>
    <n v="0"/>
    <m/>
    <m/>
  </r>
  <r>
    <n v="1742"/>
    <x v="20"/>
    <s v="Night"/>
    <x v="0"/>
    <n v="2000713139"/>
    <n v="480"/>
    <n v="60"/>
    <n v="0"/>
    <s v="U09854"/>
    <s v="L1188/89"/>
    <x v="72"/>
    <m/>
    <m/>
    <m/>
    <n v="0"/>
    <m/>
    <m/>
  </r>
  <r>
    <n v="1743"/>
    <x v="20"/>
    <s v="Night"/>
    <x v="0"/>
    <n v="2000712723"/>
    <n v="2300"/>
    <n v="400"/>
    <n v="0"/>
    <s v="U26613"/>
    <s v="L1174/75"/>
    <x v="62"/>
    <m/>
    <m/>
    <m/>
    <n v="0"/>
    <m/>
    <m/>
  </r>
  <r>
    <n v="1744"/>
    <x v="20"/>
    <s v="Night"/>
    <x v="0"/>
    <n v="2000712693"/>
    <n v="2000"/>
    <n v="200"/>
    <n v="0"/>
    <s v="U26613"/>
    <s v="L1077"/>
    <x v="36"/>
    <m/>
    <m/>
    <m/>
    <n v="0"/>
    <m/>
    <m/>
  </r>
  <r>
    <n v="1745"/>
    <x v="20"/>
    <s v="Night"/>
    <x v="0"/>
    <n v="2000712817"/>
    <n v="1500"/>
    <n v="150"/>
    <n v="0"/>
    <s v="U26613"/>
    <s v="L1186"/>
    <x v="76"/>
    <m/>
    <m/>
    <m/>
    <n v="0"/>
    <m/>
    <m/>
  </r>
  <r>
    <n v="1746"/>
    <x v="20"/>
    <s v="Night"/>
    <x v="0"/>
    <n v="2000712816"/>
    <n v="752"/>
    <n v="300"/>
    <n v="0"/>
    <s v="U26613"/>
    <s v="L1172/73"/>
    <x v="175"/>
    <m/>
    <m/>
    <m/>
    <n v="0"/>
    <m/>
    <m/>
  </r>
  <r>
    <n v="1747"/>
    <x v="20"/>
    <s v="Night"/>
    <x v="0"/>
    <n v="2000712416"/>
    <n v="2000"/>
    <n v="90"/>
    <n v="0"/>
    <s v="U30425"/>
    <s v="L1172/73"/>
    <x v="18"/>
    <m/>
    <m/>
    <m/>
    <n v="0"/>
    <m/>
    <m/>
  </r>
  <r>
    <n v="1748"/>
    <x v="20"/>
    <s v="Night"/>
    <x v="0"/>
    <n v="2000712709"/>
    <n v="880"/>
    <n v="80"/>
    <n v="0"/>
    <s v="U30425"/>
    <s v="L1144/47"/>
    <x v="89"/>
    <m/>
    <m/>
    <m/>
    <n v="0"/>
    <m/>
    <m/>
  </r>
  <r>
    <n v="1749"/>
    <x v="20"/>
    <s v="Night"/>
    <x v="0"/>
    <n v="2000712694"/>
    <n v="2000"/>
    <n v="100"/>
    <n v="0"/>
    <s v="U30425"/>
    <s v="L1077"/>
    <x v="2"/>
    <m/>
    <m/>
    <m/>
    <n v="0"/>
    <m/>
    <m/>
  </r>
  <r>
    <n v="1750"/>
    <x v="20"/>
    <s v="Night"/>
    <x v="0"/>
    <n v="2000712343"/>
    <n v="3200"/>
    <n v="120"/>
    <n v="0"/>
    <s v="U30425"/>
    <s v="L1144/47"/>
    <x v="59"/>
    <m/>
    <m/>
    <m/>
    <n v="0"/>
    <m/>
    <m/>
  </r>
  <r>
    <n v="1751"/>
    <x v="20"/>
    <s v="Night"/>
    <x v="0"/>
    <n v="2000712370"/>
    <n v="818"/>
    <n v="90"/>
    <n v="0"/>
    <s v="U27724"/>
    <s v="L1209/10"/>
    <x v="55"/>
    <m/>
    <m/>
    <m/>
    <n v="0"/>
    <m/>
    <m/>
  </r>
  <r>
    <n v="1752"/>
    <x v="20"/>
    <s v="Night"/>
    <x v="0"/>
    <n v="2000712658"/>
    <n v="900"/>
    <n v="225"/>
    <n v="0"/>
    <s v="U27724"/>
    <s v="L1209/10"/>
    <x v="44"/>
    <m/>
    <m/>
    <m/>
    <n v="0"/>
    <m/>
    <m/>
  </r>
  <r>
    <n v="1753"/>
    <x v="20"/>
    <s v="Night"/>
    <x v="0"/>
    <n v="2000711678"/>
    <n v="450"/>
    <n v="22"/>
    <n v="0"/>
    <s v="U27724"/>
    <s v="L1209/10"/>
    <x v="44"/>
    <m/>
    <m/>
    <m/>
    <n v="0"/>
    <m/>
    <m/>
  </r>
  <r>
    <n v="1754"/>
    <x v="20"/>
    <s v="Night"/>
    <x v="0"/>
    <n v="2000713386"/>
    <n v="952"/>
    <n v="135"/>
    <n v="0"/>
    <s v="U27724"/>
    <s v="L1209/10"/>
    <x v="216"/>
    <m/>
    <m/>
    <m/>
    <n v="0"/>
    <m/>
    <m/>
  </r>
  <r>
    <n v="1755"/>
    <x v="20"/>
    <s v="Night"/>
    <x v="1"/>
    <n v="2000712883"/>
    <n v="352"/>
    <n v="90"/>
    <n v="0"/>
    <s v="U30119"/>
    <s v="PSLV"/>
    <x v="49"/>
    <m/>
    <m/>
    <m/>
    <n v="0"/>
    <m/>
    <m/>
  </r>
  <r>
    <n v="1756"/>
    <x v="20"/>
    <s v="Night"/>
    <x v="1"/>
    <n v="2000712454"/>
    <n v="22"/>
    <n v="21"/>
    <n v="0"/>
    <s v="U30119"/>
    <s v="PSLV"/>
    <x v="200"/>
    <m/>
    <m/>
    <m/>
    <n v="0"/>
    <m/>
    <m/>
  </r>
  <r>
    <n v="1757"/>
    <x v="20"/>
    <s v="Night"/>
    <x v="1"/>
    <n v="2000712483"/>
    <n v="285"/>
    <n v="110"/>
    <n v="0"/>
    <s v="U30119"/>
    <s v="PSLV"/>
    <x v="23"/>
    <m/>
    <m/>
    <m/>
    <n v="0"/>
    <m/>
    <m/>
  </r>
  <r>
    <n v="1758"/>
    <x v="20"/>
    <s v="Night"/>
    <x v="1"/>
    <n v="2000712900"/>
    <n v="1000"/>
    <n v="150"/>
    <n v="0"/>
    <s v="U30119"/>
    <s v="PSHV"/>
    <x v="25"/>
    <m/>
    <m/>
    <m/>
    <n v="0"/>
    <m/>
    <m/>
  </r>
  <r>
    <n v="1759"/>
    <x v="20"/>
    <s v="Night"/>
    <x v="1"/>
    <n v="2000712902"/>
    <n v="900"/>
    <n v="175"/>
    <n v="0"/>
    <s v="U30119"/>
    <s v="SHANKS"/>
    <x v="24"/>
    <m/>
    <m/>
    <m/>
    <n v="0"/>
    <m/>
    <m/>
  </r>
  <r>
    <n v="1760"/>
    <x v="20"/>
    <s v="Night"/>
    <x v="1"/>
    <n v="2000712073"/>
    <n v="660"/>
    <n v="90"/>
    <n v="0"/>
    <s v="U30119"/>
    <s v="SHANKS"/>
    <x v="22"/>
    <m/>
    <m/>
    <m/>
    <n v="0"/>
    <m/>
    <m/>
  </r>
  <r>
    <n v="1761"/>
    <x v="20"/>
    <s v="Night"/>
    <x v="1"/>
    <n v="2000712904"/>
    <n v="1059"/>
    <n v="96"/>
    <m/>
    <s v="U30119"/>
    <s v="FRANKY"/>
    <x v="51"/>
    <m/>
    <m/>
    <m/>
    <m/>
    <m/>
    <m/>
  </r>
  <r>
    <n v="1762"/>
    <x v="20"/>
    <s v="Night"/>
    <x v="1"/>
    <n v="2000712903"/>
    <n v="170"/>
    <n v="75"/>
    <n v="0"/>
    <s v="U30119"/>
    <s v="PSLV"/>
    <x v="79"/>
    <m/>
    <m/>
    <m/>
    <n v="0"/>
    <m/>
    <m/>
  </r>
  <r>
    <n v="1763"/>
    <x v="20"/>
    <s v="Night"/>
    <x v="1"/>
    <n v="2000713201"/>
    <n v="350"/>
    <n v="40"/>
    <n v="0"/>
    <s v="U30119"/>
    <s v="PSLV"/>
    <x v="135"/>
    <m/>
    <m/>
    <m/>
    <n v="0"/>
    <m/>
    <m/>
  </r>
  <r>
    <n v="1764"/>
    <x v="20"/>
    <s v="Night"/>
    <x v="1"/>
    <n v="2000712455"/>
    <n v="330"/>
    <n v="117"/>
    <n v="0"/>
    <s v="U23987"/>
    <s v="PSLV"/>
    <x v="128"/>
    <m/>
    <m/>
    <m/>
    <n v="0"/>
    <m/>
    <m/>
  </r>
  <r>
    <n v="1765"/>
    <x v="20"/>
    <s v="Night"/>
    <x v="1"/>
    <n v="2000712483"/>
    <n v="285"/>
    <n v="15"/>
    <n v="0"/>
    <s v="U23987"/>
    <s v="PSLV"/>
    <x v="23"/>
    <m/>
    <m/>
    <m/>
    <n v="0"/>
    <m/>
    <m/>
  </r>
  <r>
    <n v="1766"/>
    <x v="20"/>
    <s v="Night"/>
    <x v="1"/>
    <n v="2000713201"/>
    <n v="350"/>
    <n v="40"/>
    <n v="0"/>
    <s v="U23987"/>
    <s v="PSLV"/>
    <x v="135"/>
    <m/>
    <m/>
    <m/>
    <n v="0"/>
    <m/>
    <m/>
  </r>
  <r>
    <n v="1767"/>
    <x v="20"/>
    <s v="Night"/>
    <x v="1"/>
    <n v="2000713073"/>
    <n v="660"/>
    <n v="90"/>
    <n v="0"/>
    <s v="U23987"/>
    <s v="SHANKS"/>
    <x v="22"/>
    <m/>
    <m/>
    <m/>
    <n v="0"/>
    <m/>
    <m/>
  </r>
  <r>
    <n v="1768"/>
    <x v="20"/>
    <s v="Night"/>
    <x v="1"/>
    <n v="2000712450"/>
    <n v="945"/>
    <n v="60"/>
    <n v="0"/>
    <s v="U09854"/>
    <s v="PSHV"/>
    <x v="26"/>
    <m/>
    <m/>
    <m/>
    <n v="0"/>
    <m/>
    <m/>
  </r>
  <r>
    <n v="1769"/>
    <x v="21"/>
    <s v="Day"/>
    <x v="0"/>
    <n v="2000713386"/>
    <n v="952"/>
    <n v="45"/>
    <n v="0"/>
    <s v="U27687"/>
    <s v="L1209/10"/>
    <x v="216"/>
    <m/>
    <m/>
    <m/>
    <n v="0"/>
    <m/>
    <m/>
  </r>
  <r>
    <n v="1770"/>
    <x v="21"/>
    <s v="Day"/>
    <x v="0"/>
    <n v="2000712370"/>
    <n v="818"/>
    <n v="208"/>
    <n v="0"/>
    <s v="U27687"/>
    <s v="L1209/10_x0009_"/>
    <x v="55"/>
    <m/>
    <m/>
    <m/>
    <n v="0"/>
    <m/>
    <m/>
  </r>
  <r>
    <n v="1771"/>
    <x v="21"/>
    <s v="Day"/>
    <x v="0"/>
    <n v="2000713284"/>
    <n v="1000"/>
    <n v="80"/>
    <n v="0"/>
    <s v="U27687"/>
    <s v="L1172/73"/>
    <x v="18"/>
    <m/>
    <m/>
    <m/>
    <n v="0"/>
    <m/>
    <m/>
  </r>
  <r>
    <n v="1772"/>
    <x v="21"/>
    <s v="Day"/>
    <x v="0"/>
    <n v="2000713140"/>
    <n v="240"/>
    <n v="80"/>
    <n v="0"/>
    <s v="U27687"/>
    <s v="L1188/89"/>
    <x v="122"/>
    <m/>
    <m/>
    <m/>
    <n v="0"/>
    <m/>
    <m/>
  </r>
  <r>
    <n v="1773"/>
    <x v="21"/>
    <s v="Day"/>
    <x v="0"/>
    <n v="2000708959"/>
    <n v="1132"/>
    <n v="45"/>
    <n v="0"/>
    <s v="U27687"/>
    <s v="L1188/89"/>
    <x v="55"/>
    <m/>
    <m/>
    <m/>
    <n v="0"/>
    <m/>
    <m/>
  </r>
  <r>
    <n v="1774"/>
    <x v="21"/>
    <s v="Day"/>
    <x v="0"/>
    <n v="2000712680"/>
    <n v="1410"/>
    <n v="140"/>
    <n v="0"/>
    <s v="U32991"/>
    <s v="L1172/73"/>
    <x v="19"/>
    <m/>
    <m/>
    <m/>
    <n v="0"/>
    <m/>
    <m/>
  </r>
  <r>
    <n v="1775"/>
    <x v="21"/>
    <s v="Day"/>
    <x v="0"/>
    <n v="2000712698"/>
    <n v="1120"/>
    <n v="160"/>
    <n v="0"/>
    <s v="U32991"/>
    <s v="L1186"/>
    <x v="4"/>
    <m/>
    <m/>
    <m/>
    <n v="0"/>
    <m/>
    <m/>
  </r>
  <r>
    <n v="1776"/>
    <x v="21"/>
    <s v="Day"/>
    <x v="0"/>
    <n v="2000713551"/>
    <n v="206"/>
    <n v="60"/>
    <n v="0"/>
    <s v="U32991"/>
    <s v="L1151/52"/>
    <x v="154"/>
    <m/>
    <m/>
    <m/>
    <n v="0"/>
    <m/>
    <m/>
  </r>
  <r>
    <n v="1777"/>
    <x v="21"/>
    <s v="Day"/>
    <x v="0"/>
    <n v="2000712998"/>
    <n v="12"/>
    <n v="12"/>
    <n v="0"/>
    <s v="U32991"/>
    <s v="L1197/98"/>
    <x v="131"/>
    <m/>
    <m/>
    <m/>
    <n v="0"/>
    <m/>
    <m/>
  </r>
  <r>
    <n v="1778"/>
    <x v="21"/>
    <s v="Day"/>
    <x v="0"/>
    <n v="2000713386"/>
    <n v="952"/>
    <n v="560"/>
    <n v="0"/>
    <s v="U29686"/>
    <s v="L1209/10"/>
    <x v="55"/>
    <m/>
    <m/>
    <m/>
    <n v="0"/>
    <m/>
    <m/>
  </r>
  <r>
    <n v="1779"/>
    <x v="21"/>
    <s v="Day"/>
    <x v="0"/>
    <n v="2000712667"/>
    <n v="120"/>
    <n v="59"/>
    <n v="0"/>
    <s v="U27723"/>
    <s v="L1188/89"/>
    <x v="168"/>
    <m/>
    <m/>
    <m/>
    <n v="0"/>
    <m/>
    <m/>
  </r>
  <r>
    <n v="1780"/>
    <x v="21"/>
    <s v="Day"/>
    <x v="0"/>
    <n v="2000713140"/>
    <n v="240"/>
    <n v="160"/>
    <n v="0"/>
    <s v="U27723"/>
    <s v="L1188/89"/>
    <x v="122"/>
    <m/>
    <m/>
    <m/>
    <n v="0"/>
    <m/>
    <m/>
  </r>
  <r>
    <n v="1781"/>
    <x v="21"/>
    <s v="Day"/>
    <x v="0"/>
    <n v="2000713043"/>
    <n v="3000"/>
    <n v="150"/>
    <n v="0"/>
    <s v="U27723"/>
    <s v="L1168/69"/>
    <x v="37"/>
    <m/>
    <m/>
    <m/>
    <n v="0"/>
    <m/>
    <m/>
  </r>
  <r>
    <n v="1782"/>
    <x v="21"/>
    <s v="Day"/>
    <x v="0"/>
    <n v="2000708365"/>
    <n v="600"/>
    <n v="1"/>
    <n v="0"/>
    <s v="U27723"/>
    <s v="L1188/89"/>
    <x v="122"/>
    <m/>
    <m/>
    <m/>
    <n v="0"/>
    <m/>
    <m/>
  </r>
  <r>
    <n v="1783"/>
    <x v="21"/>
    <s v="Day"/>
    <x v="0"/>
    <n v="2000713492"/>
    <n v="160"/>
    <n v="160"/>
    <n v="0"/>
    <s v="U27723"/>
    <s v="L1188/89"/>
    <x v="183"/>
    <m/>
    <m/>
    <m/>
    <n v="0"/>
    <m/>
    <m/>
  </r>
  <r>
    <n v="1784"/>
    <x v="21"/>
    <s v="Day"/>
    <x v="0"/>
    <n v="2000708959"/>
    <n v="1132"/>
    <n v="45"/>
    <n v="0"/>
    <s v="U05944"/>
    <s v="L1209/10"/>
    <x v="55"/>
    <m/>
    <m/>
    <m/>
    <n v="0"/>
    <m/>
    <m/>
  </r>
  <r>
    <n v="1785"/>
    <x v="21"/>
    <s v="Day"/>
    <x v="0"/>
    <n v="2000712722"/>
    <n v="3900"/>
    <n v="130"/>
    <n v="0"/>
    <s v="U36206"/>
    <s v="L1174/75"/>
    <x v="3"/>
    <m/>
    <m/>
    <m/>
    <n v="0"/>
    <m/>
    <m/>
  </r>
  <r>
    <n v="1786"/>
    <x v="21"/>
    <s v="Day"/>
    <x v="0"/>
    <n v="2000713148"/>
    <n v="2000"/>
    <n v="120"/>
    <n v="0"/>
    <s v="U36206"/>
    <s v="L1077"/>
    <x v="2"/>
    <m/>
    <m/>
    <m/>
    <n v="0"/>
    <m/>
    <m/>
  </r>
  <r>
    <n v="1787"/>
    <x v="21"/>
    <s v="Day"/>
    <x v="0"/>
    <n v="2000713052"/>
    <n v="1840"/>
    <n v="160"/>
    <n v="0"/>
    <s v="U36206"/>
    <s v="L1144/47"/>
    <x v="1"/>
    <m/>
    <m/>
    <m/>
    <n v="0"/>
    <m/>
    <m/>
  </r>
  <r>
    <n v="1788"/>
    <x v="21"/>
    <s v="Day"/>
    <x v="0"/>
    <n v="2000713468"/>
    <n v="1480"/>
    <n v="140"/>
    <n v="0"/>
    <s v="U36206"/>
    <s v="L1174/75"/>
    <x v="61"/>
    <m/>
    <m/>
    <m/>
    <n v="0"/>
    <m/>
    <m/>
  </r>
  <r>
    <n v="1789"/>
    <x v="21"/>
    <s v="Day"/>
    <x v="0"/>
    <n v="2000713158"/>
    <n v="3984"/>
    <n v="300"/>
    <n v="0"/>
    <s v="U03968"/>
    <s v="L1174/75"/>
    <x v="66"/>
    <m/>
    <m/>
    <m/>
    <n v="0"/>
    <m/>
    <m/>
  </r>
  <r>
    <n v="1790"/>
    <x v="21"/>
    <s v="Day"/>
    <x v="0"/>
    <n v="2000711826"/>
    <n v="1440"/>
    <n v="240"/>
    <n v="0"/>
    <s v="U03968"/>
    <s v="L1193/94"/>
    <x v="30"/>
    <m/>
    <m/>
    <m/>
    <n v="0"/>
    <m/>
    <m/>
  </r>
  <r>
    <n v="1791"/>
    <x v="21"/>
    <s v="Day"/>
    <x v="0"/>
    <n v="2000712691"/>
    <n v="2000"/>
    <n v="300"/>
    <n v="0"/>
    <s v="U03968"/>
    <s v="L1077"/>
    <x v="33"/>
    <m/>
    <m/>
    <m/>
    <n v="0"/>
    <m/>
    <m/>
  </r>
  <r>
    <n v="1792"/>
    <x v="21"/>
    <s v="Day"/>
    <x v="0"/>
    <n v="2000712692"/>
    <n v="2000"/>
    <n v="200"/>
    <n v="0"/>
    <s v="U03968"/>
    <s v="L1077"/>
    <x v="217"/>
    <m/>
    <m/>
    <m/>
    <n v="0"/>
    <m/>
    <m/>
  </r>
  <r>
    <n v="1793"/>
    <x v="21"/>
    <s v="Day"/>
    <x v="0"/>
    <n v="2000713161"/>
    <n v="2979"/>
    <n v="240"/>
    <n v="0"/>
    <s v="U03968"/>
    <s v="L1172/73"/>
    <x v="7"/>
    <m/>
    <m/>
    <m/>
    <n v="0"/>
    <m/>
    <m/>
  </r>
  <r>
    <n v="1794"/>
    <x v="21"/>
    <s v="Day"/>
    <x v="0"/>
    <n v="2000712828"/>
    <n v="6600"/>
    <n v="300"/>
    <n v="0"/>
    <s v="U03968"/>
    <s v="L1112/13"/>
    <x v="75"/>
    <m/>
    <m/>
    <m/>
    <n v="0"/>
    <m/>
    <m/>
  </r>
  <r>
    <n v="1795"/>
    <x v="21"/>
    <s v="Day"/>
    <x v="0"/>
    <n v="2000712696"/>
    <n v="1120"/>
    <n v="100"/>
    <n v="0"/>
    <s v="U03968"/>
    <s v="L1186"/>
    <x v="32"/>
    <m/>
    <m/>
    <m/>
    <n v="0"/>
    <m/>
    <m/>
  </r>
  <r>
    <n v="1796"/>
    <x v="21"/>
    <s v="Day"/>
    <x v="1"/>
    <n v="2000713074"/>
    <n v="600"/>
    <n v="150"/>
    <n v="0"/>
    <s v="U18660"/>
    <s v="SHANKS"/>
    <x v="22"/>
    <m/>
    <m/>
    <m/>
    <n v="0"/>
    <m/>
    <m/>
  </r>
  <r>
    <n v="1797"/>
    <x v="21"/>
    <s v="Day"/>
    <x v="1"/>
    <n v="2000712902"/>
    <n v="900"/>
    <n v="70"/>
    <n v="0"/>
    <s v="U18660"/>
    <s v="SHANKS"/>
    <x v="218"/>
    <m/>
    <m/>
    <m/>
    <n v="0"/>
    <m/>
    <m/>
  </r>
  <r>
    <n v="1798"/>
    <x v="21"/>
    <s v="Day"/>
    <x v="1"/>
    <n v="2000713068"/>
    <n v="3800"/>
    <n v="360"/>
    <n v="0"/>
    <s v="U18660"/>
    <s v="SHANKS"/>
    <x v="67"/>
    <m/>
    <m/>
    <m/>
    <n v="0"/>
    <m/>
    <m/>
  </r>
  <r>
    <n v="1799"/>
    <x v="21"/>
    <s v="Day"/>
    <x v="1"/>
    <n v="2000713071"/>
    <n v="400"/>
    <n v="70"/>
    <n v="0"/>
    <s v="U18660"/>
    <s v="PSHV"/>
    <x v="26"/>
    <m/>
    <m/>
    <m/>
    <n v="0"/>
    <m/>
    <m/>
  </r>
  <r>
    <n v="1800"/>
    <x v="21"/>
    <s v="Night"/>
    <x v="0"/>
    <n v="2000713142"/>
    <n v="80"/>
    <n v="80"/>
    <n v="0"/>
    <s v="U36008"/>
    <s v="L1188/89"/>
    <x v="73"/>
    <m/>
    <m/>
    <m/>
    <n v="0"/>
    <m/>
    <m/>
  </r>
  <r>
    <n v="1801"/>
    <x v="21"/>
    <s v="Night"/>
    <x v="0"/>
    <n v="2000713491"/>
    <n v="80"/>
    <n v="80"/>
    <n v="0"/>
    <s v="U36008"/>
    <s v="L1188/89"/>
    <x v="219"/>
    <m/>
    <m/>
    <m/>
    <n v="0"/>
    <m/>
    <m/>
  </r>
  <r>
    <n v="1802"/>
    <x v="21"/>
    <s v="Night"/>
    <x v="0"/>
    <n v="2000713490"/>
    <n v="850"/>
    <n v="300"/>
    <n v="0"/>
    <s v="U36008"/>
    <s v="L1188/89"/>
    <x v="220"/>
    <m/>
    <m/>
    <m/>
    <n v="0"/>
    <m/>
    <m/>
  </r>
  <r>
    <n v="1803"/>
    <x v="21"/>
    <s v="Night"/>
    <x v="0"/>
    <n v="2000712998"/>
    <n v="12"/>
    <n v="12"/>
    <n v="0"/>
    <s v="U09854"/>
    <s v="L1197/98"/>
    <x v="131"/>
    <m/>
    <m/>
    <m/>
    <n v="0"/>
    <m/>
    <m/>
  </r>
  <r>
    <n v="1804"/>
    <x v="21"/>
    <s v="Night"/>
    <x v="0"/>
    <n v="2000713386"/>
    <n v="952"/>
    <n v="122"/>
    <n v="0"/>
    <s v="U09854"/>
    <s v="L1209/10"/>
    <x v="216"/>
    <m/>
    <m/>
    <m/>
    <n v="0"/>
    <m/>
    <m/>
  </r>
  <r>
    <n v="1805"/>
    <x v="21"/>
    <s v="Night"/>
    <x v="0"/>
    <n v="2000713128"/>
    <n v="900"/>
    <n v="45"/>
    <n v="0"/>
    <s v="U09854"/>
    <s v="L1188/89"/>
    <x v="109"/>
    <m/>
    <m/>
    <m/>
    <n v="0"/>
    <m/>
    <m/>
  </r>
  <r>
    <n v="1806"/>
    <x v="21"/>
    <s v="Night"/>
    <x v="0"/>
    <n v="2000713141"/>
    <n v="200"/>
    <n v="199"/>
    <n v="0"/>
    <s v="U09854"/>
    <s v="L1188/89"/>
    <x v="95"/>
    <m/>
    <m/>
    <m/>
    <n v="0"/>
    <m/>
    <m/>
  </r>
  <r>
    <n v="1807"/>
    <x v="21"/>
    <s v="Night"/>
    <x v="0"/>
    <n v="2000713490"/>
    <n v="850"/>
    <n v="180"/>
    <n v="0"/>
    <s v="U09854"/>
    <s v="L1188/89"/>
    <x v="130"/>
    <m/>
    <m/>
    <m/>
    <n v="0"/>
    <m/>
    <m/>
  </r>
  <r>
    <n v="1808"/>
    <x v="21"/>
    <s v="Night"/>
    <x v="0"/>
    <n v="2000713551"/>
    <n v="206"/>
    <n v="20"/>
    <n v="0"/>
    <s v="U09854"/>
    <s v="L1151/52"/>
    <x v="154"/>
    <m/>
    <m/>
    <m/>
    <n v="0"/>
    <m/>
    <m/>
  </r>
  <r>
    <n v="1809"/>
    <x v="21"/>
    <s v="Night"/>
    <x v="0"/>
    <n v="2000713128"/>
    <n v="900"/>
    <n v="110"/>
    <n v="0"/>
    <s v="U09749"/>
    <s v="L1188/89"/>
    <x v="109"/>
    <m/>
    <m/>
    <m/>
    <n v="0"/>
    <m/>
    <m/>
  </r>
  <r>
    <n v="1810"/>
    <x v="21"/>
    <s v="Night"/>
    <x v="0"/>
    <n v="2000713551"/>
    <n v="206"/>
    <n v="105"/>
    <n v="0"/>
    <s v="U31065"/>
    <s v="L1151/52"/>
    <x v="154"/>
    <m/>
    <m/>
    <m/>
    <n v="0"/>
    <m/>
    <m/>
  </r>
  <r>
    <n v="1811"/>
    <x v="21"/>
    <s v="Night"/>
    <x v="0"/>
    <n v="2000713490"/>
    <n v="850"/>
    <n v="80"/>
    <n v="0"/>
    <s v="U31065"/>
    <s v="L1188/89"/>
    <x v="130"/>
    <m/>
    <m/>
    <m/>
    <n v="0"/>
    <m/>
    <m/>
  </r>
  <r>
    <n v="1812"/>
    <x v="21"/>
    <s v="Night"/>
    <x v="0"/>
    <n v="2000708958"/>
    <n v="1080"/>
    <n v="45"/>
    <n v="0"/>
    <s v="U23987"/>
    <s v="L1170/71"/>
    <x v="45"/>
    <m/>
    <m/>
    <m/>
    <n v="0"/>
    <m/>
    <m/>
  </r>
  <r>
    <n v="1813"/>
    <x v="21"/>
    <s v="Night"/>
    <x v="0"/>
    <n v="2000713287"/>
    <n v="960"/>
    <n v="60"/>
    <n v="0"/>
    <s v="U23987"/>
    <s v="L1172/73"/>
    <x v="99"/>
    <m/>
    <m/>
    <m/>
    <n v="0"/>
    <m/>
    <m/>
  </r>
  <r>
    <n v="1814"/>
    <x v="21"/>
    <s v="Night"/>
    <x v="0"/>
    <n v="2000713286"/>
    <n v="750"/>
    <n v="60"/>
    <n v="0"/>
    <s v="U23987"/>
    <s v="L1172/73"/>
    <x v="20"/>
    <m/>
    <m/>
    <m/>
    <n v="0"/>
    <m/>
    <m/>
  </r>
  <r>
    <n v="1815"/>
    <x v="21"/>
    <s v="Night"/>
    <x v="0"/>
    <n v="2000713147"/>
    <n v="2000"/>
    <n v="160"/>
    <n v="0"/>
    <s v="U07492"/>
    <s v="L1077"/>
    <x v="36"/>
    <m/>
    <m/>
    <m/>
    <n v="0"/>
    <m/>
    <m/>
  </r>
  <r>
    <n v="1816"/>
    <x v="21"/>
    <s v="Night"/>
    <x v="0"/>
    <n v="2000711826"/>
    <n v="1440"/>
    <n v="240"/>
    <n v="0"/>
    <s v="U26613"/>
    <s v="L1193/94"/>
    <x v="30"/>
    <m/>
    <m/>
    <m/>
    <n v="0"/>
    <m/>
    <m/>
  </r>
  <r>
    <n v="1817"/>
    <x v="21"/>
    <s v="Night"/>
    <x v="0"/>
    <n v="2000712695"/>
    <n v="1120"/>
    <n v="200"/>
    <n v="0"/>
    <s v="U26613"/>
    <s v="L1186"/>
    <x v="34"/>
    <m/>
    <m/>
    <m/>
    <n v="0"/>
    <m/>
    <m/>
  </r>
  <r>
    <n v="1818"/>
    <x v="21"/>
    <s v="Night"/>
    <x v="0"/>
    <n v="2000712697"/>
    <n v="1120"/>
    <n v="300"/>
    <n v="0"/>
    <s v="U26613"/>
    <s v="L1186"/>
    <x v="35"/>
    <m/>
    <m/>
    <m/>
    <n v="0"/>
    <m/>
    <m/>
  </r>
  <r>
    <n v="1819"/>
    <x v="21"/>
    <s v="Night"/>
    <x v="0"/>
    <n v="2000713167"/>
    <n v="4014"/>
    <n v="200"/>
    <n v="0"/>
    <s v="U26613"/>
    <s v="L1144/47"/>
    <x v="221"/>
    <m/>
    <m/>
    <m/>
    <n v="0"/>
    <m/>
    <m/>
  </r>
  <r>
    <n v="1820"/>
    <x v="21"/>
    <s v="Night"/>
    <x v="0"/>
    <n v="2000708960"/>
    <n v="1300"/>
    <n v="33"/>
    <n v="0"/>
    <s v="U27724"/>
    <s v="L1209/10"/>
    <x v="68"/>
    <m/>
    <m/>
    <m/>
    <n v="0"/>
    <m/>
    <m/>
  </r>
  <r>
    <n v="1821"/>
    <x v="21"/>
    <s v="Night"/>
    <x v="0"/>
    <n v="2000708958"/>
    <n v="1080"/>
    <n v="13"/>
    <n v="0"/>
    <s v="U27724"/>
    <s v="L1170/71"/>
    <x v="45"/>
    <m/>
    <m/>
    <m/>
    <n v="0"/>
    <m/>
    <m/>
  </r>
  <r>
    <n v="1822"/>
    <x v="21"/>
    <s v="Night"/>
    <x v="0"/>
    <n v="2000713128"/>
    <n v="900"/>
    <n v="675"/>
    <n v="0"/>
    <s v="U27724"/>
    <s v="L1188/89"/>
    <x v="109"/>
    <m/>
    <m/>
    <m/>
    <n v="0"/>
    <m/>
    <m/>
  </r>
  <r>
    <n v="1823"/>
    <x v="21"/>
    <s v="Night"/>
    <x v="0"/>
    <n v="2000712722"/>
    <n v="3900"/>
    <n v="100"/>
    <n v="0"/>
    <s v="U30425"/>
    <s v="L1174/75"/>
    <x v="3"/>
    <m/>
    <m/>
    <m/>
    <n v="0"/>
    <m/>
    <m/>
  </r>
  <r>
    <n v="1824"/>
    <x v="21"/>
    <s v="Night"/>
    <x v="0"/>
    <n v="2000713890"/>
    <n v="2720"/>
    <n v="120"/>
    <n v="0"/>
    <s v="U30425"/>
    <s v="L1128/29"/>
    <x v="11"/>
    <m/>
    <m/>
    <m/>
    <n v="0"/>
    <m/>
    <m/>
  </r>
  <r>
    <n v="1825"/>
    <x v="21"/>
    <s v="Night"/>
    <x v="0"/>
    <n v="2000713889"/>
    <n v="5392"/>
    <n v="200"/>
    <n v="0"/>
    <s v="U30425"/>
    <s v="L1112/13"/>
    <x v="8"/>
    <m/>
    <m/>
    <m/>
    <n v="0"/>
    <m/>
    <m/>
  </r>
  <r>
    <n v="1826"/>
    <x v="21"/>
    <s v="Night"/>
    <x v="0"/>
    <n v="2000712702"/>
    <n v="200"/>
    <n v="40"/>
    <n v="0"/>
    <s v="U30425"/>
    <s v="L1144/47"/>
    <x v="59"/>
    <m/>
    <m/>
    <m/>
    <n v="0"/>
    <m/>
    <m/>
  </r>
  <r>
    <n v="1827"/>
    <x v="21"/>
    <s v="Night"/>
    <x v="0"/>
    <n v="2000713624"/>
    <n v="330"/>
    <n v="80"/>
    <n v="0"/>
    <s v="U30425"/>
    <s v="T543"/>
    <x v="100"/>
    <m/>
    <m/>
    <m/>
    <n v="0"/>
    <m/>
    <m/>
  </r>
  <r>
    <n v="1828"/>
    <x v="21"/>
    <s v="Night"/>
    <x v="1"/>
    <n v="2000713201"/>
    <n v="350"/>
    <n v="180"/>
    <n v="0"/>
    <s v="U30119"/>
    <s v="PSLV"/>
    <x v="135"/>
    <m/>
    <m/>
    <m/>
    <n v="0"/>
    <m/>
    <m/>
  </r>
  <r>
    <n v="1829"/>
    <x v="21"/>
    <s v="Night"/>
    <x v="1"/>
    <n v="2000713071"/>
    <n v="400"/>
    <n v="130"/>
    <n v="0"/>
    <s v="U30119"/>
    <s v="PSHV"/>
    <x v="26"/>
    <m/>
    <m/>
    <m/>
    <n v="0"/>
    <m/>
    <m/>
  </r>
  <r>
    <n v="1830"/>
    <x v="21"/>
    <s v="Night"/>
    <x v="1"/>
    <n v="2000712901"/>
    <n v="380"/>
    <n v="90"/>
    <n v="0"/>
    <s v="U30119"/>
    <s v="PSLV"/>
    <x v="129"/>
    <m/>
    <m/>
    <m/>
    <n v="0"/>
    <m/>
    <m/>
  </r>
  <r>
    <n v="1831"/>
    <x v="21"/>
    <s v="Night"/>
    <x v="1"/>
    <n v="2000713074"/>
    <n v="660"/>
    <n v="120"/>
    <n v="0"/>
    <s v="U30119"/>
    <s v="SHANKS"/>
    <x v="22"/>
    <m/>
    <m/>
    <m/>
    <n v="0"/>
    <m/>
    <m/>
  </r>
  <r>
    <n v="1832"/>
    <x v="21"/>
    <s v="Night"/>
    <x v="1"/>
    <n v="2000713067"/>
    <n v="900"/>
    <n v="140"/>
    <n v="0"/>
    <s v="U30119"/>
    <s v="SHANKS"/>
    <x v="24"/>
    <m/>
    <m/>
    <m/>
    <n v="0"/>
    <m/>
    <m/>
  </r>
  <r>
    <n v="1833"/>
    <x v="21"/>
    <s v="Night"/>
    <x v="1"/>
    <n v="2000713376"/>
    <n v="476"/>
    <n v="200"/>
    <n v="0"/>
    <s v="U30119"/>
    <s v="PSLV"/>
    <x v="49"/>
    <m/>
    <m/>
    <m/>
    <n v="0"/>
    <m/>
    <m/>
  </r>
  <r>
    <n v="1834"/>
    <x v="21"/>
    <s v="Night"/>
    <x v="1"/>
    <n v="2000713376"/>
    <n v="476"/>
    <n v="10"/>
    <n v="0"/>
    <s v="U09854"/>
    <s v="PSLV"/>
    <x v="49"/>
    <m/>
    <m/>
    <m/>
    <n v="0"/>
    <m/>
    <m/>
  </r>
  <r>
    <n v="1835"/>
    <x v="22"/>
    <s v="Day"/>
    <x v="0"/>
    <n v="2000712700"/>
    <n v="2000"/>
    <n v="200"/>
    <n v="0"/>
    <s v="U03968"/>
    <s v="L1144/47"/>
    <x v="77"/>
    <m/>
    <m/>
    <m/>
    <n v="0"/>
    <m/>
    <m/>
  </r>
  <r>
    <n v="1836"/>
    <x v="22"/>
    <s v="Day"/>
    <x v="0"/>
    <n v="2000712249"/>
    <n v="5240"/>
    <n v="300"/>
    <n v="0"/>
    <s v="U03968"/>
    <s v="L1174/75"/>
    <x v="139"/>
    <m/>
    <m/>
    <m/>
    <n v="0"/>
    <m/>
    <m/>
  </r>
  <r>
    <n v="1837"/>
    <x v="22"/>
    <s v="Day"/>
    <x v="0"/>
    <n v="2000713160"/>
    <n v="2568"/>
    <n v="200"/>
    <n v="0"/>
    <s v="U03968"/>
    <s v="L1144/47"/>
    <x v="138"/>
    <m/>
    <m/>
    <m/>
    <n v="0"/>
    <m/>
    <m/>
  </r>
  <r>
    <n v="1838"/>
    <x v="22"/>
    <s v="Day"/>
    <x v="0"/>
    <n v="2000713159"/>
    <n v="7830"/>
    <n v="300"/>
    <n v="0"/>
    <s v="U03968"/>
    <s v="L1112/13"/>
    <x v="75"/>
    <m/>
    <m/>
    <m/>
    <n v="0"/>
    <m/>
    <m/>
  </r>
  <r>
    <n v="1839"/>
    <x v="22"/>
    <s v="Day"/>
    <x v="0"/>
    <n v="2000713118"/>
    <n v="2300"/>
    <n v="300"/>
    <n v="0"/>
    <s v="U03968"/>
    <s v="L1174/75"/>
    <x v="62"/>
    <m/>
    <m/>
    <m/>
    <n v="0"/>
    <m/>
    <m/>
  </r>
  <r>
    <n v="1840"/>
    <x v="22"/>
    <s v="Day"/>
    <x v="0"/>
    <n v="2000712699"/>
    <n v="2000"/>
    <n v="300"/>
    <n v="0"/>
    <s v="U03968"/>
    <s v="L1144/47"/>
    <x v="92"/>
    <m/>
    <m/>
    <m/>
    <n v="0"/>
    <m/>
    <m/>
  </r>
  <r>
    <n v="1841"/>
    <x v="22"/>
    <s v="Day"/>
    <x v="0"/>
    <n v="2000713144"/>
    <n v="2000"/>
    <n v="150"/>
    <n v="0"/>
    <s v="U03968"/>
    <s v="L1077"/>
    <x v="10"/>
    <m/>
    <m/>
    <m/>
    <n v="0"/>
    <m/>
    <m/>
  </r>
  <r>
    <n v="1842"/>
    <x v="22"/>
    <s v="Day"/>
    <x v="0"/>
    <n v="2000712702"/>
    <n v="2000"/>
    <n v="40"/>
    <n v="0"/>
    <s v="U05944"/>
    <s v="L1144/47"/>
    <x v="59"/>
    <m/>
    <m/>
    <m/>
    <n v="0"/>
    <m/>
    <m/>
  </r>
  <r>
    <n v="1843"/>
    <x v="22"/>
    <s v="Day"/>
    <x v="0"/>
    <n v="2000713646"/>
    <n v="210"/>
    <n v="70"/>
    <n v="0"/>
    <s v="U05944"/>
    <s v="L1172/73"/>
    <x v="169"/>
    <m/>
    <m/>
    <m/>
    <n v="0"/>
    <m/>
    <m/>
  </r>
  <r>
    <n v="1844"/>
    <x v="22"/>
    <s v="Day"/>
    <x v="0"/>
    <n v="2000713200"/>
    <n v="300"/>
    <n v="40"/>
    <n v="0"/>
    <s v="U05944"/>
    <s v="L1172/73"/>
    <x v="222"/>
    <m/>
    <m/>
    <m/>
    <n v="0"/>
    <m/>
    <m/>
  </r>
  <r>
    <n v="1845"/>
    <x v="22"/>
    <s v="Day"/>
    <x v="0"/>
    <n v="2000713945"/>
    <n v="8"/>
    <n v="8"/>
    <n v="0"/>
    <s v="U05944"/>
    <s v="L1197/98"/>
    <x v="155"/>
    <m/>
    <m/>
    <m/>
    <n v="0"/>
    <m/>
    <m/>
  </r>
  <r>
    <n v="1846"/>
    <x v="22"/>
    <s v="Day"/>
    <x v="0"/>
    <n v="2000713488"/>
    <n v="1040"/>
    <n v="120"/>
    <n v="0"/>
    <s v="U05944"/>
    <s v="L1170/71"/>
    <x v="45"/>
    <m/>
    <m/>
    <m/>
    <n v="0"/>
    <m/>
    <m/>
  </r>
  <r>
    <n v="1847"/>
    <x v="22"/>
    <s v="Day"/>
    <x v="0"/>
    <n v="2000710138"/>
    <n v="404"/>
    <n v="14"/>
    <n v="0"/>
    <s v="U29686"/>
    <s v="L1188/89"/>
    <x v="109"/>
    <m/>
    <m/>
    <m/>
    <n v="0"/>
    <m/>
    <m/>
  </r>
  <r>
    <n v="1848"/>
    <x v="22"/>
    <s v="Day"/>
    <x v="0"/>
    <n v="2000713128"/>
    <n v="900"/>
    <n v="27"/>
    <n v="0"/>
    <s v="U29686"/>
    <s v="L1188/89"/>
    <x v="109"/>
    <m/>
    <m/>
    <m/>
    <n v="0"/>
    <m/>
    <m/>
  </r>
  <r>
    <n v="1849"/>
    <x v="22"/>
    <s v="Day"/>
    <x v="0"/>
    <n v="2000713488"/>
    <n v="1040"/>
    <n v="405"/>
    <n v="0"/>
    <s v="U29686"/>
    <s v="L1170/71"/>
    <x v="45"/>
    <m/>
    <m/>
    <m/>
    <n v="0"/>
    <m/>
    <m/>
  </r>
  <r>
    <n v="1850"/>
    <x v="22"/>
    <s v="Day"/>
    <x v="0"/>
    <n v="2000713790"/>
    <n v="200"/>
    <n v="40"/>
    <n v="0"/>
    <s v="U29686"/>
    <s v="L1188/89"/>
    <x v="122"/>
    <m/>
    <m/>
    <m/>
    <n v="0"/>
    <m/>
    <m/>
  </r>
  <r>
    <n v="1851"/>
    <x v="22"/>
    <s v="Day"/>
    <x v="0"/>
    <n v="2000713490"/>
    <n v="850"/>
    <n v="170"/>
    <n v="0"/>
    <s v="U27723"/>
    <s v="L1188/89"/>
    <x v="130"/>
    <m/>
    <m/>
    <m/>
    <n v="0"/>
    <m/>
    <m/>
  </r>
  <r>
    <n v="1852"/>
    <x v="22"/>
    <s v="Day"/>
    <x v="0"/>
    <n v="2000713790"/>
    <n v="200"/>
    <n v="80"/>
    <n v="0"/>
    <s v="U27723"/>
    <s v="L1188/89"/>
    <x v="122"/>
    <m/>
    <m/>
    <m/>
    <n v="0"/>
    <m/>
    <m/>
  </r>
  <r>
    <n v="1853"/>
    <x v="22"/>
    <s v="Day"/>
    <x v="0"/>
    <n v="2000713384"/>
    <n v="312"/>
    <n v="80"/>
    <n v="0"/>
    <s v="U27723"/>
    <s v="L1168/69"/>
    <x v="195"/>
    <m/>
    <m/>
    <m/>
    <n v="0"/>
    <m/>
    <m/>
  </r>
  <r>
    <n v="1854"/>
    <x v="22"/>
    <s v="Day"/>
    <x v="0"/>
    <n v="2000713789"/>
    <n v="680"/>
    <n v="160"/>
    <n v="0"/>
    <s v="U27723"/>
    <s v="L1188/89"/>
    <x v="98"/>
    <m/>
    <m/>
    <m/>
    <n v="0"/>
    <m/>
    <m/>
  </r>
  <r>
    <n v="1855"/>
    <x v="22"/>
    <s v="Day"/>
    <x v="0"/>
    <n v="2000705992"/>
    <n v="2800"/>
    <n v="1"/>
    <n v="0"/>
    <s v="U27723"/>
    <s v="L1188/89"/>
    <x v="0"/>
    <m/>
    <m/>
    <m/>
    <n v="0"/>
    <m/>
    <m/>
  </r>
  <r>
    <n v="1856"/>
    <x v="22"/>
    <s v="Day"/>
    <x v="0"/>
    <n v="2000713490"/>
    <n v="850"/>
    <n v="77"/>
    <n v="0"/>
    <s v="U18660"/>
    <s v="L1188/89"/>
    <x v="130"/>
    <m/>
    <m/>
    <m/>
    <n v="0"/>
    <m/>
    <m/>
  </r>
  <r>
    <n v="1857"/>
    <x v="22"/>
    <s v="Day"/>
    <x v="0"/>
    <n v="2000712361"/>
    <n v="900"/>
    <n v="40"/>
    <n v="0"/>
    <s v="U18660"/>
    <s v="L1168/69"/>
    <x v="48"/>
    <m/>
    <m/>
    <m/>
    <n v="0"/>
    <m/>
    <m/>
  </r>
  <r>
    <n v="1858"/>
    <x v="22"/>
    <s v="Day"/>
    <x v="0"/>
    <n v="2000713128"/>
    <n v="900"/>
    <n v="25"/>
    <n v="0"/>
    <s v="U27687"/>
    <s v="L1188/89"/>
    <x v="109"/>
    <m/>
    <m/>
    <m/>
    <n v="0"/>
    <m/>
    <m/>
  </r>
  <r>
    <n v="1859"/>
    <x v="22"/>
    <s v="Day"/>
    <x v="0"/>
    <n v="2000713286"/>
    <n v="750"/>
    <n v="20"/>
    <n v="0"/>
    <s v="U27687"/>
    <s v="L1172/73"/>
    <x v="20"/>
    <m/>
    <m/>
    <m/>
    <n v="0"/>
    <m/>
    <m/>
  </r>
  <r>
    <n v="1860"/>
    <x v="22"/>
    <s v="Day"/>
    <x v="0"/>
    <n v="2000713488"/>
    <n v="1040"/>
    <n v="245"/>
    <n v="0"/>
    <s v="U27687"/>
    <s v="L1170/71"/>
    <x v="45"/>
    <m/>
    <m/>
    <m/>
    <n v="0"/>
    <m/>
    <m/>
  </r>
  <r>
    <n v="1861"/>
    <x v="22"/>
    <s v="Day"/>
    <x v="0"/>
    <n v="2000713790"/>
    <n v="200"/>
    <n v="80"/>
    <n v="0"/>
    <s v="U27687"/>
    <s v="L1188/89"/>
    <x v="122"/>
    <m/>
    <m/>
    <m/>
    <n v="0"/>
    <m/>
    <m/>
  </r>
  <r>
    <n v="1862"/>
    <x v="22"/>
    <s v="Day"/>
    <x v="0"/>
    <n v="2000713200"/>
    <n v="300"/>
    <n v="40"/>
    <n v="0"/>
    <s v="U27687"/>
    <s v="L1172/73"/>
    <x v="145"/>
    <m/>
    <m/>
    <m/>
    <n v="0"/>
    <m/>
    <m/>
  </r>
  <r>
    <n v="1863"/>
    <x v="22"/>
    <s v="Day"/>
    <x v="0"/>
    <n v="2000712702"/>
    <n v="2000"/>
    <n v="120"/>
    <n v="0"/>
    <s v="U36206"/>
    <s v="L1144/47"/>
    <x v="59"/>
    <m/>
    <m/>
    <m/>
    <n v="0"/>
    <m/>
    <m/>
  </r>
  <r>
    <n v="1864"/>
    <x v="22"/>
    <s v="Day"/>
    <x v="0"/>
    <n v="2000713850"/>
    <n v="380"/>
    <n v="100"/>
    <n v="0"/>
    <s v="U36206"/>
    <s v="L1144/47"/>
    <x v="58"/>
    <m/>
    <m/>
    <m/>
    <n v="0"/>
    <m/>
    <m/>
  </r>
  <r>
    <n v="1865"/>
    <x v="22"/>
    <s v="Day"/>
    <x v="0"/>
    <n v="2000712708"/>
    <n v="2470"/>
    <n v="30"/>
    <n v="0"/>
    <s v="U36206"/>
    <s v="L1144/47"/>
    <x v="120"/>
    <m/>
    <m/>
    <m/>
    <n v="0"/>
    <m/>
    <m/>
  </r>
  <r>
    <n v="1866"/>
    <x v="22"/>
    <s v="Day"/>
    <x v="0"/>
    <n v="2000712336"/>
    <n v="440"/>
    <n v="100"/>
    <n v="0"/>
    <s v="U36206"/>
    <s v="L1144/47"/>
    <x v="71"/>
    <m/>
    <m/>
    <m/>
    <n v="0"/>
    <m/>
    <m/>
  </r>
  <r>
    <n v="1867"/>
    <x v="22"/>
    <s v="Day"/>
    <x v="0"/>
    <n v="2000712722"/>
    <n v="3900"/>
    <n v="50"/>
    <n v="0"/>
    <s v="U36206"/>
    <s v="L1174/75"/>
    <x v="3"/>
    <m/>
    <m/>
    <m/>
    <n v="0"/>
    <m/>
    <m/>
  </r>
  <r>
    <n v="1868"/>
    <x v="22"/>
    <s v="Day"/>
    <x v="0"/>
    <n v="2000713490"/>
    <n v="850"/>
    <n v="40"/>
    <n v="0"/>
    <s v="U32991"/>
    <s v="L1188/89"/>
    <x v="130"/>
    <m/>
    <m/>
    <m/>
    <n v="0"/>
    <m/>
    <m/>
  </r>
  <r>
    <n v="1869"/>
    <x v="22"/>
    <s v="Day"/>
    <x v="0"/>
    <n v="2000713043"/>
    <n v="3000"/>
    <n v="120"/>
    <n v="0"/>
    <s v="U32991"/>
    <s v="L1168/69"/>
    <x v="37"/>
    <m/>
    <m/>
    <m/>
    <n v="0"/>
    <m/>
    <m/>
  </r>
  <r>
    <n v="1870"/>
    <x v="22"/>
    <s v="Day"/>
    <x v="0"/>
    <n v="2000713646"/>
    <n v="210"/>
    <n v="140"/>
    <n v="0"/>
    <s v="U32991"/>
    <s v="L1172/73"/>
    <x v="169"/>
    <m/>
    <m/>
    <m/>
    <n v="0"/>
    <m/>
    <m/>
  </r>
  <r>
    <n v="1871"/>
    <x v="22"/>
    <s v="Day"/>
    <x v="1"/>
    <n v="2000713664"/>
    <n v="350"/>
    <n v="80"/>
    <n v="1"/>
    <s v="U32991"/>
    <s v="PSLV"/>
    <x v="23"/>
    <s v="Không marking "/>
    <s v="SCC"/>
    <s v="PT321"/>
    <n v="1"/>
    <s v="\\vn-file\QC Department\4.OQC\00. OQC Performance\03. Images\01. NG\20210128-NG-1930713664.jpg"/>
    <s v="\\vn-file\QC Department\4.OQC\00. OQC Performance\03. Images\02. OK\20210128-OK-1930713664.jpg"/>
  </r>
  <r>
    <n v="1872"/>
    <x v="22"/>
    <s v="Day"/>
    <x v="1"/>
    <n v="2000712904"/>
    <n v="1059"/>
    <n v="96"/>
    <n v="0"/>
    <s v="U32991"/>
    <s v="FRANKY"/>
    <x v="51"/>
    <m/>
    <m/>
    <m/>
    <n v="0"/>
    <m/>
    <m/>
  </r>
  <r>
    <n v="1873"/>
    <x v="22"/>
    <s v="Day"/>
    <x v="1"/>
    <n v="2000713663"/>
    <n v="25"/>
    <n v="24"/>
    <n v="0"/>
    <s v="U32991"/>
    <s v="PSHV"/>
    <x v="223"/>
    <m/>
    <m/>
    <m/>
    <n v="0"/>
    <m/>
    <m/>
  </r>
  <r>
    <n v="1874"/>
    <x v="22"/>
    <s v="Day"/>
    <x v="1"/>
    <n v="2000712901"/>
    <n v="380"/>
    <n v="30"/>
    <n v="0"/>
    <s v="U32991"/>
    <s v="PSLV"/>
    <x v="129"/>
    <m/>
    <m/>
    <m/>
    <n v="0"/>
    <m/>
    <m/>
  </r>
  <r>
    <n v="1875"/>
    <x v="22"/>
    <s v="Day"/>
    <x v="1"/>
    <n v="2000713067"/>
    <n v="900"/>
    <n v="70"/>
    <n v="0"/>
    <s v="U32991"/>
    <s v="SHANKS"/>
    <x v="24"/>
    <m/>
    <m/>
    <m/>
    <n v="0"/>
    <m/>
    <m/>
  </r>
  <r>
    <n v="1876"/>
    <x v="22"/>
    <s v="Day"/>
    <x v="1"/>
    <n v="2000713201"/>
    <n v="350"/>
    <n v="20"/>
    <n v="0"/>
    <s v="U18660"/>
    <s v="PSLV"/>
    <x v="135"/>
    <m/>
    <m/>
    <m/>
    <n v="0"/>
    <m/>
    <m/>
  </r>
  <r>
    <n v="1877"/>
    <x v="22"/>
    <s v="Day"/>
    <x v="1"/>
    <n v="2000713376"/>
    <n v="476"/>
    <n v="267"/>
    <n v="0"/>
    <s v="U18660"/>
    <s v="PSLV"/>
    <x v="49"/>
    <m/>
    <m/>
    <m/>
    <n v="0"/>
    <m/>
    <m/>
  </r>
  <r>
    <n v="1878"/>
    <x v="22"/>
    <s v="Day"/>
    <x v="1"/>
    <n v="2000712904"/>
    <n v="1059"/>
    <n v="96"/>
    <n v="0"/>
    <s v="U18660"/>
    <s v="FRANKY"/>
    <x v="51"/>
    <m/>
    <m/>
    <m/>
    <n v="0"/>
    <m/>
    <m/>
  </r>
  <r>
    <n v="1879"/>
    <x v="22"/>
    <s v="Day"/>
    <x v="1"/>
    <n v="2000714123"/>
    <n v="585"/>
    <n v="96"/>
    <n v="0"/>
    <s v="U18660"/>
    <s v="FRANKY"/>
    <x v="51"/>
    <m/>
    <m/>
    <m/>
    <n v="0"/>
    <m/>
    <m/>
  </r>
  <r>
    <n v="1880"/>
    <x v="22"/>
    <s v="Night"/>
    <x v="0"/>
    <n v="2000713789"/>
    <n v="680"/>
    <n v="400"/>
    <n v="0"/>
    <s v="U36008"/>
    <s v="L1188/89"/>
    <x v="98"/>
    <m/>
    <m/>
    <m/>
    <n v="0"/>
    <m/>
    <m/>
  </r>
  <r>
    <n v="1881"/>
    <x v="22"/>
    <s v="Night"/>
    <x v="0"/>
    <n v="2000713489"/>
    <n v="2336"/>
    <n v="90"/>
    <n v="0"/>
    <s v="U36008"/>
    <s v="L1209/10"/>
    <x v="196"/>
    <m/>
    <m/>
    <m/>
    <n v="0"/>
    <m/>
    <m/>
  </r>
  <r>
    <n v="1882"/>
    <x v="22"/>
    <s v="Night"/>
    <x v="0"/>
    <n v="2000713489"/>
    <n v="2336"/>
    <n v="470"/>
    <n v="0"/>
    <s v="U27724"/>
    <s v="L1209/10"/>
    <x v="196"/>
    <m/>
    <m/>
    <m/>
    <n v="0"/>
    <m/>
    <m/>
  </r>
  <r>
    <n v="1883"/>
    <x v="22"/>
    <s v="Night"/>
    <x v="0"/>
    <n v="2000713200"/>
    <n v="300"/>
    <n v="97"/>
    <n v="0"/>
    <s v="U27724"/>
    <s v="L1172/73"/>
    <x v="145"/>
    <m/>
    <m/>
    <m/>
    <n v="0"/>
    <m/>
    <m/>
  </r>
  <r>
    <n v="1884"/>
    <x v="22"/>
    <s v="Night"/>
    <x v="0"/>
    <n v="2000713488"/>
    <n v="1040"/>
    <n v="135"/>
    <n v="0"/>
    <s v="U27724"/>
    <s v="L1170/71"/>
    <x v="45"/>
    <m/>
    <m/>
    <m/>
    <n v="0"/>
    <m/>
    <m/>
  </r>
  <r>
    <n v="1885"/>
    <x v="22"/>
    <s v="Night"/>
    <x v="0"/>
    <n v="2000713489"/>
    <n v="2336"/>
    <n v="135"/>
    <n v="0"/>
    <s v="U09749"/>
    <s v="L1209/10"/>
    <x v="196"/>
    <m/>
    <m/>
    <m/>
    <n v="0"/>
    <m/>
    <m/>
  </r>
  <r>
    <n v="1886"/>
    <x v="22"/>
    <s v="Night"/>
    <x v="0"/>
    <n v="2000713945"/>
    <n v="8"/>
    <n v="8"/>
    <n v="0"/>
    <s v="U09854"/>
    <s v="L1197/98"/>
    <x v="155"/>
    <m/>
    <m/>
    <m/>
    <n v="0"/>
    <m/>
    <m/>
  </r>
  <r>
    <n v="1887"/>
    <x v="22"/>
    <s v="Night"/>
    <x v="0"/>
    <n v="2000713200"/>
    <n v="300"/>
    <n v="120"/>
    <n v="0"/>
    <s v="U09854"/>
    <s v="L1172/73"/>
    <x v="145"/>
    <m/>
    <m/>
    <m/>
    <n v="0"/>
    <m/>
    <m/>
  </r>
  <r>
    <n v="1888"/>
    <x v="22"/>
    <s v="Night"/>
    <x v="0"/>
    <n v="2000712201"/>
    <n v="490"/>
    <n v="190"/>
    <n v="0"/>
    <s v="U09854"/>
    <s v="L1193/94"/>
    <x v="192"/>
    <m/>
    <m/>
    <m/>
    <n v="0"/>
    <m/>
    <m/>
  </r>
  <r>
    <n v="1889"/>
    <x v="22"/>
    <s v="Night"/>
    <x v="0"/>
    <n v="2000713488"/>
    <n v="1040"/>
    <n v="45"/>
    <n v="0"/>
    <s v="U23987"/>
    <s v="L1170/71"/>
    <x v="45"/>
    <m/>
    <m/>
    <m/>
    <n v="0"/>
    <m/>
    <m/>
  </r>
  <r>
    <n v="1890"/>
    <x v="22"/>
    <s v="Night"/>
    <x v="0"/>
    <n v="2000713489"/>
    <n v="2336"/>
    <n v="270"/>
    <n v="0"/>
    <s v="U23987"/>
    <s v="L1209/10"/>
    <x v="196"/>
    <m/>
    <m/>
    <m/>
    <n v="0"/>
    <m/>
    <m/>
  </r>
  <r>
    <n v="1891"/>
    <x v="22"/>
    <s v="Night"/>
    <x v="0"/>
    <n v="2000713551"/>
    <n v="206"/>
    <n v="15"/>
    <n v="0"/>
    <s v="U31065"/>
    <s v="L1151/52"/>
    <x v="154"/>
    <m/>
    <m/>
    <m/>
    <n v="0"/>
    <m/>
    <m/>
  </r>
  <r>
    <n v="1892"/>
    <x v="22"/>
    <s v="Night"/>
    <x v="0"/>
    <n v="2000713489"/>
    <n v="2336"/>
    <n v="135"/>
    <n v="0"/>
    <s v="U31065"/>
    <s v="L1209/10"/>
    <x v="196"/>
    <m/>
    <m/>
    <m/>
    <n v="0"/>
    <m/>
    <m/>
  </r>
  <r>
    <n v="1893"/>
    <x v="22"/>
    <s v="Night"/>
    <x v="0"/>
    <n v="2000711721"/>
    <n v="420"/>
    <n v="34"/>
    <n v="0"/>
    <s v="U31065"/>
    <s v="L1193/94"/>
    <x v="123"/>
    <m/>
    <m/>
    <m/>
    <n v="0"/>
    <m/>
    <m/>
  </r>
  <r>
    <n v="1894"/>
    <x v="22"/>
    <s v="Night"/>
    <x v="0"/>
    <n v="2000713488"/>
    <n v="1040"/>
    <n v="86"/>
    <n v="1"/>
    <s v="U31065"/>
    <s v="L1170/71"/>
    <x v="45"/>
    <s v="Khác "/>
    <s v="IC3 HÀN CAO"/>
    <s v="IC3"/>
    <n v="1"/>
    <s v="\\vn-file\QC Department\4.OQC\00. OQC Performance\03. Images\01. NG\20210128-NG-0300713488.jpg"/>
    <s v="\\vn-file\QC Department\4.OQC\00. OQC Performance\03. Images\02. OK\20210128-OK-0300713488.jpg"/>
  </r>
  <r>
    <n v="1895"/>
    <x v="22"/>
    <s v="Night"/>
    <x v="0"/>
    <n v="2000712201"/>
    <n v="490"/>
    <n v="2"/>
    <n v="0"/>
    <s v="U31065"/>
    <s v="L1193/94"/>
    <x v="192"/>
    <m/>
    <m/>
    <m/>
    <n v="0"/>
    <m/>
    <m/>
  </r>
  <r>
    <n v="1896"/>
    <x v="22"/>
    <s v="Night"/>
    <x v="0"/>
    <n v="2000713524"/>
    <n v="3996"/>
    <n v="200"/>
    <n v="0"/>
    <s v="U26613"/>
    <s v="L1174/75"/>
    <x v="66"/>
    <m/>
    <m/>
    <m/>
    <n v="0"/>
    <m/>
    <m/>
  </r>
  <r>
    <n v="1897"/>
    <x v="22"/>
    <s v="Night"/>
    <x v="0"/>
    <n v="2000712701"/>
    <n v="2000"/>
    <n v="300"/>
    <n v="0"/>
    <s v="U26613"/>
    <s v="L1144/47"/>
    <x v="13"/>
    <m/>
    <m/>
    <m/>
    <n v="0"/>
    <m/>
    <m/>
  </r>
  <r>
    <n v="1898"/>
    <x v="22"/>
    <s v="Night"/>
    <x v="0"/>
    <n v="2000713146"/>
    <n v="2000"/>
    <n v="200"/>
    <n v="0"/>
    <s v="U26613"/>
    <s v="L1077"/>
    <x v="6"/>
    <m/>
    <m/>
    <m/>
    <n v="0"/>
    <m/>
    <m/>
  </r>
  <r>
    <n v="1899"/>
    <x v="22"/>
    <s v="Night"/>
    <x v="0"/>
    <n v="2000712819"/>
    <n v="600"/>
    <n v="250"/>
    <n v="0"/>
    <s v="U26613"/>
    <s v="L1172/73"/>
    <x v="165"/>
    <m/>
    <m/>
    <m/>
    <n v="0"/>
    <m/>
    <m/>
  </r>
  <r>
    <n v="1900"/>
    <x v="22"/>
    <s v="Night"/>
    <x v="0"/>
    <n v="2000712708"/>
    <n v="2470"/>
    <n v="50"/>
    <n v="0"/>
    <s v="U30425"/>
    <s v="L1144/47"/>
    <x v="120"/>
    <m/>
    <m/>
    <m/>
    <n v="0"/>
    <m/>
    <m/>
  </r>
  <r>
    <n v="1901"/>
    <x v="22"/>
    <s v="Night"/>
    <x v="0"/>
    <n v="2000713287"/>
    <n v="960"/>
    <n v="30"/>
    <n v="0"/>
    <s v="U30425"/>
    <s v="L1172/73"/>
    <x v="99"/>
    <m/>
    <m/>
    <m/>
    <n v="0"/>
    <m/>
    <m/>
  </r>
  <r>
    <n v="1902"/>
    <x v="22"/>
    <s v="Night"/>
    <x v="0"/>
    <n v="2000713285"/>
    <n v="300"/>
    <n v="90"/>
    <n v="0"/>
    <s v="U30425"/>
    <s v="L1188/89"/>
    <x v="110"/>
    <m/>
    <m/>
    <m/>
    <n v="0"/>
    <m/>
    <m/>
  </r>
  <r>
    <n v="1903"/>
    <x v="22"/>
    <s v="Night"/>
    <x v="0"/>
    <n v="2000713380"/>
    <n v="2000"/>
    <n v="30"/>
    <n v="0"/>
    <s v="U30425"/>
    <s v="L1172/73"/>
    <x v="18"/>
    <m/>
    <m/>
    <m/>
    <n v="0"/>
    <m/>
    <m/>
  </r>
  <r>
    <n v="1904"/>
    <x v="22"/>
    <s v="Night"/>
    <x v="0"/>
    <n v="2000713645"/>
    <n v="1590"/>
    <n v="60"/>
    <n v="0"/>
    <s v="U30425"/>
    <s v="L1172/73"/>
    <x v="83"/>
    <m/>
    <m/>
    <m/>
    <n v="0"/>
    <m/>
    <m/>
  </r>
  <r>
    <n v="1905"/>
    <x v="22"/>
    <s v="Night"/>
    <x v="0"/>
    <n v="2000713625"/>
    <n v="1460"/>
    <n v="80"/>
    <n v="0"/>
    <s v="U30425"/>
    <s v="L1144/47"/>
    <x v="5"/>
    <m/>
    <m/>
    <m/>
    <n v="0"/>
    <m/>
    <m/>
  </r>
  <r>
    <n v="1906"/>
    <x v="22"/>
    <s v="Night"/>
    <x v="1"/>
    <n v="2000713479"/>
    <n v="900"/>
    <n v="190"/>
    <n v="0"/>
    <s v="U31065"/>
    <s v="PSLV"/>
    <x v="49"/>
    <m/>
    <m/>
    <m/>
    <n v="0"/>
    <m/>
    <m/>
  </r>
  <r>
    <n v="1907"/>
    <x v="22"/>
    <s v="Night"/>
    <x v="1"/>
    <n v="2000713663"/>
    <n v="25"/>
    <n v="24"/>
    <n v="0"/>
    <s v="U30119"/>
    <s v="PSHV"/>
    <x v="223"/>
    <m/>
    <m/>
    <m/>
    <n v="0"/>
    <m/>
    <m/>
  </r>
  <r>
    <n v="1908"/>
    <x v="22"/>
    <s v="Night"/>
    <x v="1"/>
    <n v="2000713470"/>
    <n v="500"/>
    <n v="100"/>
    <n v="0"/>
    <s v="U30119"/>
    <s v="PSHV"/>
    <x v="96"/>
    <m/>
    <m/>
    <m/>
    <n v="0"/>
    <m/>
    <m/>
  </r>
  <r>
    <n v="1909"/>
    <x v="22"/>
    <s v="Night"/>
    <x v="1"/>
    <n v="2000713201"/>
    <n v="350"/>
    <n v="10"/>
    <n v="0"/>
    <s v="U30119"/>
    <s v="PSLV"/>
    <x v="135"/>
    <m/>
    <m/>
    <m/>
    <n v="0"/>
    <m/>
    <m/>
  </r>
  <r>
    <n v="1910"/>
    <x v="22"/>
    <s v="Night"/>
    <x v="1"/>
    <n v="2000713664"/>
    <n v="350"/>
    <n v="220"/>
    <n v="0"/>
    <s v="U30119"/>
    <s v="PSLV"/>
    <x v="23"/>
    <m/>
    <m/>
    <m/>
    <n v="0"/>
    <m/>
    <m/>
  </r>
  <r>
    <n v="1911"/>
    <x v="22"/>
    <s v="Night"/>
    <x v="1"/>
    <n v="2000713479"/>
    <n v="900"/>
    <n v="300"/>
    <n v="0"/>
    <s v="U30119"/>
    <s v="PSLV"/>
    <x v="49"/>
    <m/>
    <m/>
    <m/>
    <n v="0"/>
    <m/>
    <m/>
  </r>
  <r>
    <n v="1912"/>
    <x v="22"/>
    <s v="Night"/>
    <x v="1"/>
    <n v="2000714147"/>
    <n v="360"/>
    <n v="360"/>
    <n v="0"/>
    <s v="U30119"/>
    <s v="BORUTO"/>
    <x v="107"/>
    <m/>
    <m/>
    <m/>
    <n v="0"/>
    <m/>
    <m/>
  </r>
  <r>
    <n v="1913"/>
    <x v="22"/>
    <s v="Night"/>
    <x v="1"/>
    <n v="2000714148"/>
    <n v="270"/>
    <n v="180"/>
    <n v="0"/>
    <s v="U30119"/>
    <s v="BORUTO"/>
    <x v="111"/>
    <m/>
    <m/>
    <m/>
    <n v="0"/>
    <m/>
    <m/>
  </r>
  <r>
    <n v="1914"/>
    <x v="23"/>
    <s v="Day"/>
    <x v="0"/>
    <n v="2000713464"/>
    <n v="3130"/>
    <n v="130"/>
    <n v="0"/>
    <s v="U36206"/>
    <s v="L1174/75"/>
    <x v="3"/>
    <m/>
    <m/>
    <m/>
    <n v="0"/>
    <m/>
    <m/>
  </r>
  <r>
    <n v="1915"/>
    <x v="23"/>
    <s v="Day"/>
    <x v="0"/>
    <n v="2000713851"/>
    <n v="760"/>
    <n v="80"/>
    <n v="0"/>
    <s v="U36206"/>
    <s v="L1144/47"/>
    <x v="71"/>
    <m/>
    <m/>
    <m/>
    <n v="0"/>
    <m/>
    <m/>
  </r>
  <r>
    <n v="1916"/>
    <x v="23"/>
    <s v="Day"/>
    <x v="0"/>
    <n v="2000713625"/>
    <n v="1460"/>
    <n v="40"/>
    <n v="0"/>
    <s v="U36206"/>
    <s v="L1144/47"/>
    <x v="56"/>
    <m/>
    <m/>
    <m/>
    <n v="0"/>
    <m/>
    <m/>
  </r>
  <r>
    <n v="1917"/>
    <x v="23"/>
    <s v="Day"/>
    <x v="0"/>
    <n v="2000714473"/>
    <n v="2060"/>
    <n v="140"/>
    <n v="0"/>
    <s v="U36206"/>
    <s v="L1077"/>
    <x v="2"/>
    <m/>
    <m/>
    <m/>
    <n v="0"/>
    <m/>
    <m/>
  </r>
  <r>
    <n v="1918"/>
    <x v="23"/>
    <s v="Day"/>
    <x v="0"/>
    <n v="2000713854"/>
    <n v="520"/>
    <n v="80"/>
    <n v="0"/>
    <s v="U36206"/>
    <s v="L1186"/>
    <x v="38"/>
    <m/>
    <m/>
    <m/>
    <n v="0"/>
    <m/>
    <m/>
  </r>
  <r>
    <n v="1919"/>
    <x v="23"/>
    <s v="Day"/>
    <x v="0"/>
    <n v="2000713788"/>
    <n v="440"/>
    <n v="320"/>
    <n v="0"/>
    <s v="U05944"/>
    <s v="L1188/89"/>
    <x v="17"/>
    <m/>
    <m/>
    <m/>
    <n v="0"/>
    <m/>
    <m/>
  </r>
  <r>
    <n v="1920"/>
    <x v="23"/>
    <s v="Day"/>
    <x v="0"/>
    <n v="2000714163"/>
    <n v="160"/>
    <n v="60"/>
    <n v="0"/>
    <s v="U05944"/>
    <s v="L1188/89"/>
    <x v="47"/>
    <m/>
    <m/>
    <m/>
    <n v="0"/>
    <m/>
    <m/>
  </r>
  <r>
    <n v="1921"/>
    <x v="23"/>
    <s v="Day"/>
    <x v="0"/>
    <n v="2000713489"/>
    <n v="2336"/>
    <n v="495"/>
    <n v="0"/>
    <s v="U29686"/>
    <s v="L1209/10"/>
    <x v="196"/>
    <m/>
    <m/>
    <m/>
    <n v="0"/>
    <m/>
    <m/>
  </r>
  <r>
    <n v="1922"/>
    <x v="23"/>
    <s v="Day"/>
    <x v="0"/>
    <n v="2000713699"/>
    <n v="2070"/>
    <n v="225"/>
    <n v="0"/>
    <s v="U29686"/>
    <s v="L1209/10"/>
    <x v="196"/>
    <m/>
    <m/>
    <m/>
    <n v="0"/>
    <m/>
    <m/>
  </r>
  <r>
    <n v="1923"/>
    <x v="23"/>
    <s v="Day"/>
    <x v="0"/>
    <n v="2000707772"/>
    <n v="910"/>
    <n v="55"/>
    <n v="0"/>
    <s v="U29686"/>
    <s v="L1209/10"/>
    <x v="196"/>
    <m/>
    <m/>
    <m/>
    <n v="0"/>
    <m/>
    <m/>
  </r>
  <r>
    <n v="1924"/>
    <x v="23"/>
    <s v="Day"/>
    <x v="0"/>
    <n v="2000712819"/>
    <n v="600"/>
    <n v="50"/>
    <n v="0"/>
    <s v="U03968"/>
    <s v="L1172/73"/>
    <x v="165"/>
    <m/>
    <m/>
    <m/>
    <n v="0"/>
    <m/>
    <m/>
  </r>
  <r>
    <n v="1925"/>
    <x v="23"/>
    <s v="Day"/>
    <x v="0"/>
    <n v="2000712446"/>
    <n v="4220"/>
    <n v="300"/>
    <n v="0"/>
    <s v="U03968"/>
    <s v="T515"/>
    <x v="15"/>
    <m/>
    <m/>
    <m/>
    <n v="0"/>
    <m/>
    <m/>
  </r>
  <r>
    <n v="1926"/>
    <x v="23"/>
    <s v="Day"/>
    <x v="0"/>
    <n v="2000713891"/>
    <n v="5392"/>
    <n v="200"/>
    <n v="0"/>
    <s v="U03968"/>
    <s v="L1112/13"/>
    <x v="8"/>
    <m/>
    <m/>
    <m/>
    <n v="0"/>
    <m/>
    <m/>
  </r>
  <r>
    <n v="1927"/>
    <x v="23"/>
    <s v="Day"/>
    <x v="0"/>
    <n v="2000713462"/>
    <n v="1428"/>
    <n v="300"/>
    <n v="0"/>
    <s v="U03968"/>
    <s v="L1174/75"/>
    <x v="62"/>
    <m/>
    <m/>
    <m/>
    <n v="0"/>
    <m/>
    <m/>
  </r>
  <r>
    <n v="1928"/>
    <x v="23"/>
    <s v="Day"/>
    <x v="0"/>
    <n v="2000713892"/>
    <n v="2736"/>
    <n v="160"/>
    <n v="0"/>
    <s v="U03968"/>
    <s v="L1128/29"/>
    <x v="11"/>
    <m/>
    <m/>
    <m/>
    <n v="0"/>
    <m/>
    <m/>
  </r>
  <r>
    <n v="1929"/>
    <x v="23"/>
    <s v="Day"/>
    <x v="0"/>
    <n v="2000713525"/>
    <n v="3600"/>
    <n v="240"/>
    <n v="0"/>
    <s v="U03968"/>
    <s v="L1172/73"/>
    <x v="7"/>
    <m/>
    <m/>
    <m/>
    <n v="0"/>
    <m/>
    <m/>
  </r>
  <r>
    <n v="1930"/>
    <x v="23"/>
    <s v="Day"/>
    <x v="0"/>
    <n v="2000713523"/>
    <n v="7860"/>
    <n v="300"/>
    <n v="0"/>
    <s v="U03968"/>
    <s v="L1112/13"/>
    <x v="75"/>
    <m/>
    <m/>
    <m/>
    <n v="0"/>
    <m/>
    <m/>
  </r>
  <r>
    <n v="1931"/>
    <x v="23"/>
    <s v="Day"/>
    <x v="0"/>
    <n v="2000713789"/>
    <n v="680"/>
    <n v="118"/>
    <n v="0"/>
    <s v="U27723"/>
    <s v="L1188/89"/>
    <x v="98"/>
    <m/>
    <m/>
    <m/>
    <n v="0"/>
    <m/>
    <m/>
  </r>
  <r>
    <n v="1932"/>
    <x v="23"/>
    <s v="Day"/>
    <x v="0"/>
    <n v="2000714171"/>
    <n v="320"/>
    <n v="319"/>
    <n v="0"/>
    <s v="U27723"/>
    <s v="L1188/89"/>
    <x v="95"/>
    <m/>
    <m/>
    <m/>
    <n v="0"/>
    <m/>
    <m/>
  </r>
  <r>
    <n v="1933"/>
    <x v="23"/>
    <s v="Day"/>
    <x v="0"/>
    <n v="2000714163"/>
    <n v="160"/>
    <n v="80"/>
    <n v="0"/>
    <s v="U27723"/>
    <s v="L1188/89"/>
    <x v="47"/>
    <m/>
    <m/>
    <m/>
    <n v="0"/>
    <m/>
    <m/>
  </r>
  <r>
    <n v="1934"/>
    <x v="23"/>
    <s v="Day"/>
    <x v="0"/>
    <n v="2000712201"/>
    <n v="490"/>
    <n v="180"/>
    <n v="0"/>
    <s v="U27687"/>
    <s v="L1193/94"/>
    <x v="192"/>
    <m/>
    <m/>
    <m/>
    <n v="0"/>
    <m/>
    <m/>
  </r>
  <r>
    <n v="1935"/>
    <x v="23"/>
    <s v="Day"/>
    <x v="0"/>
    <n v="2000704809"/>
    <n v="1572"/>
    <n v="85"/>
    <n v="0"/>
    <s v="U27687"/>
    <s v="L1188/89"/>
    <x v="84"/>
    <m/>
    <m/>
    <m/>
    <n v="0"/>
    <m/>
    <m/>
  </r>
  <r>
    <n v="1936"/>
    <x v="23"/>
    <s v="Day"/>
    <x v="0"/>
    <n v="2000713489"/>
    <n v="2336"/>
    <n v="45"/>
    <n v="0"/>
    <s v="U27687"/>
    <s v="L1209/10"/>
    <x v="196"/>
    <m/>
    <m/>
    <m/>
    <n v="0"/>
    <m/>
    <m/>
  </r>
  <r>
    <n v="1937"/>
    <x v="23"/>
    <s v="Day"/>
    <x v="0"/>
    <n v="2000713489"/>
    <n v="2336"/>
    <n v="250"/>
    <n v="0"/>
    <s v="U18660"/>
    <s v="L1209/10"/>
    <x v="196"/>
    <m/>
    <m/>
    <m/>
    <n v="0"/>
    <m/>
    <m/>
  </r>
  <r>
    <n v="1938"/>
    <x v="23"/>
    <s v="Day"/>
    <x v="0"/>
    <n v="2000712201"/>
    <n v="490"/>
    <n v="80"/>
    <n v="0"/>
    <s v="U18660"/>
    <s v="L1193/94"/>
    <x v="192"/>
    <m/>
    <m/>
    <m/>
    <n v="0"/>
    <m/>
    <m/>
  </r>
  <r>
    <n v="1939"/>
    <x v="23"/>
    <s v="Day"/>
    <x v="0"/>
    <n v="2000713178"/>
    <n v="500"/>
    <n v="30"/>
    <n v="0"/>
    <s v="U18660"/>
    <s v="L1193/94"/>
    <x v="192"/>
    <m/>
    <m/>
    <m/>
    <n v="0"/>
    <m/>
    <m/>
  </r>
  <r>
    <n v="1940"/>
    <x v="23"/>
    <s v="Day"/>
    <x v="0"/>
    <n v="2000713645"/>
    <n v="1590"/>
    <n v="60"/>
    <n v="0"/>
    <s v="U18660"/>
    <s v="L1172/73"/>
    <x v="83"/>
    <m/>
    <m/>
    <m/>
    <n v="0"/>
    <m/>
    <m/>
  </r>
  <r>
    <n v="1941"/>
    <x v="23"/>
    <s v="Day"/>
    <x v="1"/>
    <n v="2000714286"/>
    <n v="600"/>
    <n v="30"/>
    <n v="0"/>
    <s v="U18660"/>
    <s v="SHANKS"/>
    <x v="106"/>
    <m/>
    <m/>
    <m/>
    <n v="0"/>
    <m/>
    <m/>
  </r>
  <r>
    <n v="1942"/>
    <x v="23"/>
    <s v="Day"/>
    <x v="1"/>
    <n v="2000713688"/>
    <n v="945"/>
    <n v="40"/>
    <n v="0"/>
    <s v="U18660"/>
    <s v="PSHV"/>
    <x v="26"/>
    <m/>
    <m/>
    <m/>
    <n v="0"/>
    <m/>
    <m/>
  </r>
  <r>
    <n v="1943"/>
    <x v="23"/>
    <s v="Day"/>
    <x v="1"/>
    <n v="2000714295"/>
    <n v="117"/>
    <n v="30"/>
    <n v="0"/>
    <s v="U18660"/>
    <s v="SHANKS"/>
    <x v="108"/>
    <m/>
    <m/>
    <m/>
    <n v="0"/>
    <m/>
    <m/>
  </r>
  <r>
    <n v="1944"/>
    <x v="23"/>
    <s v="Day"/>
    <x v="1"/>
    <n v="2000713479"/>
    <n v="900"/>
    <n v="40"/>
    <n v="0"/>
    <s v="U18660"/>
    <s v="PSLV"/>
    <x v="49"/>
    <m/>
    <m/>
    <m/>
    <n v="0"/>
    <m/>
    <m/>
  </r>
  <r>
    <n v="1945"/>
    <x v="23"/>
    <s v="Day"/>
    <x v="1"/>
    <n v="2000713476"/>
    <n v="500"/>
    <n v="140"/>
    <n v="0"/>
    <s v="U32991"/>
    <s v="FRANKY"/>
    <x v="81"/>
    <m/>
    <m/>
    <m/>
    <n v="0"/>
    <m/>
    <m/>
  </r>
  <r>
    <n v="1946"/>
    <x v="23"/>
    <s v="Day"/>
    <x v="1"/>
    <n v="2000714148"/>
    <n v="270"/>
    <n v="90"/>
    <n v="0"/>
    <s v="U32991"/>
    <s v="BORUTO"/>
    <x v="111"/>
    <m/>
    <m/>
    <m/>
    <n v="0"/>
    <m/>
    <m/>
  </r>
  <r>
    <n v="1947"/>
    <x v="23"/>
    <s v="Day"/>
    <x v="1"/>
    <n v="2000714286"/>
    <n v="600"/>
    <n v="90"/>
    <n v="0"/>
    <s v="U32991"/>
    <s v="SHANKS"/>
    <x v="106"/>
    <m/>
    <m/>
    <m/>
    <n v="0"/>
    <m/>
    <m/>
  </r>
  <r>
    <n v="1948"/>
    <x v="23"/>
    <s v="Day"/>
    <x v="1"/>
    <n v="2000713479"/>
    <n v="900"/>
    <n v="120"/>
    <n v="0"/>
    <s v="U32991"/>
    <s v="PSLV"/>
    <x v="49"/>
    <m/>
    <m/>
    <m/>
    <n v="0"/>
    <m/>
    <m/>
  </r>
  <r>
    <n v="1949"/>
    <x v="23"/>
    <s v="Day"/>
    <x v="1"/>
    <n v="2000713664"/>
    <n v="350"/>
    <n v="31"/>
    <n v="0"/>
    <s v="U32991"/>
    <s v="PSLV"/>
    <x v="23"/>
    <m/>
    <m/>
    <m/>
    <n v="0"/>
    <m/>
    <m/>
  </r>
  <r>
    <n v="1950"/>
    <x v="23"/>
    <s v="Day"/>
    <x v="1"/>
    <n v="2000713201"/>
    <n v="350"/>
    <n v="40"/>
    <n v="0"/>
    <s v="U32991"/>
    <s v="PSLV"/>
    <x v="135"/>
    <m/>
    <m/>
    <m/>
    <n v="0"/>
    <m/>
    <m/>
  </r>
  <r>
    <n v="1951"/>
    <x v="23"/>
    <s v="Day"/>
    <x v="1"/>
    <n v="2000713639"/>
    <n v="620"/>
    <n v="75"/>
    <n v="0"/>
    <s v="U32991"/>
    <s v="FLORA"/>
    <x v="28"/>
    <m/>
    <m/>
    <m/>
    <n v="0"/>
    <m/>
    <m/>
  </r>
  <r>
    <n v="1952"/>
    <x v="23"/>
    <s v="Night"/>
    <x v="0"/>
    <n v="2000712201"/>
    <n v="490"/>
    <n v="30"/>
    <n v="0"/>
    <s v="U31065"/>
    <s v="L1193/94"/>
    <x v="192"/>
    <m/>
    <m/>
    <m/>
    <n v="0"/>
    <m/>
    <m/>
  </r>
  <r>
    <n v="1953"/>
    <x v="23"/>
    <s v="Night"/>
    <x v="0"/>
    <n v="2000713178"/>
    <n v="500"/>
    <n v="280"/>
    <n v="0"/>
    <s v="U31065"/>
    <s v="L1193/94"/>
    <x v="192"/>
    <m/>
    <m/>
    <m/>
    <n v="0"/>
    <m/>
    <m/>
  </r>
  <r>
    <n v="1954"/>
    <x v="23"/>
    <s v="Night"/>
    <x v="0"/>
    <n v="2000713788"/>
    <n v="440"/>
    <n v="80"/>
    <n v="0"/>
    <s v="U31065"/>
    <s v="L1188/89"/>
    <x v="17"/>
    <m/>
    <m/>
    <m/>
    <n v="0"/>
    <m/>
    <m/>
  </r>
  <r>
    <n v="1955"/>
    <x v="23"/>
    <s v="Night"/>
    <x v="0"/>
    <n v="2000713791"/>
    <n v="80"/>
    <n v="80"/>
    <n v="0"/>
    <s v="U31065"/>
    <s v="L1188/89"/>
    <x v="72"/>
    <m/>
    <m/>
    <m/>
    <n v="0"/>
    <m/>
    <m/>
  </r>
  <r>
    <n v="1956"/>
    <x v="23"/>
    <s v="Night"/>
    <x v="0"/>
    <n v="2000713699"/>
    <n v="2070"/>
    <n v="120"/>
    <n v="1"/>
    <s v="U31065"/>
    <s v="L1209/10"/>
    <x v="196"/>
    <s v="Bong, vỡ linh kiện"/>
    <m/>
    <s v="C114"/>
    <n v="1"/>
    <s v="\\vn-file\QC Department\4.OQC\00. OQC Performance\03. Images\01. NG\20210129-NG-0754713699.jpg"/>
    <s v="\\vn-file\QC Department\4.OQC\00. OQC Performance\03. Images\02. OK\20210129-OK-0754713699.jpg"/>
  </r>
  <r>
    <n v="1957"/>
    <x v="23"/>
    <s v="Night"/>
    <x v="0"/>
    <n v="2000713699"/>
    <n v="2070"/>
    <n v="45"/>
    <n v="0"/>
    <s v="U09749"/>
    <s v="L1209/10"/>
    <x v="196"/>
    <m/>
    <m/>
    <m/>
    <n v="0"/>
    <m/>
    <m/>
  </r>
  <r>
    <n v="1958"/>
    <x v="23"/>
    <s v="Night"/>
    <x v="0"/>
    <n v="2000713699"/>
    <n v="2070"/>
    <n v="405"/>
    <n v="0"/>
    <s v="U23987"/>
    <s v="L1209/10"/>
    <x v="196"/>
    <m/>
    <m/>
    <m/>
    <n v="0"/>
    <m/>
    <m/>
  </r>
  <r>
    <n v="1959"/>
    <x v="23"/>
    <s v="Night"/>
    <x v="0"/>
    <n v="2000714163"/>
    <n v="160"/>
    <n v="40"/>
    <n v="0"/>
    <s v="U36008"/>
    <s v="L1188/89"/>
    <x v="47"/>
    <m/>
    <m/>
    <m/>
    <n v="0"/>
    <m/>
    <m/>
  </r>
  <r>
    <n v="1960"/>
    <x v="23"/>
    <s v="Night"/>
    <x v="0"/>
    <n v="2000714164"/>
    <n v="240"/>
    <n v="240"/>
    <n v="0"/>
    <s v="U36008"/>
    <s v="L1188/89"/>
    <x v="130"/>
    <m/>
    <m/>
    <m/>
    <n v="0"/>
    <m/>
    <m/>
  </r>
  <r>
    <n v="1961"/>
    <x v="23"/>
    <s v="Night"/>
    <x v="0"/>
    <n v="2000714165"/>
    <n v="40"/>
    <n v="40"/>
    <n v="0"/>
    <s v="U36008"/>
    <s v="L1188/89"/>
    <x v="60"/>
    <m/>
    <m/>
    <m/>
    <n v="0"/>
    <m/>
    <m/>
  </r>
  <r>
    <n v="1962"/>
    <x v="23"/>
    <s v="Night"/>
    <x v="0"/>
    <n v="2000714506"/>
    <n v="520"/>
    <n v="120"/>
    <n v="0"/>
    <s v="U36008"/>
    <s v="L1188/89"/>
    <x v="136"/>
    <m/>
    <m/>
    <m/>
    <n v="0"/>
    <m/>
    <m/>
  </r>
  <r>
    <n v="1963"/>
    <x v="23"/>
    <s v="Night"/>
    <x v="0"/>
    <n v="2000713699"/>
    <n v="2070"/>
    <n v="45"/>
    <n v="0"/>
    <s v="U36008"/>
    <s v="L1209/10"/>
    <x v="196"/>
    <m/>
    <m/>
    <m/>
    <n v="0"/>
    <m/>
    <m/>
  </r>
  <r>
    <n v="1964"/>
    <x v="23"/>
    <s v="Night"/>
    <x v="0"/>
    <n v="2000714163"/>
    <n v="160"/>
    <n v="20"/>
    <n v="0"/>
    <s v="U09854"/>
    <s v="L1188/89"/>
    <x v="47"/>
    <m/>
    <m/>
    <m/>
    <n v="0"/>
    <m/>
    <m/>
  </r>
  <r>
    <n v="1965"/>
    <x v="23"/>
    <s v="Night"/>
    <x v="0"/>
    <n v="2000713788"/>
    <n v="440"/>
    <n v="40"/>
    <n v="0"/>
    <s v="U09854"/>
    <s v="L1188/89"/>
    <x v="17"/>
    <m/>
    <m/>
    <m/>
    <n v="0"/>
    <m/>
    <m/>
  </r>
  <r>
    <n v="1966"/>
    <x v="23"/>
    <s v="Night"/>
    <x v="0"/>
    <n v="2000713699"/>
    <n v="2070"/>
    <n v="180"/>
    <n v="0"/>
    <s v="U09854"/>
    <s v="L1209/10"/>
    <x v="196"/>
    <m/>
    <m/>
    <m/>
    <n v="0"/>
    <m/>
    <m/>
  </r>
  <r>
    <n v="1967"/>
    <x v="23"/>
    <s v="Night"/>
    <x v="0"/>
    <n v="2000712819"/>
    <n v="600"/>
    <n v="150"/>
    <n v="0"/>
    <s v="U26613"/>
    <s v="L1172/73"/>
    <x v="165"/>
    <m/>
    <m/>
    <m/>
    <n v="0"/>
    <m/>
    <m/>
  </r>
  <r>
    <n v="1968"/>
    <x v="23"/>
    <s v="Night"/>
    <x v="0"/>
    <n v="2000713145"/>
    <n v="2000"/>
    <n v="300"/>
    <n v="0"/>
    <s v="U26613"/>
    <s v="L1077"/>
    <x v="33"/>
    <m/>
    <m/>
    <m/>
    <n v="0"/>
    <m/>
    <m/>
  </r>
  <r>
    <n v="1969"/>
    <x v="23"/>
    <s v="Night"/>
    <x v="0"/>
    <n v="2000713463"/>
    <n v="3130"/>
    <n v="400"/>
    <n v="0"/>
    <s v="U26613"/>
    <s v="L1174/75"/>
    <x v="62"/>
    <m/>
    <m/>
    <m/>
    <n v="0"/>
    <m/>
    <m/>
  </r>
  <r>
    <n v="1970"/>
    <x v="23"/>
    <s v="Night"/>
    <x v="0"/>
    <n v="2000711826"/>
    <n v="1440"/>
    <n v="240"/>
    <n v="0"/>
    <s v="U26613"/>
    <s v="L1193/94"/>
    <x v="30"/>
    <m/>
    <m/>
    <m/>
    <n v="0"/>
    <m/>
    <m/>
  </r>
  <r>
    <n v="1971"/>
    <x v="23"/>
    <s v="Night"/>
    <x v="0"/>
    <n v="2000713699"/>
    <n v="2070"/>
    <n v="465"/>
    <n v="0"/>
    <s v="U27724"/>
    <s v="L1209/10"/>
    <x v="196"/>
    <m/>
    <m/>
    <m/>
    <n v="0"/>
    <m/>
    <m/>
  </r>
  <r>
    <n v="1972"/>
    <x v="23"/>
    <s v="Night"/>
    <x v="0"/>
    <n v="2000713489"/>
    <n v="2336"/>
    <n v="90"/>
    <n v="0"/>
    <s v="U27724"/>
    <s v="L1209/10"/>
    <x v="196"/>
    <m/>
    <m/>
    <m/>
    <n v="0"/>
    <m/>
    <m/>
  </r>
  <r>
    <n v="1973"/>
    <x v="23"/>
    <s v="Night"/>
    <x v="0"/>
    <n v="2000713380"/>
    <n v="2000"/>
    <n v="90"/>
    <n v="0"/>
    <s v="U30425"/>
    <s v="L1172/73"/>
    <x v="18"/>
    <m/>
    <m/>
    <m/>
    <n v="0"/>
    <m/>
    <m/>
  </r>
  <r>
    <n v="1974"/>
    <x v="23"/>
    <s v="Night"/>
    <x v="0"/>
    <n v="2000713058"/>
    <n v="110"/>
    <n v="20"/>
    <n v="0"/>
    <s v="U30425"/>
    <s v="L1105"/>
    <x v="126"/>
    <m/>
    <m/>
    <m/>
    <n v="0"/>
    <m/>
    <m/>
  </r>
  <r>
    <n v="1975"/>
    <x v="23"/>
    <s v="Night"/>
    <x v="0"/>
    <n v="2000714158"/>
    <n v="900"/>
    <n v="80"/>
    <n v="0"/>
    <s v="U30425"/>
    <s v="L1168/69"/>
    <x v="93"/>
    <m/>
    <m/>
    <m/>
    <n v="0"/>
    <m/>
    <m/>
  </r>
  <r>
    <n v="1976"/>
    <x v="23"/>
    <s v="Night"/>
    <x v="0"/>
    <n v="2000714214"/>
    <n v="380"/>
    <n v="80"/>
    <n v="0"/>
    <s v="U30425"/>
    <s v="L1144/47"/>
    <x v="39"/>
    <m/>
    <m/>
    <m/>
    <n v="0"/>
    <m/>
    <m/>
  </r>
  <r>
    <n v="1977"/>
    <x v="23"/>
    <s v="Night"/>
    <x v="0"/>
    <n v="2000714201"/>
    <n v="890"/>
    <n v="120"/>
    <n v="0"/>
    <s v="U30425"/>
    <s v="L1186"/>
    <x v="4"/>
    <m/>
    <m/>
    <m/>
    <n v="0"/>
    <m/>
    <m/>
  </r>
  <r>
    <n v="1978"/>
    <x v="23"/>
    <s v="Night"/>
    <x v="1"/>
    <n v="2000713479"/>
    <n v="900"/>
    <n v="240"/>
    <n v="0"/>
    <s v="U30119"/>
    <s v="PSLV"/>
    <x v="49"/>
    <m/>
    <m/>
    <m/>
    <n v="0"/>
    <m/>
    <m/>
  </r>
  <r>
    <n v="1979"/>
    <x v="23"/>
    <s v="Night"/>
    <x v="1"/>
    <n v="2000713640"/>
    <n v="620"/>
    <n v="130"/>
    <n v="0"/>
    <s v="U30119"/>
    <s v="FLORA"/>
    <x v="28"/>
    <m/>
    <m/>
    <m/>
    <n v="0"/>
    <m/>
    <m/>
  </r>
  <r>
    <n v="1980"/>
    <x v="23"/>
    <s v="Night"/>
    <x v="1"/>
    <n v="2000710530"/>
    <n v="167"/>
    <n v="4"/>
    <n v="0"/>
    <s v="U30119"/>
    <s v="PSLV"/>
    <x v="128"/>
    <m/>
    <m/>
    <m/>
    <n v="0"/>
    <m/>
    <m/>
  </r>
  <r>
    <n v="1981"/>
    <x v="23"/>
    <s v="Night"/>
    <x v="1"/>
    <n v="2000713483"/>
    <n v="270"/>
    <n v="150"/>
    <n v="0"/>
    <s v="U30119"/>
    <s v="PSLV"/>
    <x v="128"/>
    <m/>
    <m/>
    <m/>
    <n v="0"/>
    <m/>
    <m/>
  </r>
  <r>
    <n v="1982"/>
    <x v="23"/>
    <s v="Night"/>
    <x v="1"/>
    <n v="2000713201"/>
    <n v="350"/>
    <n v="20"/>
    <n v="0"/>
    <s v="U30119"/>
    <s v="PSLV"/>
    <x v="135"/>
    <m/>
    <m/>
    <m/>
    <n v="0"/>
    <m/>
    <m/>
  </r>
  <r>
    <n v="1983"/>
    <x v="23"/>
    <s v="Night"/>
    <x v="1"/>
    <n v="2000713664"/>
    <n v="350"/>
    <n v="10"/>
    <n v="0"/>
    <s v="U30119"/>
    <s v="PSLV"/>
    <x v="23"/>
    <m/>
    <m/>
    <m/>
    <n v="0"/>
    <m/>
    <m/>
  </r>
  <r>
    <n v="1984"/>
    <x v="23"/>
    <s v="Night"/>
    <x v="1"/>
    <n v="2000713688"/>
    <n v="945"/>
    <n v="80"/>
    <n v="0"/>
    <s v="U30119"/>
    <s v="PSHV"/>
    <x v="26"/>
    <m/>
    <m/>
    <m/>
    <n v="0"/>
    <m/>
    <m/>
  </r>
  <r>
    <n v="1985"/>
    <x v="23"/>
    <s v="Night"/>
    <x v="1"/>
    <n v="2000713477"/>
    <n v="400"/>
    <n v="140"/>
    <n v="0"/>
    <s v="U30119"/>
    <s v="SHANKS"/>
    <x v="24"/>
    <m/>
    <m/>
    <m/>
    <n v="0"/>
    <m/>
    <m/>
  </r>
  <r>
    <n v="1986"/>
    <x v="23"/>
    <s v="Night"/>
    <x v="1"/>
    <n v="2000713672"/>
    <n v="620"/>
    <n v="70"/>
    <n v="0"/>
    <s v="U30119"/>
    <s v="SHANKS"/>
    <x v="24"/>
    <m/>
    <m/>
    <m/>
    <n v="0"/>
    <m/>
    <m/>
  </r>
  <r>
    <n v="1987"/>
    <x v="23"/>
    <s v="Night"/>
    <x v="1"/>
    <n v="2000713690"/>
    <n v="180"/>
    <n v="60"/>
    <n v="0"/>
    <s v="U30119"/>
    <s v="PSLV"/>
    <x v="166"/>
    <m/>
    <m/>
    <m/>
    <n v="0"/>
    <m/>
    <m/>
  </r>
  <r>
    <n v="1988"/>
    <x v="24"/>
    <s v="Day"/>
    <x v="0"/>
    <n v="2000714506"/>
    <n v="520"/>
    <n v="157"/>
    <n v="0"/>
    <s v="U09544"/>
    <s v="L1188/89"/>
    <x v="136"/>
    <m/>
    <m/>
    <m/>
    <n v="0"/>
    <m/>
    <m/>
  </r>
  <r>
    <n v="1989"/>
    <x v="24"/>
    <s v="Day"/>
    <x v="0"/>
    <n v="2000714167"/>
    <n v="120"/>
    <n v="120"/>
    <n v="0"/>
    <s v="U09544"/>
    <s v="L1188/89"/>
    <x v="130"/>
    <m/>
    <m/>
    <m/>
    <n v="0"/>
    <m/>
    <m/>
  </r>
  <r>
    <n v="1990"/>
    <x v="24"/>
    <s v="Day"/>
    <x v="0"/>
    <n v="2000714542"/>
    <n v="400"/>
    <n v="80"/>
    <n v="0"/>
    <s v="U09544"/>
    <s v="L1188/89"/>
    <x v="0"/>
    <m/>
    <m/>
    <m/>
    <n v="0"/>
    <m/>
    <m/>
  </r>
  <r>
    <n v="1991"/>
    <x v="24"/>
    <s v="Day"/>
    <x v="0"/>
    <n v="2000713129"/>
    <n v="500"/>
    <n v="99"/>
    <n v="1"/>
    <s v="U09544"/>
    <s v="L1170/71"/>
    <x v="45"/>
    <s v="Thừa linh kiện"/>
    <m/>
    <s v="Q1101"/>
    <n v="1"/>
    <s v="\\vn-file\QC Department\4.OQC\00. OQC Performance\03. Images\01. NG\20210130-NG-1800713129.jpg"/>
    <s v="\\vn-file\QC Department\4.OQC\00. OQC Performance\03. Images\02. OK\20210130-OK-1800713129.jpg"/>
  </r>
  <r>
    <n v="1992"/>
    <x v="24"/>
    <s v="Day"/>
    <x v="0"/>
    <n v="2000713699"/>
    <n v="2070"/>
    <n v="355"/>
    <n v="0"/>
    <s v="U29686"/>
    <s v="L1209/10"/>
    <x v="196"/>
    <m/>
    <m/>
    <m/>
    <n v="0"/>
    <m/>
    <m/>
  </r>
  <r>
    <n v="1993"/>
    <x v="24"/>
    <s v="Day"/>
    <x v="0"/>
    <n v="2000713129"/>
    <n v="500"/>
    <n v="105"/>
    <n v="0"/>
    <s v="U29686"/>
    <s v="L1170/71"/>
    <x v="45"/>
    <m/>
    <m/>
    <m/>
    <n v="0"/>
    <m/>
    <m/>
  </r>
  <r>
    <n v="1994"/>
    <x v="24"/>
    <s v="Day"/>
    <x v="0"/>
    <n v="2000713489"/>
    <n v="2336"/>
    <n v="270"/>
    <n v="0"/>
    <s v="U29686"/>
    <s v="L1209/10"/>
    <x v="196"/>
    <m/>
    <m/>
    <m/>
    <n v="0"/>
    <m/>
    <m/>
  </r>
  <r>
    <n v="1995"/>
    <x v="24"/>
    <s v="Day"/>
    <x v="0"/>
    <n v="2000713699"/>
    <n v="2070"/>
    <n v="90"/>
    <n v="0"/>
    <s v="U18660"/>
    <s v="L1209/10"/>
    <x v="196"/>
    <m/>
    <m/>
    <m/>
    <n v="0"/>
    <m/>
    <m/>
  </r>
  <r>
    <n v="1996"/>
    <x v="24"/>
    <s v="Day"/>
    <x v="0"/>
    <n v="2000713178"/>
    <n v="500"/>
    <n v="50"/>
    <n v="0"/>
    <s v="U18660"/>
    <s v="L1193/94"/>
    <x v="192"/>
    <m/>
    <m/>
    <m/>
    <n v="0"/>
    <m/>
    <m/>
  </r>
  <r>
    <n v="1997"/>
    <x v="24"/>
    <s v="Day"/>
    <x v="0"/>
    <n v="2000713482"/>
    <n v="488"/>
    <n v="60"/>
    <n v="0"/>
    <s v="U18660"/>
    <s v="L1193/94"/>
    <x v="192"/>
    <m/>
    <m/>
    <m/>
    <n v="0"/>
    <m/>
    <m/>
  </r>
  <r>
    <n v="1998"/>
    <x v="24"/>
    <s v="Day"/>
    <x v="0"/>
    <n v="2000714507"/>
    <n v="800"/>
    <n v="60"/>
    <n v="0"/>
    <s v="U18660"/>
    <s v="L1193/94"/>
    <x v="116"/>
    <m/>
    <m/>
    <m/>
    <n v="0"/>
    <m/>
    <m/>
  </r>
  <r>
    <n v="1999"/>
    <x v="24"/>
    <s v="Day"/>
    <x v="0"/>
    <n v="2000713129"/>
    <n v="500"/>
    <n v="210"/>
    <n v="0"/>
    <s v="U18660"/>
    <s v="L1170/71"/>
    <x v="45"/>
    <m/>
    <m/>
    <m/>
    <n v="0"/>
    <m/>
    <m/>
  </r>
  <r>
    <n v="2000"/>
    <x v="24"/>
    <s v="Day"/>
    <x v="0"/>
    <n v="2000714506"/>
    <n v="520"/>
    <n v="80"/>
    <n v="0"/>
    <s v="U27687"/>
    <s v="L1188/89"/>
    <x v="136"/>
    <m/>
    <m/>
    <m/>
    <n v="0"/>
    <m/>
    <m/>
  </r>
  <r>
    <n v="2001"/>
    <x v="24"/>
    <s v="Day"/>
    <x v="0"/>
    <n v="2000713489"/>
    <n v="2336"/>
    <n v="45"/>
    <n v="0"/>
    <s v="U27687"/>
    <s v="L1209/10"/>
    <x v="196"/>
    <m/>
    <m/>
    <m/>
    <n v="0"/>
    <m/>
    <m/>
  </r>
  <r>
    <n v="2002"/>
    <x v="24"/>
    <s v="Day"/>
    <x v="0"/>
    <n v="2000713699"/>
    <n v="2070"/>
    <n v="90"/>
    <n v="0"/>
    <s v="U27687"/>
    <s v="L1209/10"/>
    <x v="196"/>
    <m/>
    <m/>
    <m/>
    <n v="0"/>
    <m/>
    <m/>
  </r>
  <r>
    <n v="2003"/>
    <x v="24"/>
    <s v="Day"/>
    <x v="0"/>
    <n v="2000714507"/>
    <n v="800"/>
    <n v="154"/>
    <n v="0"/>
    <s v="U27687"/>
    <s v="L1193/94"/>
    <x v="116"/>
    <m/>
    <m/>
    <m/>
    <n v="0"/>
    <m/>
    <m/>
  </r>
  <r>
    <n v="2004"/>
    <x v="24"/>
    <s v="Day"/>
    <x v="0"/>
    <n v="2000713482"/>
    <n v="488"/>
    <n v="30"/>
    <n v="0"/>
    <s v="U27687"/>
    <s v="L1194/95"/>
    <x v="192"/>
    <m/>
    <m/>
    <m/>
    <n v="0"/>
    <m/>
    <m/>
  </r>
  <r>
    <n v="2005"/>
    <x v="24"/>
    <s v="Day"/>
    <x v="0"/>
    <n v="2000713178"/>
    <n v="500"/>
    <n v="10"/>
    <n v="0"/>
    <s v="U32991"/>
    <s v="L1193/94"/>
    <x v="192"/>
    <m/>
    <m/>
    <m/>
    <n v="0"/>
    <m/>
    <m/>
  </r>
  <r>
    <n v="2006"/>
    <x v="24"/>
    <s v="Day"/>
    <x v="0"/>
    <n v="2000713699"/>
    <n v="2070"/>
    <n v="45"/>
    <n v="0"/>
    <s v="U32991"/>
    <s v="L1209/10"/>
    <x v="196"/>
    <m/>
    <m/>
    <m/>
    <n v="0"/>
    <m/>
    <m/>
  </r>
  <r>
    <n v="2007"/>
    <x v="24"/>
    <s v="Day"/>
    <x v="0"/>
    <n v="2000714507"/>
    <n v="800"/>
    <n v="60"/>
    <n v="0"/>
    <s v="U32991"/>
    <s v="L1193/94"/>
    <x v="116"/>
    <m/>
    <m/>
    <m/>
    <n v="0"/>
    <m/>
    <m/>
  </r>
  <r>
    <n v="2008"/>
    <x v="24"/>
    <s v="Day"/>
    <x v="0"/>
    <n v="2000712482"/>
    <n v="488"/>
    <n v="7"/>
    <n v="0"/>
    <s v="U32991"/>
    <s v="L1194/95"/>
    <x v="192"/>
    <m/>
    <m/>
    <m/>
    <n v="0"/>
    <m/>
    <m/>
  </r>
  <r>
    <n v="2009"/>
    <x v="24"/>
    <s v="Day"/>
    <x v="0"/>
    <n v="2000714506"/>
    <n v="520"/>
    <n v="160"/>
    <n v="0"/>
    <s v="U27723"/>
    <s v="L1188/89"/>
    <x v="136"/>
    <m/>
    <m/>
    <m/>
    <n v="0"/>
    <m/>
    <m/>
  </r>
  <r>
    <n v="2010"/>
    <x v="24"/>
    <s v="Day"/>
    <x v="0"/>
    <n v="2000714479"/>
    <n v="900"/>
    <n v="80"/>
    <n v="0"/>
    <s v="U27723"/>
    <s v="L1168/69"/>
    <x v="48"/>
    <m/>
    <m/>
    <m/>
    <n v="0"/>
    <m/>
    <m/>
  </r>
  <r>
    <n v="2011"/>
    <x v="24"/>
    <s v="Day"/>
    <x v="0"/>
    <n v="2000713698"/>
    <n v="1500"/>
    <n v="120"/>
    <n v="0"/>
    <s v="U27723"/>
    <s v="L1168/69"/>
    <x v="37"/>
    <m/>
    <m/>
    <m/>
    <n v="0"/>
    <m/>
    <m/>
  </r>
  <r>
    <n v="2012"/>
    <x v="24"/>
    <s v="Day"/>
    <x v="0"/>
    <n v="2000713894"/>
    <n v="2752"/>
    <n v="120"/>
    <n v="0"/>
    <s v="U27723"/>
    <s v="L1128/29"/>
    <x v="11"/>
    <m/>
    <m/>
    <m/>
    <n v="0"/>
    <m/>
    <m/>
  </r>
  <r>
    <n v="2013"/>
    <x v="24"/>
    <s v="Day"/>
    <x v="0"/>
    <n v="2000714213"/>
    <n v="320"/>
    <n v="80"/>
    <n v="0"/>
    <s v="U27723"/>
    <s v="L1144/47"/>
    <x v="88"/>
    <m/>
    <m/>
    <m/>
    <n v="0"/>
    <m/>
    <m/>
  </r>
  <r>
    <n v="2014"/>
    <x v="24"/>
    <s v="Day"/>
    <x v="0"/>
    <n v="2000714194"/>
    <n v="1270"/>
    <n v="60"/>
    <n v="0"/>
    <s v="U27723"/>
    <s v="L1174/75"/>
    <x v="3"/>
    <m/>
    <m/>
    <m/>
    <n v="0"/>
    <m/>
    <m/>
  </r>
  <r>
    <n v="2015"/>
    <x v="24"/>
    <s v="Day"/>
    <x v="0"/>
    <n v="2000714522"/>
    <n v="380"/>
    <n v="80"/>
    <n v="0"/>
    <s v="U27723"/>
    <s v="L1144/47"/>
    <x v="88"/>
    <m/>
    <m/>
    <m/>
    <n v="0"/>
    <m/>
    <m/>
  </r>
  <r>
    <n v="2016"/>
    <x v="24"/>
    <s v="Day"/>
    <x v="0"/>
    <n v="2000714472"/>
    <n v="2060"/>
    <n v="200"/>
    <n v="0"/>
    <s v="U03968"/>
    <s v="L1077"/>
    <x v="36"/>
    <m/>
    <m/>
    <m/>
    <n v="0"/>
    <m/>
    <m/>
  </r>
  <r>
    <n v="2017"/>
    <x v="24"/>
    <s v="Day"/>
    <x v="0"/>
    <n v="2000714199"/>
    <n v="890"/>
    <n v="150"/>
    <n v="0"/>
    <s v="U03968"/>
    <s v="L1186"/>
    <x v="32"/>
    <m/>
    <m/>
    <m/>
    <n v="0"/>
    <m/>
    <m/>
  </r>
  <r>
    <n v="2018"/>
    <x v="24"/>
    <s v="Day"/>
    <x v="0"/>
    <n v="2000713056"/>
    <n v="110"/>
    <n v="50"/>
    <n v="0"/>
    <s v="U03968"/>
    <s v="L1105"/>
    <x v="150"/>
    <m/>
    <m/>
    <m/>
    <n v="0"/>
    <m/>
    <m/>
  </r>
  <r>
    <n v="2019"/>
    <x v="24"/>
    <s v="Day"/>
    <x v="0"/>
    <n v="2000713057"/>
    <n v="110"/>
    <n v="20"/>
    <n v="0"/>
    <s v="U03968"/>
    <s v="L1105"/>
    <x v="151"/>
    <m/>
    <m/>
    <m/>
    <n v="0"/>
    <m/>
    <m/>
  </r>
  <r>
    <n v="2020"/>
    <x v="24"/>
    <s v="Day"/>
    <x v="0"/>
    <n v="2000713893"/>
    <n v="5408"/>
    <n v="200"/>
    <n v="0"/>
    <s v="U03968"/>
    <s v="L1112/13"/>
    <x v="8"/>
    <m/>
    <m/>
    <m/>
    <n v="0"/>
    <m/>
    <m/>
  </r>
  <r>
    <n v="2021"/>
    <x v="24"/>
    <s v="Day"/>
    <x v="0"/>
    <n v="2000713055"/>
    <n v="110"/>
    <n v="40"/>
    <n v="0"/>
    <s v="U03968"/>
    <s v="L1105"/>
    <x v="149"/>
    <m/>
    <m/>
    <m/>
    <n v="0"/>
    <m/>
    <m/>
  </r>
  <r>
    <n v="2022"/>
    <x v="24"/>
    <s v="Day"/>
    <x v="0"/>
    <n v="2000713860"/>
    <n v="7890"/>
    <n v="300"/>
    <n v="0"/>
    <s v="U03968"/>
    <s v="L1112/13"/>
    <x v="75"/>
    <m/>
    <m/>
    <m/>
    <n v="0"/>
    <m/>
    <m/>
  </r>
  <r>
    <n v="2023"/>
    <x v="24"/>
    <s v="Day"/>
    <x v="0"/>
    <n v="2000714127"/>
    <n v="3008"/>
    <n v="400"/>
    <n v="0"/>
    <s v="U03968"/>
    <s v="L1193/94"/>
    <x v="119"/>
    <m/>
    <m/>
    <m/>
    <n v="0"/>
    <m/>
    <m/>
  </r>
  <r>
    <n v="2025"/>
    <x v="24"/>
    <s v="Day"/>
    <x v="0"/>
    <n v="2000713990"/>
    <n v="580"/>
    <n v="100"/>
    <n v="0"/>
    <s v="U03968"/>
    <s v="L1174/75"/>
    <x v="62"/>
    <m/>
    <m/>
    <m/>
    <n v="0"/>
    <m/>
    <m/>
  </r>
  <r>
    <n v="2026"/>
    <x v="24"/>
    <s v="Day"/>
    <x v="0"/>
    <n v="2000714471"/>
    <n v="2060"/>
    <n v="160"/>
    <n v="0"/>
    <s v="U03968"/>
    <s v="L1077"/>
    <x v="6"/>
    <m/>
    <m/>
    <m/>
    <n v="0"/>
    <m/>
    <m/>
  </r>
  <r>
    <n v="2027"/>
    <x v="24"/>
    <s v="Day"/>
    <x v="0"/>
    <n v="2000714469"/>
    <n v="2060"/>
    <n v="150"/>
    <n v="0"/>
    <s v="U03968"/>
    <s v="L1077"/>
    <x v="10"/>
    <m/>
    <m/>
    <m/>
    <n v="0"/>
    <m/>
    <m/>
  </r>
  <r>
    <n v="2028"/>
    <x v="24"/>
    <s v="Day"/>
    <x v="0"/>
    <n v="2000714131"/>
    <n v="920"/>
    <n v="160"/>
    <n v="0"/>
    <s v="U03968"/>
    <s v="L1151/52"/>
    <x v="185"/>
    <m/>
    <m/>
    <m/>
    <n v="0"/>
    <m/>
    <m/>
  </r>
  <r>
    <n v="2029"/>
    <x v="24"/>
    <s v="Day"/>
    <x v="0"/>
    <n v="2000713855"/>
    <n v="2300"/>
    <n v="120"/>
    <n v="0"/>
    <s v="U36206"/>
    <s v="L1144/47"/>
    <x v="224"/>
    <m/>
    <m/>
    <m/>
    <n v="0"/>
    <m/>
    <m/>
  </r>
  <r>
    <n v="2030"/>
    <x v="24"/>
    <s v="Day"/>
    <x v="0"/>
    <n v="2000714212"/>
    <n v="340"/>
    <n v="80"/>
    <n v="0"/>
    <s v="U36206"/>
    <s v="L1144/47"/>
    <x v="57"/>
    <m/>
    <m/>
    <m/>
    <n v="0"/>
    <m/>
    <m/>
  </r>
  <r>
    <n v="2031"/>
    <x v="24"/>
    <s v="Day"/>
    <x v="0"/>
    <n v="2000714194"/>
    <n v="1270"/>
    <n v="40"/>
    <n v="0"/>
    <s v="U36206"/>
    <s v="L1174/75"/>
    <x v="3"/>
    <m/>
    <m/>
    <m/>
    <n v="0"/>
    <m/>
    <m/>
  </r>
  <r>
    <n v="2032"/>
    <x v="24"/>
    <s v="Day"/>
    <x v="1"/>
    <n v="2000713672"/>
    <n v="620"/>
    <n v="105"/>
    <n v="0"/>
    <s v="U32991"/>
    <s v="SHANKS"/>
    <x v="24"/>
    <m/>
    <m/>
    <m/>
    <n v="0"/>
    <m/>
    <m/>
  </r>
  <r>
    <n v="2033"/>
    <x v="24"/>
    <s v="Day"/>
    <x v="1"/>
    <n v="2000713693"/>
    <n v="61"/>
    <n v="60"/>
    <n v="0"/>
    <s v="U32991"/>
    <s v="SHANKS"/>
    <x v="225"/>
    <m/>
    <m/>
    <m/>
    <n v="0"/>
    <m/>
    <m/>
  </r>
  <r>
    <n v="2034"/>
    <x v="24"/>
    <s v="Day"/>
    <x v="1"/>
    <n v="2000714288"/>
    <n v="474"/>
    <n v="96"/>
    <n v="0"/>
    <s v="U32991"/>
    <s v="FRANKY"/>
    <x v="51"/>
    <m/>
    <m/>
    <m/>
    <n v="0"/>
    <m/>
    <m/>
  </r>
  <r>
    <n v="2035"/>
    <x v="24"/>
    <s v="Day"/>
    <x v="1"/>
    <n v="2000713689"/>
    <n v="750"/>
    <n v="100"/>
    <n v="0"/>
    <s v="U32991"/>
    <s v="PSHV"/>
    <x v="25"/>
    <m/>
    <m/>
    <m/>
    <n v="0"/>
    <m/>
    <m/>
  </r>
  <r>
    <n v="2036"/>
    <x v="24"/>
    <s v="Day"/>
    <x v="1"/>
    <n v="2000713483"/>
    <n v="270"/>
    <n v="75"/>
    <n v="0"/>
    <s v="U32991"/>
    <s v="PSLV"/>
    <x v="128"/>
    <m/>
    <m/>
    <m/>
    <n v="0"/>
    <m/>
    <m/>
  </r>
  <r>
    <n v="2037"/>
    <x v="24"/>
    <s v="Day"/>
    <x v="1"/>
    <n v="2000714400"/>
    <n v="200"/>
    <n v="20"/>
    <n v="0"/>
    <s v="U32991"/>
    <s v="PSGV"/>
    <x v="121"/>
    <m/>
    <m/>
    <m/>
    <n v="0"/>
    <m/>
    <m/>
  </r>
  <r>
    <n v="2038"/>
    <x v="24"/>
    <s v="Night"/>
    <x v="0"/>
    <n v="2000713482"/>
    <n v="488"/>
    <n v="47"/>
    <n v="0"/>
    <s v="U31065"/>
    <s v="L1193/94"/>
    <x v="192"/>
    <m/>
    <m/>
    <m/>
    <n v="0"/>
    <m/>
    <m/>
  </r>
  <r>
    <n v="2039"/>
    <x v="24"/>
    <s v="Night"/>
    <x v="0"/>
    <n v="2000713178"/>
    <n v="500"/>
    <n v="30"/>
    <n v="0"/>
    <s v="U31065"/>
    <s v="L1193/94"/>
    <x v="192"/>
    <m/>
    <m/>
    <m/>
    <n v="0"/>
    <m/>
    <m/>
  </r>
  <r>
    <n v="2040"/>
    <x v="24"/>
    <s v="Night"/>
    <x v="0"/>
    <n v="2000714507"/>
    <n v="800"/>
    <n v="525"/>
    <n v="0"/>
    <s v="U31065"/>
    <s v="L1193/94"/>
    <x v="116"/>
    <m/>
    <m/>
    <m/>
    <n v="0"/>
    <m/>
    <m/>
  </r>
  <r>
    <n v="2041"/>
    <x v="24"/>
    <s v="Night"/>
    <x v="0"/>
    <n v="2000713697"/>
    <n v="2000"/>
    <n v="60"/>
    <n v="0"/>
    <s v="U30425"/>
    <s v="L1172/73"/>
    <x v="18"/>
    <m/>
    <m/>
    <m/>
    <n v="0"/>
    <m/>
    <m/>
  </r>
  <r>
    <n v="2042"/>
    <x v="24"/>
    <s v="Night"/>
    <x v="0"/>
    <n v="2000714520"/>
    <n v="40"/>
    <n v="20"/>
    <n v="0"/>
    <s v="U30425"/>
    <s v="L1144/47"/>
    <x v="170"/>
    <m/>
    <m/>
    <m/>
    <n v="0"/>
    <m/>
    <m/>
  </r>
  <r>
    <n v="2043"/>
    <x v="24"/>
    <s v="Night"/>
    <x v="0"/>
    <n v="2000714195"/>
    <n v="1090"/>
    <n v="80"/>
    <n v="0"/>
    <s v="U30425"/>
    <s v="L1174/75"/>
    <x v="226"/>
    <m/>
    <m/>
    <m/>
    <n v="0"/>
    <m/>
    <m/>
  </r>
  <r>
    <n v="2044"/>
    <x v="24"/>
    <s v="Night"/>
    <x v="0"/>
    <n v="2000714216"/>
    <n v="880"/>
    <n v="80"/>
    <n v="0"/>
    <s v="U30425"/>
    <s v="L1144/47"/>
    <x v="5"/>
    <m/>
    <m/>
    <m/>
    <n v="0"/>
    <m/>
    <m/>
  </r>
  <r>
    <n v="2045"/>
    <x v="24"/>
    <s v="Night"/>
    <x v="0"/>
    <n v="2000714521"/>
    <n v="550"/>
    <n v="80"/>
    <n v="0"/>
    <s v="U30425"/>
    <s v="L1144/47"/>
    <x v="88"/>
    <m/>
    <m/>
    <m/>
    <n v="0"/>
    <m/>
    <m/>
  </r>
  <r>
    <n v="2046"/>
    <x v="24"/>
    <s v="Night"/>
    <x v="0"/>
    <n v="2000714480"/>
    <n v="900"/>
    <n v="80"/>
    <n v="0"/>
    <s v="U30425"/>
    <s v="L1168/69"/>
    <x v="48"/>
    <m/>
    <m/>
    <m/>
    <n v="0"/>
    <m/>
    <m/>
  </r>
  <r>
    <n v="2047"/>
    <x v="24"/>
    <s v="Night"/>
    <x v="0"/>
    <n v="2000713129"/>
    <n v="500"/>
    <n v="45"/>
    <n v="0"/>
    <s v="U36008"/>
    <s v="L1170/71"/>
    <x v="45"/>
    <m/>
    <m/>
    <m/>
    <n v="0"/>
    <m/>
    <m/>
  </r>
  <r>
    <n v="2048"/>
    <x v="24"/>
    <s v="Night"/>
    <x v="0"/>
    <n v="2000714120"/>
    <n v="1030"/>
    <n v="360"/>
    <n v="0"/>
    <s v="U36008"/>
    <s v="L1170/71"/>
    <x v="117"/>
    <m/>
    <m/>
    <m/>
    <n v="0"/>
    <m/>
    <m/>
  </r>
  <r>
    <n v="2049"/>
    <x v="24"/>
    <s v="Night"/>
    <x v="0"/>
    <n v="2000714533"/>
    <n v="136"/>
    <n v="45"/>
    <n v="0"/>
    <s v="U36008"/>
    <s v="L1209/10"/>
    <x v="69"/>
    <m/>
    <m/>
    <m/>
    <n v="0"/>
    <m/>
    <m/>
  </r>
  <r>
    <n v="2050"/>
    <x v="24"/>
    <s v="Night"/>
    <x v="0"/>
    <n v="2000714220"/>
    <n v="576"/>
    <n v="180"/>
    <n v="0"/>
    <s v="U36008"/>
    <s v="L1170/71"/>
    <x v="45"/>
    <m/>
    <m/>
    <m/>
    <n v="0"/>
    <m/>
    <m/>
  </r>
  <r>
    <n v="2051"/>
    <x v="24"/>
    <s v="Night"/>
    <x v="0"/>
    <n v="2000714220"/>
    <n v="576"/>
    <n v="225"/>
    <n v="0"/>
    <s v="U09749"/>
    <s v="L1170/71"/>
    <x v="46"/>
    <m/>
    <m/>
    <m/>
    <n v="0"/>
    <m/>
    <m/>
  </r>
  <r>
    <n v="2052"/>
    <x v="24"/>
    <s v="Night"/>
    <x v="0"/>
    <n v="2000714542"/>
    <n v="400"/>
    <n v="319"/>
    <n v="0"/>
    <s v="U27724"/>
    <s v="L1188/89"/>
    <x v="0"/>
    <m/>
    <m/>
    <m/>
    <n v="0"/>
    <m/>
    <m/>
  </r>
  <r>
    <n v="2053"/>
    <x v="24"/>
    <s v="Night"/>
    <x v="0"/>
    <n v="2000714120"/>
    <n v="1030"/>
    <n v="180"/>
    <n v="0"/>
    <s v="U27724"/>
    <s v="L1170/71"/>
    <x v="117"/>
    <m/>
    <m/>
    <m/>
    <n v="0"/>
    <m/>
    <m/>
  </r>
  <r>
    <n v="2054"/>
    <x v="24"/>
    <s v="Night"/>
    <x v="0"/>
    <n v="2000714543"/>
    <n v="240"/>
    <n v="120"/>
    <n v="0"/>
    <s v="U27724"/>
    <s v="L1168/69"/>
    <x v="122"/>
    <m/>
    <m/>
    <m/>
    <n v="0"/>
    <m/>
    <m/>
  </r>
  <r>
    <n v="2055"/>
    <x v="24"/>
    <s v="Night"/>
    <x v="0"/>
    <n v="2000713129"/>
    <n v="500"/>
    <n v="45"/>
    <n v="0"/>
    <s v="U23987"/>
    <s v="L1170/71"/>
    <x v="45"/>
    <m/>
    <m/>
    <m/>
    <n v="0"/>
    <m/>
    <m/>
  </r>
  <r>
    <n v="2056"/>
    <x v="24"/>
    <s v="Night"/>
    <x v="0"/>
    <n v="2000714120"/>
    <n v="1030"/>
    <n v="489"/>
    <n v="0"/>
    <s v="U23987"/>
    <s v="L1170/71"/>
    <x v="117"/>
    <m/>
    <m/>
    <m/>
    <n v="0"/>
    <m/>
    <m/>
  </r>
  <r>
    <n v="2057"/>
    <x v="24"/>
    <s v="Night"/>
    <x v="0"/>
    <n v="2000714533"/>
    <n v="136"/>
    <n v="86"/>
    <n v="0"/>
    <s v="U23987"/>
    <s v="L1209/10"/>
    <x v="69"/>
    <m/>
    <m/>
    <m/>
    <n v="0"/>
    <m/>
    <m/>
  </r>
  <r>
    <n v="2058"/>
    <x v="24"/>
    <s v="Night"/>
    <x v="0"/>
    <n v="2000712674"/>
    <n v="674"/>
    <n v="6"/>
    <n v="0"/>
    <s v="U23987"/>
    <s v="L1209/10"/>
    <x v="69"/>
    <m/>
    <m/>
    <m/>
    <n v="0"/>
    <m/>
    <m/>
  </r>
  <r>
    <n v="2059"/>
    <x v="24"/>
    <s v="Night"/>
    <x v="0"/>
    <n v="2000714568"/>
    <n v="3600"/>
    <n v="240"/>
    <n v="0"/>
    <s v="U09854"/>
    <s v="L1172/73"/>
    <x v="7"/>
    <m/>
    <m/>
    <m/>
    <n v="0"/>
    <m/>
    <m/>
  </r>
  <r>
    <n v="2060"/>
    <x v="24"/>
    <s v="Night"/>
    <x v="0"/>
    <n v="2000714220"/>
    <n v="576"/>
    <n v="45"/>
    <n v="0"/>
    <s v="U09854"/>
    <s v="L1170/71"/>
    <x v="46"/>
    <m/>
    <m/>
    <m/>
    <n v="0"/>
    <m/>
    <m/>
  </r>
  <r>
    <n v="2061"/>
    <x v="24"/>
    <s v="Night"/>
    <x v="0"/>
    <n v="2000714131"/>
    <n v="920"/>
    <n v="520"/>
    <n v="0"/>
    <s v="U09854"/>
    <s v="L1151/52"/>
    <x v="185"/>
    <m/>
    <m/>
    <m/>
    <n v="0"/>
    <m/>
    <m/>
  </r>
  <r>
    <n v="2062"/>
    <x v="24"/>
    <s v="Night"/>
    <x v="0"/>
    <n v="2000711854"/>
    <n v="1808"/>
    <n v="208"/>
    <n v="0"/>
    <s v="U09854"/>
    <s v="L1193/94"/>
    <x v="119"/>
    <m/>
    <m/>
    <m/>
    <n v="0"/>
    <m/>
    <m/>
  </r>
  <r>
    <n v="2063"/>
    <x v="24"/>
    <s v="Night"/>
    <x v="0"/>
    <n v="2000714127"/>
    <n v="3008"/>
    <n v="400"/>
    <n v="0"/>
    <s v="U09854"/>
    <s v="L1193/94"/>
    <x v="119"/>
    <m/>
    <m/>
    <m/>
    <n v="0"/>
    <m/>
    <m/>
  </r>
  <r>
    <n v="2064"/>
    <x v="24"/>
    <s v="Night"/>
    <x v="0"/>
    <n v="2000714193"/>
    <n v="1270"/>
    <n v="200"/>
    <n v="0"/>
    <s v="U09854"/>
    <s v="L1174/75"/>
    <x v="62"/>
    <m/>
    <m/>
    <m/>
    <n v="0"/>
    <m/>
    <m/>
  </r>
  <r>
    <n v="2065"/>
    <x v="24"/>
    <s v="Night"/>
    <x v="0"/>
    <n v="2000711826"/>
    <n v="1440"/>
    <n v="240"/>
    <n v="0"/>
    <s v="U09854"/>
    <s v="L1193/94"/>
    <x v="30"/>
    <m/>
    <m/>
    <m/>
    <n v="0"/>
    <m/>
    <m/>
  </r>
  <r>
    <n v="2066"/>
    <x v="24"/>
    <s v="Night"/>
    <x v="0"/>
    <n v="2000714198"/>
    <n v="890"/>
    <n v="100"/>
    <n v="0"/>
    <s v="U09854"/>
    <s v="L1186"/>
    <x v="34"/>
    <m/>
    <m/>
    <m/>
    <n v="0"/>
    <m/>
    <m/>
  </r>
  <r>
    <n v="2067"/>
    <x v="24"/>
    <s v="Night"/>
    <x v="0"/>
    <n v="2000714200"/>
    <n v="890"/>
    <n v="150"/>
    <n v="0"/>
    <s v="U09854"/>
    <s v="L1186"/>
    <x v="35"/>
    <m/>
    <m/>
    <m/>
    <n v="0"/>
    <m/>
    <m/>
  </r>
  <r>
    <n v="2068"/>
    <x v="24"/>
    <s v="Night"/>
    <x v="1"/>
    <n v="2000713483"/>
    <n v="270"/>
    <n v="42"/>
    <n v="0"/>
    <s v="U30119"/>
    <s v="PSLV"/>
    <x v="128"/>
    <m/>
    <m/>
    <m/>
    <n v="0"/>
    <m/>
    <m/>
  </r>
  <r>
    <n v="2069"/>
    <x v="24"/>
    <s v="Night"/>
    <x v="1"/>
    <n v="2000713475"/>
    <n v="500"/>
    <n v="150"/>
    <n v="0"/>
    <s v="U30119"/>
    <s v="PSHV"/>
    <x v="96"/>
    <m/>
    <m/>
    <m/>
    <n v="0"/>
    <m/>
    <m/>
  </r>
  <r>
    <n v="2070"/>
    <x v="24"/>
    <s v="Night"/>
    <x v="1"/>
    <n v="2000714400"/>
    <n v="200"/>
    <n v="178"/>
    <n v="0"/>
    <s v="U30119"/>
    <s v="PSHV"/>
    <x v="121"/>
    <m/>
    <m/>
    <m/>
    <n v="0"/>
    <m/>
    <m/>
  </r>
  <r>
    <n v="2071"/>
    <x v="24"/>
    <s v="Night"/>
    <x v="1"/>
    <n v="2000714437"/>
    <n v="288"/>
    <n v="96"/>
    <n v="0"/>
    <s v="U30119"/>
    <s v="SHANKS"/>
    <x v="52"/>
    <m/>
    <m/>
    <m/>
    <n v="0"/>
    <m/>
    <m/>
  </r>
  <r>
    <n v="2072"/>
    <x v="24"/>
    <s v="Night"/>
    <x v="1"/>
    <n v="2000714290"/>
    <n v="70"/>
    <n v="40"/>
    <n v="0"/>
    <s v="U30119"/>
    <s v="PSLV"/>
    <x v="112"/>
    <m/>
    <m/>
    <m/>
    <n v="0"/>
    <m/>
    <m/>
  </r>
  <r>
    <n v="2073"/>
    <x v="24"/>
    <s v="Night"/>
    <x v="1"/>
    <n v="2000713671"/>
    <n v="350"/>
    <n v="140"/>
    <n v="0"/>
    <s v="U30119"/>
    <s v="SHANKS"/>
    <x v="187"/>
    <m/>
    <m/>
    <m/>
    <n v="0"/>
    <m/>
    <m/>
  </r>
  <r>
    <n v="2074"/>
    <x v="24"/>
    <s v="Night"/>
    <x v="1"/>
    <n v="2000709358"/>
    <n v="360"/>
    <n v="3"/>
    <n v="0"/>
    <s v="U30119"/>
    <s v="BORUTO"/>
    <x v="111"/>
    <m/>
    <m/>
    <m/>
    <n v="0"/>
    <m/>
    <m/>
  </r>
  <r>
    <n v="2075"/>
    <x v="24"/>
    <s v="Night"/>
    <x v="1"/>
    <n v="2000714427"/>
    <n v="800"/>
    <n v="150"/>
    <n v="0"/>
    <s v="U30119"/>
    <s v="SHANKS"/>
    <x v="67"/>
    <m/>
    <m/>
    <m/>
    <n v="0"/>
    <m/>
    <m/>
  </r>
  <r>
    <n v="2076"/>
    <x v="24"/>
    <s v="Night"/>
    <x v="1"/>
    <n v="2000713469"/>
    <n v="750"/>
    <n v="100"/>
    <n v="0"/>
    <s v="U30119"/>
    <s v="LPSHV"/>
    <x v="25"/>
    <m/>
    <m/>
    <m/>
    <n v="0"/>
    <m/>
    <m/>
  </r>
  <r>
    <n v="2077"/>
    <x v="25"/>
    <s v="Day"/>
    <x v="0"/>
    <n v="2000713482"/>
    <n v="488"/>
    <n v="90"/>
    <n v="0"/>
    <s v="U32991"/>
    <s v="L1193/94"/>
    <x v="192"/>
    <m/>
    <m/>
    <m/>
    <n v="0"/>
    <m/>
    <m/>
  </r>
  <r>
    <n v="2078"/>
    <x v="25"/>
    <s v="Day"/>
    <x v="0"/>
    <n v="2000713178"/>
    <n v="500"/>
    <n v="30"/>
    <n v="0"/>
    <s v="U32991"/>
    <s v="L1193/94"/>
    <x v="192"/>
    <m/>
    <m/>
    <m/>
    <n v="0"/>
    <m/>
    <m/>
  </r>
  <r>
    <n v="2079"/>
    <x v="25"/>
    <s v="Day"/>
    <x v="1"/>
    <n v="2000714287"/>
    <n v="700"/>
    <n v="175"/>
    <n v="0"/>
    <s v="U32991"/>
    <s v="FRANKY"/>
    <x v="81"/>
    <m/>
    <m/>
    <m/>
    <n v="0"/>
    <m/>
    <m/>
  </r>
  <r>
    <n v="2080"/>
    <x v="25"/>
    <s v="Day"/>
    <x v="1"/>
    <n v="2000713671"/>
    <n v="350"/>
    <n v="70"/>
    <n v="0"/>
    <s v="U32991"/>
    <s v="SHANKS"/>
    <x v="187"/>
    <m/>
    <m/>
    <m/>
    <n v="0"/>
    <m/>
    <m/>
  </r>
  <r>
    <n v="2081"/>
    <x v="25"/>
    <s v="Day"/>
    <x v="1"/>
    <n v="2000713469"/>
    <n v="750"/>
    <n v="210"/>
    <n v="0"/>
    <s v="U32991"/>
    <s v="PSHV"/>
    <x v="25"/>
    <m/>
    <m/>
    <m/>
    <n v="0"/>
    <m/>
    <m/>
  </r>
  <r>
    <n v="2082"/>
    <x v="25"/>
    <s v="Day"/>
    <x v="1"/>
    <n v="2000713475"/>
    <n v="500"/>
    <n v="50"/>
    <n v="0"/>
    <s v="U32991"/>
    <s v="PSHV"/>
    <x v="96"/>
    <m/>
    <m/>
    <m/>
    <n v="0"/>
    <m/>
    <m/>
  </r>
  <r>
    <n v="2083"/>
    <x v="25"/>
    <s v="Day"/>
    <x v="1"/>
    <n v="2000713068"/>
    <n v="3800"/>
    <n v="120"/>
    <n v="0"/>
    <s v="U32991"/>
    <s v="SHANKS"/>
    <x v="67"/>
    <m/>
    <m/>
    <m/>
    <n v="0"/>
    <m/>
    <m/>
  </r>
  <r>
    <n v="2084"/>
    <x v="26"/>
    <s v="Day"/>
    <x v="0"/>
    <n v="2000713482"/>
    <n v="488"/>
    <n v="150"/>
    <n v="0"/>
    <s v="U31065"/>
    <s v="L1193/94"/>
    <x v="192"/>
    <m/>
    <m/>
    <m/>
    <n v="0"/>
    <m/>
    <m/>
  </r>
  <r>
    <n v="2085"/>
    <x v="26"/>
    <s v="Day"/>
    <x v="0"/>
    <n v="2000713858"/>
    <n v="656"/>
    <n v="497"/>
    <n v="0"/>
    <s v="U31065"/>
    <s v="L1193/94"/>
    <x v="123"/>
    <m/>
    <m/>
    <m/>
    <n v="0"/>
    <m/>
    <m/>
  </r>
  <r>
    <n v="2086"/>
    <x v="26"/>
    <s v="Day"/>
    <x v="0"/>
    <n v="2000712814"/>
    <n v="4200"/>
    <n v="240"/>
    <n v="0"/>
    <s v="U09854"/>
    <s v="T515"/>
    <x v="15"/>
    <m/>
    <m/>
    <m/>
    <n v="0"/>
    <m/>
    <m/>
  </r>
  <r>
    <n v="2087"/>
    <x v="26"/>
    <s v="Day"/>
    <x v="0"/>
    <n v="2000714127"/>
    <n v="3008"/>
    <n v="50"/>
    <n v="0"/>
    <s v="U09854"/>
    <s v="L1193/94"/>
    <x v="119"/>
    <m/>
    <m/>
    <m/>
    <n v="0"/>
    <m/>
    <m/>
  </r>
  <r>
    <n v="2088"/>
    <x v="26"/>
    <s v="Day"/>
    <x v="0"/>
    <n v="2000714921"/>
    <n v="48"/>
    <n v="48"/>
    <n v="0"/>
    <s v="U09854"/>
    <s v="L1188/89"/>
    <x v="98"/>
    <m/>
    <m/>
    <m/>
    <n v="0"/>
    <m/>
    <m/>
  </r>
  <r>
    <n v="2089"/>
    <x v="26"/>
    <s v="Day"/>
    <x v="0"/>
    <n v="2000714534"/>
    <n v="856"/>
    <n v="180"/>
    <n v="0"/>
    <s v="U09854"/>
    <s v="L1209/10"/>
    <x v="196"/>
    <m/>
    <m/>
    <m/>
    <n v="0"/>
    <m/>
    <m/>
  </r>
  <r>
    <n v="2090"/>
    <x v="26"/>
    <s v="Day"/>
    <x v="0"/>
    <n v="2000714534"/>
    <n v="856"/>
    <n v="90"/>
    <n v="0"/>
    <s v="U09749"/>
    <s v="L1209/10"/>
    <x v="196"/>
    <m/>
    <m/>
    <m/>
    <n v="0"/>
    <m/>
    <m/>
  </r>
  <r>
    <n v="2091"/>
    <x v="26"/>
    <s v="Day"/>
    <x v="0"/>
    <n v="2000714921"/>
    <n v="48"/>
    <n v="48"/>
    <n v="0"/>
    <s v="U09749"/>
    <s v="L1188/89"/>
    <x v="98"/>
    <m/>
    <m/>
    <m/>
    <n v="0"/>
    <m/>
    <m/>
  </r>
  <r>
    <n v="2092"/>
    <x v="26"/>
    <s v="Day"/>
    <x v="0"/>
    <n v="2000714220"/>
    <n v="576"/>
    <n v="90"/>
    <n v="0"/>
    <s v="U23987"/>
    <s v="L1170/71"/>
    <x v="46"/>
    <m/>
    <m/>
    <m/>
    <n v="0"/>
    <m/>
    <m/>
  </r>
  <r>
    <n v="2093"/>
    <x v="26"/>
    <s v="Day"/>
    <x v="0"/>
    <n v="2000714159"/>
    <n v="1500"/>
    <n v="60"/>
    <n v="0"/>
    <s v="U23987"/>
    <s v="L1168/69"/>
    <x v="37"/>
    <m/>
    <m/>
    <m/>
    <n v="0"/>
    <m/>
    <m/>
  </r>
  <r>
    <n v="2094"/>
    <x v="26"/>
    <s v="Day"/>
    <x v="0"/>
    <n v="2000713991"/>
    <n v="580"/>
    <n v="80"/>
    <n v="0"/>
    <s v="U23987"/>
    <s v="L1174/75"/>
    <x v="40"/>
    <m/>
    <m/>
    <m/>
    <n v="0"/>
    <m/>
    <m/>
  </r>
  <r>
    <n v="2095"/>
    <x v="26"/>
    <s v="Day"/>
    <x v="0"/>
    <n v="2000714119"/>
    <n v="814"/>
    <n v="307"/>
    <n v="1"/>
    <s v="U23987"/>
    <s v="L1188/89"/>
    <x v="84"/>
    <s v="Bong, vỡ linh kiện"/>
    <m/>
    <s v="NF2762"/>
    <n v="1"/>
    <s v="\\vn-file\QC Department\4.OQC\00. OQC Performance\03. Images\01. NG\20210201-NG-1655714119.jpg"/>
    <s v="\\vn-file\QC Department\4.OQC\00. OQC Performance\03. Images\02. OK\20210201-OK-1655714119.jpg"/>
  </r>
  <r>
    <n v="2096"/>
    <x v="26"/>
    <s v="Day"/>
    <x v="0"/>
    <n v="2000714543"/>
    <n v="240"/>
    <n v="78"/>
    <n v="0"/>
    <s v="U36008"/>
    <s v="L1188/89"/>
    <x v="122"/>
    <m/>
    <m/>
    <m/>
    <n v="0"/>
    <m/>
    <m/>
  </r>
  <r>
    <n v="2097"/>
    <x v="26"/>
    <s v="Day"/>
    <x v="0"/>
    <n v="2000714544"/>
    <n v="40"/>
    <n v="40"/>
    <n v="0"/>
    <s v="U36008"/>
    <s v="L1188/89"/>
    <x v="47"/>
    <m/>
    <m/>
    <m/>
    <n v="0"/>
    <m/>
    <m/>
  </r>
  <r>
    <n v="2098"/>
    <x v="26"/>
    <s v="Day"/>
    <x v="0"/>
    <n v="2000714220"/>
    <n v="576"/>
    <n v="33"/>
    <n v="0"/>
    <s v="U36008"/>
    <s v="L1170/71"/>
    <x v="46"/>
    <m/>
    <m/>
    <m/>
    <n v="0"/>
    <m/>
    <m/>
  </r>
  <r>
    <n v="2099"/>
    <x v="26"/>
    <s v="Day"/>
    <x v="0"/>
    <n v="2000714119"/>
    <n v="814"/>
    <n v="90"/>
    <n v="0"/>
    <s v="U36008"/>
    <s v="L1188/89"/>
    <x v="84"/>
    <m/>
    <m/>
    <m/>
    <n v="0"/>
    <m/>
    <m/>
  </r>
  <r>
    <n v="2100"/>
    <x v="26"/>
    <s v="Day"/>
    <x v="0"/>
    <n v="2000714728"/>
    <n v="360"/>
    <n v="160"/>
    <n v="0"/>
    <s v="U36008"/>
    <s v="L1188/89"/>
    <x v="95"/>
    <m/>
    <m/>
    <m/>
    <n v="0"/>
    <m/>
    <m/>
  </r>
  <r>
    <n v="2101"/>
    <x v="26"/>
    <s v="Day"/>
    <x v="0"/>
    <n v="2000714543"/>
    <n v="240"/>
    <n v="40"/>
    <n v="0"/>
    <s v="U27724"/>
    <s v="L1188/89"/>
    <x v="122"/>
    <m/>
    <m/>
    <m/>
    <n v="0"/>
    <m/>
    <m/>
  </r>
  <r>
    <n v="2102"/>
    <x v="26"/>
    <s v="Day"/>
    <x v="0"/>
    <n v="2000714728"/>
    <n v="360"/>
    <n v="80"/>
    <n v="0"/>
    <s v="U27724"/>
    <s v="L1188/89"/>
    <x v="95"/>
    <m/>
    <m/>
    <m/>
    <n v="0"/>
    <m/>
    <m/>
  </r>
  <r>
    <n v="2103"/>
    <x v="26"/>
    <s v="Day"/>
    <x v="0"/>
    <n v="2000711826"/>
    <n v="1440"/>
    <n v="240"/>
    <n v="0"/>
    <s v="U27724"/>
    <s v="L1193/94"/>
    <x v="30"/>
    <m/>
    <m/>
    <m/>
    <n v="0"/>
    <m/>
    <m/>
  </r>
  <r>
    <n v="2104"/>
    <x v="26"/>
    <s v="Day"/>
    <x v="0"/>
    <n v="2000713864"/>
    <n v="2640"/>
    <n v="240"/>
    <n v="0"/>
    <s v="U27724"/>
    <s v="L1193/94"/>
    <x v="30"/>
    <m/>
    <m/>
    <m/>
    <n v="0"/>
    <m/>
    <m/>
  </r>
  <r>
    <n v="2105"/>
    <x v="26"/>
    <s v="Day"/>
    <x v="0"/>
    <n v="2000714569"/>
    <n v="7890"/>
    <n v="300"/>
    <n v="0"/>
    <s v="U27724"/>
    <s v="L1112/13"/>
    <x v="75"/>
    <m/>
    <m/>
    <m/>
    <n v="0"/>
    <m/>
    <m/>
  </r>
  <r>
    <n v="2106"/>
    <x v="26"/>
    <s v="Day"/>
    <x v="0"/>
    <n v="2000714127"/>
    <n v="3008"/>
    <n v="350"/>
    <n v="0"/>
    <s v="U27724"/>
    <s v="L1193/94"/>
    <x v="119"/>
    <m/>
    <m/>
    <m/>
    <n v="0"/>
    <m/>
    <m/>
  </r>
  <r>
    <n v="2107"/>
    <x v="26"/>
    <s v="Day"/>
    <x v="0"/>
    <n v="2000714470"/>
    <n v="2060"/>
    <n v="150"/>
    <n v="0"/>
    <s v="U27724"/>
    <s v="L1077"/>
    <x v="33"/>
    <m/>
    <m/>
    <m/>
    <n v="0"/>
    <m/>
    <m/>
  </r>
  <r>
    <n v="2108"/>
    <x v="26"/>
    <s v="Day"/>
    <x v="0"/>
    <n v="2000713859"/>
    <n v="1800"/>
    <n v="150"/>
    <n v="0"/>
    <s v="U27724"/>
    <s v="L1186"/>
    <x v="76"/>
    <m/>
    <m/>
    <m/>
    <n v="0"/>
    <m/>
    <m/>
  </r>
  <r>
    <n v="2109"/>
    <x v="26"/>
    <s v="Day"/>
    <x v="0"/>
    <n v="2000715080"/>
    <n v="1800"/>
    <n v="200"/>
    <n v="0"/>
    <s v="U27724"/>
    <s v="L1144/47"/>
    <x v="77"/>
    <m/>
    <m/>
    <m/>
    <n v="0"/>
    <m/>
    <m/>
  </r>
  <r>
    <n v="2110"/>
    <x v="26"/>
    <s v="Day"/>
    <x v="0"/>
    <n v="2000714159"/>
    <n v="1500"/>
    <n v="60"/>
    <n v="0"/>
    <s v="U30425"/>
    <s v="L1168/69"/>
    <x v="37"/>
    <m/>
    <m/>
    <m/>
    <n v="0"/>
    <m/>
    <m/>
  </r>
  <r>
    <n v="2111"/>
    <x v="26"/>
    <s v="Day"/>
    <x v="0"/>
    <n v="2000714809"/>
    <n v="100"/>
    <n v="20"/>
    <n v="0"/>
    <s v="U30425"/>
    <s v="L1144/47"/>
    <x v="88"/>
    <m/>
    <m/>
    <m/>
    <n v="0"/>
    <m/>
    <m/>
  </r>
  <r>
    <n v="2112"/>
    <x v="26"/>
    <s v="Day"/>
    <x v="0"/>
    <n v="2000713697"/>
    <n v="2000"/>
    <n v="60"/>
    <n v="0"/>
    <s v="U30425"/>
    <s v="L1172/73"/>
    <x v="18"/>
    <m/>
    <m/>
    <m/>
    <n v="0"/>
    <m/>
    <m/>
  </r>
  <r>
    <n v="2113"/>
    <x v="26"/>
    <s v="Day"/>
    <x v="0"/>
    <n v="2000714215"/>
    <n v="440"/>
    <n v="80"/>
    <n v="0"/>
    <s v="U30425"/>
    <s v="L1144/47"/>
    <x v="1"/>
    <m/>
    <m/>
    <m/>
    <n v="0"/>
    <m/>
    <m/>
  </r>
  <r>
    <n v="2114"/>
    <x v="26"/>
    <s v="Day"/>
    <x v="0"/>
    <n v="2000714595"/>
    <n v="5424"/>
    <n v="160"/>
    <n v="0"/>
    <s v="U30425"/>
    <s v="L1112/13"/>
    <x v="8"/>
    <m/>
    <m/>
    <m/>
    <n v="0"/>
    <m/>
    <m/>
  </r>
  <r>
    <n v="2115"/>
    <x v="26"/>
    <s v="Day"/>
    <x v="0"/>
    <n v="2000714596"/>
    <n v="2768"/>
    <n v="120"/>
    <n v="0"/>
    <s v="U30425"/>
    <s v="L1128/29"/>
    <x v="11"/>
    <m/>
    <m/>
    <m/>
    <n v="0"/>
    <m/>
    <m/>
  </r>
  <r>
    <n v="2116"/>
    <x v="26"/>
    <s v="Day"/>
    <x v="0"/>
    <n v="2000714217"/>
    <n v="550"/>
    <n v="80"/>
    <n v="0"/>
    <s v="U30425"/>
    <s v="L1144/47"/>
    <x v="1"/>
    <m/>
    <m/>
    <m/>
    <n v="0"/>
    <m/>
    <m/>
  </r>
  <r>
    <n v="2117"/>
    <x v="26"/>
    <s v="Day"/>
    <x v="0"/>
    <n v="2000714218"/>
    <n v="730"/>
    <n v="40"/>
    <n v="0"/>
    <s v="U30425"/>
    <s v="L1144/47"/>
    <x v="101"/>
    <m/>
    <m/>
    <m/>
    <n v="0"/>
    <m/>
    <m/>
  </r>
  <r>
    <n v="2118"/>
    <x v="26"/>
    <s v="Day"/>
    <x v="1"/>
    <n v="2000714287"/>
    <n v="700"/>
    <n v="105"/>
    <n v="0"/>
    <s v="U30119"/>
    <s v="FRANKY"/>
    <x v="81"/>
    <m/>
    <m/>
    <m/>
    <n v="0"/>
    <m/>
    <m/>
  </r>
  <r>
    <n v="2119"/>
    <x v="26"/>
    <s v="Day"/>
    <x v="1"/>
    <n v="2000714285"/>
    <n v="545"/>
    <n v="160"/>
    <n v="0"/>
    <s v="U30119"/>
    <s v="PSHV"/>
    <x v="26"/>
    <m/>
    <m/>
    <m/>
    <n v="0"/>
    <m/>
    <m/>
  </r>
  <r>
    <n v="2120"/>
    <x v="26"/>
    <s v="Day"/>
    <x v="1"/>
    <n v="2000714289"/>
    <n v="780"/>
    <n v="200"/>
    <n v="0"/>
    <s v="U30119"/>
    <s v="PSHV"/>
    <x v="80"/>
    <m/>
    <m/>
    <m/>
    <n v="0"/>
    <m/>
    <m/>
  </r>
  <r>
    <n v="2121"/>
    <x v="26"/>
    <s v="Day"/>
    <x v="1"/>
    <n v="2000714666"/>
    <n v="400"/>
    <n v="175"/>
    <n v="0"/>
    <s v="U30119"/>
    <s v="SHANKS"/>
    <x v="24"/>
    <m/>
    <m/>
    <m/>
    <n v="0"/>
    <m/>
    <m/>
  </r>
  <r>
    <n v="2122"/>
    <x v="26"/>
    <s v="Day"/>
    <x v="1"/>
    <n v="2000713639"/>
    <n v="620"/>
    <n v="50"/>
    <n v="0"/>
    <s v="U30119"/>
    <s v="FLORA"/>
    <x v="28"/>
    <m/>
    <m/>
    <m/>
    <n v="0"/>
    <m/>
    <m/>
  </r>
  <r>
    <n v="2123"/>
    <x v="26"/>
    <s v="Day"/>
    <x v="1"/>
    <n v="2000713640"/>
    <n v="620"/>
    <n v="60"/>
    <n v="0"/>
    <s v="U30119"/>
    <s v="FLORA"/>
    <x v="28"/>
    <m/>
    <m/>
    <m/>
    <n v="0"/>
    <m/>
    <m/>
  </r>
  <r>
    <n v="2124"/>
    <x v="26"/>
    <s v="Day"/>
    <x v="0"/>
    <n v="2000713178"/>
    <n v="500"/>
    <n v="1"/>
    <n v="1"/>
    <s v="U32991"/>
    <s v="L1193/94"/>
    <x v="192"/>
    <s v="Thừa số lượng "/>
    <m/>
    <s v="THÙNG HÀNG"/>
    <n v="1"/>
    <s v="\\vn-file\QC Department\4.OQC\00. OQC Performance\03. Images\01. NG\20210201-NG-0835713178.jpg"/>
    <m/>
  </r>
  <r>
    <n v="2125"/>
    <x v="26"/>
    <s v="Night"/>
    <x v="0"/>
    <n v="2000713858"/>
    <n v="656"/>
    <n v="90"/>
    <n v="0"/>
    <s v="U18660"/>
    <s v="L1193/94"/>
    <x v="123"/>
    <m/>
    <m/>
    <m/>
    <n v="0"/>
    <m/>
    <m/>
  </r>
  <r>
    <n v="2126"/>
    <x v="26"/>
    <s v="Night"/>
    <x v="0"/>
    <n v="2000713482"/>
    <n v="488"/>
    <n v="125"/>
    <n v="1"/>
    <s v="U18660"/>
    <s v="L1193/94"/>
    <x v="192"/>
    <s v="Dính thiếc "/>
    <m/>
    <s v="IC401"/>
    <n v="1"/>
    <s v="\\vn-file\QC Department\4.OQC\00. OQC Performance\03. Images\01. NG\20210201-NG-0200713482.jpg"/>
    <m/>
  </r>
  <r>
    <n v="2127"/>
    <x v="26"/>
    <s v="Night"/>
    <x v="0"/>
    <n v="2000714679"/>
    <n v="90"/>
    <n v="90"/>
    <n v="0"/>
    <s v="U18660"/>
    <s v="L1193/94"/>
    <x v="192"/>
    <m/>
    <m/>
    <m/>
    <n v="0"/>
    <m/>
    <m/>
  </r>
  <r>
    <n v="2128"/>
    <x v="26"/>
    <s v="Night"/>
    <x v="0"/>
    <n v="2000714678"/>
    <n v="950"/>
    <n v="150"/>
    <n v="0"/>
    <s v="U18660"/>
    <s v="L1193/94"/>
    <x v="116"/>
    <m/>
    <m/>
    <m/>
    <n v="0"/>
    <m/>
    <m/>
  </r>
  <r>
    <n v="2129"/>
    <x v="26"/>
    <s v="Night"/>
    <x v="0"/>
    <n v="2000714545"/>
    <n v="200"/>
    <n v="40"/>
    <n v="0"/>
    <s v="U18660"/>
    <s v="L1188/89"/>
    <x v="130"/>
    <m/>
    <m/>
    <m/>
    <n v="0"/>
    <m/>
    <m/>
  </r>
  <r>
    <n v="2130"/>
    <x v="26"/>
    <s v="Night"/>
    <x v="0"/>
    <n v="2000719635"/>
    <n v="646"/>
    <n v="2"/>
    <n v="0"/>
    <s v="U05944"/>
    <s v="L1188/89"/>
    <x v="95"/>
    <m/>
    <m/>
    <m/>
    <n v="0"/>
    <m/>
    <m/>
  </r>
  <r>
    <n v="2131"/>
    <x v="26"/>
    <s v="Night"/>
    <x v="0"/>
    <n v="2000714546"/>
    <n v="160"/>
    <n v="160"/>
    <n v="0"/>
    <s v="U05944"/>
    <s v="L1188/89"/>
    <x v="73"/>
    <m/>
    <m/>
    <m/>
    <n v="0"/>
    <m/>
    <m/>
  </r>
  <r>
    <n v="2132"/>
    <x v="26"/>
    <s v="Night"/>
    <x v="0"/>
    <n v="2000714729"/>
    <n v="400"/>
    <n v="60"/>
    <n v="0"/>
    <s v="U05944"/>
    <s v="L1188/89"/>
    <x v="72"/>
    <m/>
    <m/>
    <m/>
    <n v="0"/>
    <m/>
    <m/>
  </r>
  <r>
    <n v="2133"/>
    <x v="26"/>
    <s v="Night"/>
    <x v="0"/>
    <n v="2000714571"/>
    <n v="3000"/>
    <n v="200"/>
    <n v="0"/>
    <s v="U03968"/>
    <s v="L1174/75"/>
    <x v="66"/>
    <m/>
    <m/>
    <m/>
    <n v="0"/>
    <m/>
    <m/>
  </r>
  <r>
    <n v="2134"/>
    <x v="26"/>
    <s v="Night"/>
    <x v="0"/>
    <n v="2000714567"/>
    <n v="3200"/>
    <n v="200"/>
    <n v="0"/>
    <s v="U03968"/>
    <s v="L1174/75"/>
    <x v="139"/>
    <m/>
    <m/>
    <m/>
    <n v="0"/>
    <m/>
    <m/>
  </r>
  <r>
    <n v="2135"/>
    <x v="26"/>
    <s v="Night"/>
    <x v="0"/>
    <n v="2000714192"/>
    <n v="1090"/>
    <n v="200"/>
    <n v="0"/>
    <s v="U03968"/>
    <s v="L1174/75"/>
    <x v="62"/>
    <m/>
    <m/>
    <m/>
    <n v="0"/>
    <m/>
    <m/>
  </r>
  <r>
    <n v="2136"/>
    <x v="26"/>
    <s v="Night"/>
    <x v="0"/>
    <n v="2000713861"/>
    <n v="4032"/>
    <n v="200"/>
    <n v="0"/>
    <s v="U03968"/>
    <s v="L1144/47"/>
    <x v="14"/>
    <m/>
    <m/>
    <m/>
    <n v="0"/>
    <m/>
    <m/>
  </r>
  <r>
    <n v="2137"/>
    <x v="26"/>
    <s v="Night"/>
    <x v="0"/>
    <n v="2000714597"/>
    <n v="5344"/>
    <n v="200"/>
    <n v="0"/>
    <s v="U03968"/>
    <s v="L1112/13"/>
    <x v="8"/>
    <m/>
    <m/>
    <m/>
    <n v="0"/>
    <m/>
    <m/>
  </r>
  <r>
    <n v="2138"/>
    <x v="26"/>
    <s v="Night"/>
    <x v="0"/>
    <n v="2000713862"/>
    <n v="2640"/>
    <n v="240"/>
    <n v="0"/>
    <s v="U03968"/>
    <s v="L1193/94"/>
    <x v="30"/>
    <m/>
    <m/>
    <m/>
    <n v="0"/>
    <m/>
    <m/>
  </r>
  <r>
    <n v="2139"/>
    <x v="26"/>
    <s v="Night"/>
    <x v="0"/>
    <n v="2000714830"/>
    <n v="1650"/>
    <n v="200"/>
    <n v="0"/>
    <s v="U03968"/>
    <s v="L1077"/>
    <x v="36"/>
    <m/>
    <m/>
    <m/>
    <n v="0"/>
    <m/>
    <m/>
  </r>
  <r>
    <n v="2140"/>
    <x v="26"/>
    <s v="Night"/>
    <x v="0"/>
    <n v="2000714566"/>
    <n v="1800"/>
    <n v="200"/>
    <n v="0"/>
    <s v="U03968"/>
    <s v="L1182"/>
    <x v="124"/>
    <m/>
    <m/>
    <m/>
    <n v="0"/>
    <m/>
    <m/>
  </r>
  <r>
    <n v="2141"/>
    <x v="26"/>
    <s v="Night"/>
    <x v="0"/>
    <n v="2000714130"/>
    <n v="920"/>
    <n v="120"/>
    <n v="0"/>
    <s v="U03968"/>
    <s v="L1151/52"/>
    <x v="85"/>
    <m/>
    <m/>
    <m/>
    <n v="0"/>
    <m/>
    <m/>
  </r>
  <r>
    <n v="2142"/>
    <x v="26"/>
    <s v="Night"/>
    <x v="0"/>
    <n v="2000714127"/>
    <n v="3008"/>
    <n v="50"/>
    <n v="0"/>
    <s v="U03968"/>
    <s v="L1193/94"/>
    <x v="119"/>
    <m/>
    <m/>
    <m/>
    <n v="0"/>
    <m/>
    <m/>
  </r>
  <r>
    <n v="2143"/>
    <x v="26"/>
    <s v="Night"/>
    <x v="0"/>
    <n v="2000713858"/>
    <n v="656"/>
    <n v="60"/>
    <n v="0"/>
    <s v="U15759"/>
    <s v="L1193/94"/>
    <x v="123"/>
    <m/>
    <m/>
    <m/>
    <n v="0"/>
    <m/>
    <m/>
  </r>
  <r>
    <n v="2144"/>
    <x v="26"/>
    <s v="Night"/>
    <x v="0"/>
    <n v="2000714534"/>
    <n v="856"/>
    <n v="175"/>
    <n v="0"/>
    <s v="U15759"/>
    <s v="L1209/10"/>
    <x v="68"/>
    <m/>
    <m/>
    <m/>
    <n v="0"/>
    <m/>
    <m/>
  </r>
  <r>
    <n v="2145"/>
    <x v="26"/>
    <s v="Night"/>
    <x v="0"/>
    <n v="2000714119"/>
    <n v="814"/>
    <n v="134"/>
    <n v="0"/>
    <s v="U15759"/>
    <s v="L1188/89"/>
    <x v="84"/>
    <m/>
    <m/>
    <m/>
    <n v="0"/>
    <m/>
    <m/>
  </r>
  <r>
    <n v="2146"/>
    <x v="26"/>
    <s v="Night"/>
    <x v="0"/>
    <n v="2000714723"/>
    <n v="500"/>
    <n v="356"/>
    <n v="0"/>
    <s v="U15759"/>
    <s v="L1209/10"/>
    <x v="55"/>
    <m/>
    <m/>
    <m/>
    <n v="0"/>
    <m/>
    <m/>
  </r>
  <r>
    <n v="2147"/>
    <x v="26"/>
    <s v="Night"/>
    <x v="0"/>
    <n v="2000714534"/>
    <n v="856"/>
    <n v="405"/>
    <n v="0"/>
    <s v="U29686"/>
    <s v="L1209/10"/>
    <x v="68"/>
    <m/>
    <m/>
    <m/>
    <n v="0"/>
    <m/>
    <m/>
  </r>
  <r>
    <n v="2148"/>
    <x v="26"/>
    <s v="Night"/>
    <x v="0"/>
    <n v="2000714119"/>
    <n v="814"/>
    <n v="90"/>
    <n v="0"/>
    <s v="U29686"/>
    <s v="L1188/89"/>
    <x v="84"/>
    <m/>
    <m/>
    <m/>
    <n v="0"/>
    <m/>
    <m/>
  </r>
  <r>
    <n v="2149"/>
    <x v="26"/>
    <s v="Night"/>
    <x v="0"/>
    <n v="2000714723"/>
    <n v="500"/>
    <n v="95"/>
    <n v="0"/>
    <s v="U29686"/>
    <s v="L1209/10"/>
    <x v="55"/>
    <m/>
    <m/>
    <m/>
    <n v="0"/>
    <m/>
    <m/>
  </r>
  <r>
    <n v="2150"/>
    <x v="26"/>
    <s v="Night"/>
    <x v="0"/>
    <n v="2000714526"/>
    <n v="1000"/>
    <n v="80"/>
    <n v="0"/>
    <s v="U27687"/>
    <s v="L1172/73"/>
    <x v="18"/>
    <m/>
    <m/>
    <m/>
    <n v="0"/>
    <m/>
    <m/>
  </r>
  <r>
    <n v="2151"/>
    <x v="26"/>
    <s v="Night"/>
    <x v="0"/>
    <n v="2000715052"/>
    <n v="900"/>
    <n v="80"/>
    <n v="0"/>
    <s v="U27687"/>
    <s v="L1172/73"/>
    <x v="83"/>
    <m/>
    <m/>
    <m/>
    <n v="0"/>
    <m/>
    <m/>
  </r>
  <r>
    <n v="2152"/>
    <x v="26"/>
    <s v="Night"/>
    <x v="0"/>
    <n v="2000714735"/>
    <n v="3000"/>
    <n v="120"/>
    <n v="0"/>
    <s v="U27687"/>
    <s v="L1168/69"/>
    <x v="37"/>
    <m/>
    <m/>
    <m/>
    <n v="0"/>
    <m/>
    <m/>
  </r>
  <r>
    <n v="2153"/>
    <x v="26"/>
    <s v="Night"/>
    <x v="0"/>
    <n v="2000714545"/>
    <n v="2000"/>
    <n v="160"/>
    <n v="0"/>
    <s v="U27687"/>
    <s v="L1188/89"/>
    <x v="130"/>
    <m/>
    <m/>
    <m/>
    <n v="0"/>
    <m/>
    <m/>
  </r>
  <r>
    <n v="2154"/>
    <x v="26"/>
    <s v="Night"/>
    <x v="0"/>
    <n v="2000714728"/>
    <n v="360"/>
    <n v="120"/>
    <n v="0"/>
    <s v="U27723"/>
    <s v="L1188/89"/>
    <x v="95"/>
    <m/>
    <m/>
    <m/>
    <n v="0"/>
    <m/>
    <m/>
  </r>
  <r>
    <n v="2155"/>
    <x v="26"/>
    <s v="Night"/>
    <x v="0"/>
    <n v="2000715065"/>
    <n v="2300"/>
    <n v="130"/>
    <n v="0"/>
    <s v="U36206"/>
    <s v="L1174/75"/>
    <x v="61"/>
    <m/>
    <m/>
    <m/>
    <n v="0"/>
    <m/>
    <m/>
  </r>
  <r>
    <n v="2156"/>
    <x v="26"/>
    <s v="Night"/>
    <x v="0"/>
    <n v="2000714218"/>
    <n v="730"/>
    <n v="70"/>
    <n v="0"/>
    <s v="U36206"/>
    <s v="L1144/47"/>
    <x v="101"/>
    <m/>
    <m/>
    <m/>
    <n v="0"/>
    <m/>
    <m/>
  </r>
  <r>
    <n v="2157"/>
    <x v="26"/>
    <s v="Night"/>
    <x v="0"/>
    <n v="2000714808"/>
    <n v="580"/>
    <n v="80"/>
    <n v="0"/>
    <s v="U36206"/>
    <s v="L1144/47"/>
    <x v="57"/>
    <m/>
    <m/>
    <m/>
    <n v="0"/>
    <m/>
    <m/>
  </r>
  <r>
    <n v="2158"/>
    <x v="26"/>
    <s v="Night"/>
    <x v="0"/>
    <n v="2000714680"/>
    <n v="2070"/>
    <n v="130"/>
    <n v="0"/>
    <s v="U36206"/>
    <s v="L1144/47"/>
    <x v="120"/>
    <m/>
    <m/>
    <m/>
    <n v="0"/>
    <m/>
    <m/>
  </r>
  <r>
    <n v="2159"/>
    <x v="26"/>
    <s v="Night"/>
    <x v="0"/>
    <n v="2000714831"/>
    <n v="1650"/>
    <n v="80"/>
    <n v="0"/>
    <s v="U36206"/>
    <s v="L1077"/>
    <x v="2"/>
    <m/>
    <m/>
    <m/>
    <n v="0"/>
    <m/>
    <m/>
  </r>
  <r>
    <n v="2160"/>
    <x v="26"/>
    <s v="Night"/>
    <x v="0"/>
    <n v="2000715155"/>
    <n v="400"/>
    <n v="60"/>
    <n v="0"/>
    <s v="U36206"/>
    <s v="T541"/>
    <x v="94"/>
    <m/>
    <m/>
    <m/>
    <n v="0"/>
    <m/>
    <m/>
  </r>
  <r>
    <n v="2161"/>
    <x v="26"/>
    <s v="Night"/>
    <x v="1"/>
    <n v="2000714666"/>
    <n v="400"/>
    <n v="105"/>
    <n v="0"/>
    <s v="U32991"/>
    <s v="SHANKS"/>
    <x v="227"/>
    <m/>
    <m/>
    <m/>
    <n v="0"/>
    <m/>
    <m/>
  </r>
  <r>
    <n v="2162"/>
    <x v="26"/>
    <s v="Night"/>
    <x v="1"/>
    <n v="2000714288"/>
    <n v="474"/>
    <n v="90"/>
    <n v="0"/>
    <s v="U32991"/>
    <s v="FRANKY"/>
    <x v="51"/>
    <m/>
    <m/>
    <m/>
    <n v="0"/>
    <m/>
    <m/>
  </r>
  <r>
    <n v="2163"/>
    <x v="26"/>
    <s v="Night"/>
    <x v="1"/>
    <n v="2000713640"/>
    <n v="620"/>
    <n v="120"/>
    <n v="0"/>
    <s v="U32991"/>
    <s v="FLORA"/>
    <x v="28"/>
    <m/>
    <m/>
    <m/>
    <n v="0"/>
    <m/>
    <m/>
  </r>
  <r>
    <n v="2164"/>
    <x v="26"/>
    <s v="Night"/>
    <x v="1"/>
    <n v="2000714289"/>
    <n v="780"/>
    <n v="100"/>
    <n v="0"/>
    <s v="U32991"/>
    <s v="PSHV"/>
    <x v="80"/>
    <m/>
    <m/>
    <m/>
    <n v="0"/>
    <m/>
    <m/>
  </r>
  <r>
    <n v="2165"/>
    <x v="26"/>
    <s v="Night"/>
    <x v="1"/>
    <n v="2000714913"/>
    <n v="410"/>
    <n v="150"/>
    <n v="0"/>
    <s v="U32991"/>
    <s v="SHANKS"/>
    <x v="166"/>
    <m/>
    <m/>
    <m/>
    <n v="0"/>
    <m/>
    <m/>
  </r>
  <r>
    <n v="2166"/>
    <x v="26"/>
    <s v="Night"/>
    <x v="1"/>
    <n v="2000713640"/>
    <n v="620"/>
    <n v="80"/>
    <n v="0"/>
    <s v="U32991"/>
    <s v="FLORA"/>
    <x v="28"/>
    <m/>
    <m/>
    <m/>
    <n v="0"/>
    <m/>
    <m/>
  </r>
  <r>
    <n v="2167"/>
    <x v="26"/>
    <s v="Night"/>
    <x v="1"/>
    <n v="2000713664"/>
    <n v="350"/>
    <n v="10"/>
    <n v="0"/>
    <s v="U32991"/>
    <s v="PSLV"/>
    <x v="23"/>
    <m/>
    <m/>
    <m/>
    <n v="0"/>
    <m/>
    <m/>
  </r>
  <r>
    <n v="2169"/>
    <x v="27"/>
    <s v="Day"/>
    <x v="0"/>
    <n v="2000714827"/>
    <n v="1650"/>
    <n v="150"/>
    <n v="0"/>
    <s v="U26613"/>
    <s v="L1077"/>
    <x v="10"/>
    <m/>
    <m/>
    <m/>
    <n v="0"/>
    <m/>
    <m/>
  </r>
  <r>
    <n v="2170"/>
    <x v="27"/>
    <s v="Day"/>
    <x v="0"/>
    <n v="2000715063"/>
    <n v="2300"/>
    <n v="300"/>
    <n v="0"/>
    <s v="U26613"/>
    <s v="L1174/75"/>
    <x v="62"/>
    <m/>
    <m/>
    <m/>
    <n v="0"/>
    <m/>
    <m/>
  </r>
  <r>
    <n v="2171"/>
    <x v="27"/>
    <s v="Day"/>
    <x v="0"/>
    <n v="2000714572"/>
    <n v="300"/>
    <n v="150"/>
    <n v="0"/>
    <s v="U26613"/>
    <s v="L1172/73"/>
    <x v="175"/>
    <m/>
    <m/>
    <m/>
    <n v="0"/>
    <m/>
    <m/>
  </r>
  <r>
    <n v="2172"/>
    <x v="27"/>
    <s v="Day"/>
    <x v="0"/>
    <n v="2000714730"/>
    <n v="400"/>
    <n v="200"/>
    <n v="0"/>
    <s v="U31065"/>
    <s v="L1188/89"/>
    <x v="122"/>
    <m/>
    <m/>
    <m/>
    <n v="0"/>
    <m/>
    <m/>
  </r>
  <r>
    <n v="2173"/>
    <x v="27"/>
    <s v="Day"/>
    <x v="0"/>
    <n v="2000714729"/>
    <n v="400"/>
    <n v="157"/>
    <n v="0"/>
    <s v="U31065"/>
    <s v="L1188/89"/>
    <x v="72"/>
    <m/>
    <m/>
    <m/>
    <n v="0"/>
    <m/>
    <m/>
  </r>
  <r>
    <n v="2174"/>
    <x v="27"/>
    <s v="Day"/>
    <x v="0"/>
    <n v="2000714732"/>
    <n v="640"/>
    <n v="120"/>
    <n v="0"/>
    <s v="U31065"/>
    <s v="L1188/89"/>
    <x v="17"/>
    <m/>
    <m/>
    <m/>
    <n v="0"/>
    <m/>
    <m/>
  </r>
  <r>
    <n v="2175"/>
    <x v="27"/>
    <s v="Day"/>
    <x v="0"/>
    <n v="2000710518"/>
    <n v="390"/>
    <n v="3"/>
    <n v="0"/>
    <s v="U31065"/>
    <s v="L1193/94"/>
    <x v="116"/>
    <m/>
    <m/>
    <m/>
    <n v="0"/>
    <m/>
    <m/>
  </r>
  <r>
    <n v="2176"/>
    <x v="27"/>
    <s v="Day"/>
    <x v="0"/>
    <n v="2000708054"/>
    <n v="420"/>
    <n v="5"/>
    <n v="0"/>
    <s v="U31065"/>
    <s v="L1193/94"/>
    <x v="116"/>
    <m/>
    <m/>
    <m/>
    <n v="0"/>
    <m/>
    <m/>
  </r>
  <r>
    <n v="2177"/>
    <x v="27"/>
    <s v="Day"/>
    <x v="0"/>
    <n v="2000714678"/>
    <n v="950"/>
    <n v="90"/>
    <n v="0"/>
    <s v="U31065"/>
    <s v="L1193/94"/>
    <x v="116"/>
    <m/>
    <m/>
    <m/>
    <n v="0"/>
    <m/>
    <m/>
  </r>
  <r>
    <n v="2178"/>
    <x v="27"/>
    <s v="Day"/>
    <x v="0"/>
    <n v="2000714121"/>
    <n v="1530"/>
    <n v="150"/>
    <n v="0"/>
    <s v="U09749"/>
    <s v="L1209/10"/>
    <x v="196"/>
    <m/>
    <m/>
    <m/>
    <n v="0"/>
    <m/>
    <m/>
  </r>
  <r>
    <n v="2179"/>
    <x v="27"/>
    <s v="Day"/>
    <x v="0"/>
    <n v="2000714723"/>
    <n v="500"/>
    <n v="45"/>
    <n v="0"/>
    <s v="U36008"/>
    <s v="L1209/10"/>
    <x v="55"/>
    <m/>
    <m/>
    <m/>
    <n v="0"/>
    <m/>
    <m/>
  </r>
  <r>
    <n v="2180"/>
    <x v="27"/>
    <s v="Day"/>
    <x v="0"/>
    <n v="2000714730"/>
    <n v="400"/>
    <n v="200"/>
    <n v="1"/>
    <s v="U36008"/>
    <s v="L1188/89"/>
    <x v="122"/>
    <s v="Bong, vỡ linh kiện"/>
    <m/>
    <s v="C50"/>
    <n v="1"/>
    <s v="\\vn-file\QC Department\4.OQC\00. OQC Performance\03. Images\01. NG\20210202-NG-1232714730.jpg"/>
    <s v="\\vn-file\QC Department\4.OQC\00. OQC Performance\03. Images\02. OK\20210202-OK-1232714730.jpg"/>
  </r>
  <r>
    <n v="2181"/>
    <x v="27"/>
    <s v="Day"/>
    <x v="0"/>
    <n v="2000714729"/>
    <n v="400"/>
    <n v="120"/>
    <n v="0"/>
    <s v="U36008"/>
    <s v="L1188/89"/>
    <x v="72"/>
    <m/>
    <m/>
    <m/>
    <n v="0"/>
    <m/>
    <m/>
  </r>
  <r>
    <n v="2182"/>
    <x v="27"/>
    <s v="Day"/>
    <x v="0"/>
    <n v="2000714121"/>
    <n v="1530"/>
    <n v="135"/>
    <n v="0"/>
    <s v="U36008"/>
    <s v="L1209/10"/>
    <x v="196"/>
    <m/>
    <m/>
    <m/>
    <n v="0"/>
    <m/>
    <m/>
  </r>
  <r>
    <n v="2183"/>
    <x v="27"/>
    <s v="Day"/>
    <x v="0"/>
    <n v="2000714729"/>
    <n v="400"/>
    <n v="60"/>
    <n v="0"/>
    <s v="U09854"/>
    <s v="L1188/89"/>
    <x v="72"/>
    <m/>
    <m/>
    <m/>
    <n v="0"/>
    <m/>
    <m/>
  </r>
  <r>
    <n v="2184"/>
    <x v="27"/>
    <s v="Day"/>
    <x v="0"/>
    <n v="2000714121"/>
    <n v="1530"/>
    <n v="45"/>
    <n v="0"/>
    <s v="U09854"/>
    <s v="L1209/10"/>
    <x v="196"/>
    <m/>
    <m/>
    <m/>
    <n v="0"/>
    <m/>
    <m/>
  </r>
  <r>
    <n v="2185"/>
    <x v="27"/>
    <s v="Day"/>
    <x v="0"/>
    <n v="2000714732"/>
    <n v="640"/>
    <n v="80"/>
    <n v="0"/>
    <s v="U09854"/>
    <s v="L1188/89"/>
    <x v="17"/>
    <m/>
    <m/>
    <m/>
    <n v="0"/>
    <m/>
    <m/>
  </r>
  <r>
    <n v="2186"/>
    <x v="27"/>
    <s v="Day"/>
    <x v="0"/>
    <n v="2000714733"/>
    <n v="230"/>
    <n v="110"/>
    <n v="0"/>
    <s v="U09854"/>
    <s v="L1188/89"/>
    <x v="98"/>
    <m/>
    <m/>
    <m/>
    <n v="0"/>
    <m/>
    <m/>
  </r>
  <r>
    <n v="2187"/>
    <x v="27"/>
    <s v="Day"/>
    <x v="0"/>
    <n v="2000714121"/>
    <n v="1530"/>
    <n v="450"/>
    <n v="0"/>
    <s v="U23987"/>
    <s v="L1209/10"/>
    <x v="196"/>
    <m/>
    <m/>
    <m/>
    <n v="0"/>
    <m/>
    <m/>
  </r>
  <r>
    <n v="2188"/>
    <x v="27"/>
    <s v="Day"/>
    <x v="0"/>
    <n v="2000714831"/>
    <n v="1650"/>
    <n v="40"/>
    <n v="0"/>
    <s v="U30425"/>
    <s v="L1077"/>
    <x v="2"/>
    <m/>
    <m/>
    <m/>
    <n v="0"/>
    <m/>
    <m/>
  </r>
  <r>
    <n v="2189"/>
    <x v="27"/>
    <s v="Day"/>
    <x v="0"/>
    <n v="2000715178"/>
    <n v="2000"/>
    <n v="100"/>
    <n v="0"/>
    <s v="U30425"/>
    <s v="L1172/73"/>
    <x v="83"/>
    <m/>
    <m/>
    <m/>
    <n v="0"/>
    <m/>
    <m/>
  </r>
  <r>
    <n v="2190"/>
    <x v="27"/>
    <s v="Day"/>
    <x v="0"/>
    <n v="2000715155"/>
    <n v="400"/>
    <n v="20"/>
    <n v="0"/>
    <s v="U30425"/>
    <s v="T541"/>
    <x v="94"/>
    <m/>
    <m/>
    <m/>
    <n v="0"/>
    <m/>
    <m/>
  </r>
  <r>
    <n v="2191"/>
    <x v="27"/>
    <s v="Day"/>
    <x v="0"/>
    <n v="2000715156"/>
    <n v="680"/>
    <n v="80"/>
    <n v="0"/>
    <s v="U30425"/>
    <s v="L1144/47"/>
    <x v="39"/>
    <m/>
    <m/>
    <m/>
    <n v="0"/>
    <m/>
    <m/>
  </r>
  <r>
    <n v="2192"/>
    <x v="27"/>
    <s v="Day"/>
    <x v="0"/>
    <n v="2000714527"/>
    <n v="2100"/>
    <n v="120"/>
    <n v="0"/>
    <s v="U30425"/>
    <s v="L1172/73"/>
    <x v="18"/>
    <m/>
    <m/>
    <m/>
    <n v="0"/>
    <m/>
    <m/>
  </r>
  <r>
    <n v="2193"/>
    <x v="27"/>
    <s v="Day"/>
    <x v="0"/>
    <n v="2000714598"/>
    <n v="2704"/>
    <n v="80"/>
    <n v="0"/>
    <s v="U30425"/>
    <s v="L1128/29"/>
    <x v="11"/>
    <m/>
    <m/>
    <m/>
    <n v="0"/>
    <m/>
    <m/>
  </r>
  <r>
    <n v="2194"/>
    <x v="27"/>
    <s v="Day"/>
    <x v="1"/>
    <n v="2000713640"/>
    <n v="620"/>
    <n v="220"/>
    <n v="0"/>
    <s v="U30119"/>
    <s v="FLORA"/>
    <x v="28"/>
    <m/>
    <m/>
    <m/>
    <n v="0"/>
    <m/>
    <m/>
  </r>
  <r>
    <n v="2195"/>
    <x v="27"/>
    <s v="Day"/>
    <x v="1"/>
    <n v="2000714428"/>
    <n v="800"/>
    <n v="175"/>
    <n v="0"/>
    <s v="U30119"/>
    <s v="SHANKS"/>
    <x v="24"/>
    <m/>
    <m/>
    <m/>
    <n v="0"/>
    <m/>
    <m/>
  </r>
  <r>
    <n v="2196"/>
    <x v="27"/>
    <s v="Day"/>
    <x v="1"/>
    <n v="2000714909"/>
    <n v="300"/>
    <n v="105"/>
    <n v="0"/>
    <s v="U30119"/>
    <s v="PSLV"/>
    <x v="129"/>
    <m/>
    <m/>
    <m/>
    <n v="0"/>
    <m/>
    <m/>
  </r>
  <r>
    <n v="2197"/>
    <x v="27"/>
    <s v="Day"/>
    <x v="1"/>
    <n v="2000713639"/>
    <n v="620"/>
    <n v="140"/>
    <n v="0"/>
    <s v="U30119"/>
    <s v="FLORA"/>
    <x v="28"/>
    <m/>
    <m/>
    <m/>
    <n v="0"/>
    <m/>
    <m/>
  </r>
  <r>
    <n v="2198"/>
    <x v="27"/>
    <s v="Day"/>
    <x v="1"/>
    <n v="2000714915"/>
    <n v="120"/>
    <n v="30"/>
    <n v="0"/>
    <s v="U30119"/>
    <s v="ZAKURO"/>
    <x v="114"/>
    <m/>
    <m/>
    <m/>
    <n v="0"/>
    <m/>
    <m/>
  </r>
  <r>
    <n v="2199"/>
    <x v="27"/>
    <s v="Day"/>
    <x v="1"/>
    <n v="2000714910"/>
    <n v="1600"/>
    <n v="180"/>
    <n v="0"/>
    <s v="U30119"/>
    <s v="SHANKS"/>
    <x v="67"/>
    <m/>
    <m/>
    <m/>
    <n v="0"/>
    <m/>
    <m/>
  </r>
  <r>
    <n v="2200"/>
    <x v="27"/>
    <s v="Day"/>
    <x v="1"/>
    <n v="2000714907"/>
    <n v="1000"/>
    <n v="110"/>
    <n v="0"/>
    <s v="U30119"/>
    <s v="PSHV"/>
    <x v="25"/>
    <m/>
    <m/>
    <m/>
    <n v="0"/>
    <m/>
    <m/>
  </r>
  <r>
    <n v="2201"/>
    <x v="27"/>
    <s v="Night"/>
    <x v="0"/>
    <n v="2000714678"/>
    <n v="950"/>
    <n v="338"/>
    <n v="0"/>
    <s v="U15759"/>
    <s v="L1193/94"/>
    <x v="116"/>
    <m/>
    <m/>
    <m/>
    <n v="0"/>
    <m/>
    <m/>
  </r>
  <r>
    <n v="2202"/>
    <x v="27"/>
    <s v="Night"/>
    <x v="0"/>
    <n v="2000714678"/>
    <n v="950"/>
    <n v="360"/>
    <n v="0"/>
    <s v="U18660"/>
    <s v="L1193/94"/>
    <x v="116"/>
    <m/>
    <m/>
    <m/>
    <n v="0"/>
    <m/>
    <m/>
  </r>
  <r>
    <n v="2203"/>
    <x v="27"/>
    <s v="Night"/>
    <x v="0"/>
    <n v="2000714725"/>
    <n v="720"/>
    <n v="90"/>
    <n v="0"/>
    <s v="U18660"/>
    <s v="L1188/89_x0009_"/>
    <x v="84"/>
    <m/>
    <m/>
    <m/>
    <n v="0"/>
    <m/>
    <m/>
  </r>
  <r>
    <n v="2204"/>
    <x v="27"/>
    <s v="Night"/>
    <x v="0"/>
    <n v="2000715331"/>
    <n v="200"/>
    <n v="100"/>
    <n v="0"/>
    <s v="U18660"/>
    <s v="L1188/89"/>
    <x v="212"/>
    <m/>
    <m/>
    <m/>
    <n v="0"/>
    <m/>
    <m/>
  </r>
  <r>
    <n v="2205"/>
    <x v="27"/>
    <s v="Night"/>
    <x v="0"/>
    <n v="2000714121"/>
    <n v="1530"/>
    <n v="30"/>
    <n v="0"/>
    <s v="U18660"/>
    <s v="L1209/10"/>
    <x v="196"/>
    <m/>
    <m/>
    <m/>
    <n v="0"/>
    <m/>
    <m/>
  </r>
  <r>
    <n v="2206"/>
    <x v="27"/>
    <s v="Night"/>
    <x v="0"/>
    <n v="2000715082"/>
    <n v="1800"/>
    <n v="120"/>
    <n v="1"/>
    <s v="U36206"/>
    <s v="L1144/47"/>
    <x v="59"/>
    <s v="Bong Pattern "/>
    <m/>
    <s v="T301"/>
    <n v="1"/>
    <s v="\\vn-file\QC Department\4.OQC\00. OQC Performance\03. Images\01. NG\20210202-NG-2115715082.jpg"/>
    <s v="\\vn-file\QC Department\4.OQC\00. OQC Performance\03. Images\02. OK\20210202-OK-2115715082.jpg"/>
  </r>
  <r>
    <n v="2207"/>
    <x v="27"/>
    <s v="Night"/>
    <x v="0"/>
    <n v="2000715236"/>
    <n v="1600"/>
    <n v="120"/>
    <n v="0"/>
    <s v="U36206"/>
    <s v="L1077"/>
    <x v="2"/>
    <m/>
    <m/>
    <m/>
    <n v="0"/>
    <m/>
    <m/>
  </r>
  <r>
    <n v="2208"/>
    <x v="27"/>
    <s v="Night"/>
    <x v="0"/>
    <n v="2000715172"/>
    <n v="230"/>
    <n v="20"/>
    <n v="0"/>
    <s v="U36206"/>
    <s v="T543"/>
    <x v="100"/>
    <m/>
    <m/>
    <m/>
    <n v="0"/>
    <m/>
    <m/>
  </r>
  <r>
    <n v="2209"/>
    <x v="27"/>
    <s v="Night"/>
    <x v="0"/>
    <n v="2000715174"/>
    <n v="870"/>
    <n v="120"/>
    <n v="0"/>
    <s v="U36206"/>
    <s v="L1144/47"/>
    <x v="56"/>
    <m/>
    <m/>
    <m/>
    <n v="0"/>
    <m/>
    <m/>
  </r>
  <r>
    <n v="2210"/>
    <x v="27"/>
    <s v="Night"/>
    <x v="0"/>
    <n v="2000715066"/>
    <n v="800"/>
    <n v="120"/>
    <n v="0"/>
    <s v="U36206"/>
    <s v="L1174/75"/>
    <x v="228"/>
    <m/>
    <m/>
    <m/>
    <n v="0"/>
    <m/>
    <m/>
  </r>
  <r>
    <n v="2211"/>
    <x v="27"/>
    <s v="Night"/>
    <x v="0"/>
    <n v="2000714724"/>
    <n v="360"/>
    <n v="45"/>
    <n v="0"/>
    <s v="U05944"/>
    <s v="L1209/10"/>
    <x v="44"/>
    <m/>
    <m/>
    <m/>
    <n v="0"/>
    <m/>
    <m/>
  </r>
  <r>
    <n v="2212"/>
    <x v="27"/>
    <s v="Night"/>
    <x v="0"/>
    <n v="2000714121"/>
    <n v="1530"/>
    <n v="45"/>
    <n v="0"/>
    <s v="U05944"/>
    <s v="L1209/10"/>
    <x v="196"/>
    <m/>
    <m/>
    <m/>
    <n v="0"/>
    <m/>
    <m/>
  </r>
  <r>
    <n v="2213"/>
    <x v="27"/>
    <s v="Night"/>
    <x v="0"/>
    <n v="2000714725"/>
    <n v="720"/>
    <n v="225"/>
    <n v="0"/>
    <s v="U05944"/>
    <s v="L1188/89"/>
    <x v="84"/>
    <m/>
    <m/>
    <m/>
    <n v="0"/>
    <m/>
    <m/>
  </r>
  <r>
    <n v="2214"/>
    <x v="27"/>
    <s v="Night"/>
    <x v="0"/>
    <n v="2000714121"/>
    <n v="1530"/>
    <n v="265"/>
    <n v="0"/>
    <s v="U29686"/>
    <s v="L1209/10"/>
    <x v="196"/>
    <m/>
    <m/>
    <m/>
    <n v="0"/>
    <m/>
    <m/>
  </r>
  <r>
    <n v="2215"/>
    <x v="27"/>
    <s v="Night"/>
    <x v="0"/>
    <n v="2000714724"/>
    <n v="360"/>
    <n v="312"/>
    <n v="0"/>
    <s v="U29686"/>
    <s v="L1209/10"/>
    <x v="44"/>
    <m/>
    <m/>
    <m/>
    <n v="0"/>
    <m/>
    <m/>
  </r>
  <r>
    <n v="2216"/>
    <x v="27"/>
    <s v="Night"/>
    <x v="0"/>
    <n v="2000714725"/>
    <n v="720"/>
    <n v="221"/>
    <n v="0"/>
    <s v="U29686"/>
    <s v="L1188/89"/>
    <x v="84"/>
    <m/>
    <m/>
    <m/>
    <n v="0"/>
    <m/>
    <m/>
  </r>
  <r>
    <n v="2217"/>
    <x v="27"/>
    <s v="Night"/>
    <x v="0"/>
    <n v="2000714121"/>
    <n v="1530"/>
    <n v="30"/>
    <n v="0"/>
    <s v="U27687"/>
    <s v="L1209/10"/>
    <x v="196"/>
    <m/>
    <m/>
    <m/>
    <n v="0"/>
    <m/>
    <m/>
  </r>
  <r>
    <n v="2218"/>
    <x v="27"/>
    <s v="Night"/>
    <x v="0"/>
    <n v="2000715214"/>
    <n v="330"/>
    <n v="80"/>
    <n v="0"/>
    <s v="U27687"/>
    <s v="L1172/73"/>
    <x v="99"/>
    <m/>
    <m/>
    <m/>
    <n v="0"/>
    <m/>
    <m/>
  </r>
  <r>
    <n v="2219"/>
    <x v="27"/>
    <s v="Night"/>
    <x v="0"/>
    <n v="2000714734"/>
    <n v="400"/>
    <n v="160"/>
    <n v="0"/>
    <s v="U27687"/>
    <s v="L1188/89"/>
    <x v="0"/>
    <m/>
    <m/>
    <m/>
    <n v="0"/>
    <m/>
    <m/>
  </r>
  <r>
    <n v="2220"/>
    <x v="27"/>
    <s v="Night"/>
    <x v="0"/>
    <n v="2000715178"/>
    <n v="2000"/>
    <n v="20"/>
    <n v="0"/>
    <s v="U27687"/>
    <s v="L1172/73"/>
    <x v="83"/>
    <m/>
    <m/>
    <m/>
    <n v="0"/>
    <m/>
    <m/>
  </r>
  <r>
    <n v="2221"/>
    <x v="27"/>
    <s v="Night"/>
    <x v="0"/>
    <n v="2000714725"/>
    <n v="720"/>
    <n v="90"/>
    <n v="0"/>
    <s v="U27687"/>
    <s v="L1188/89"/>
    <x v="84"/>
    <m/>
    <m/>
    <m/>
    <n v="0"/>
    <m/>
    <m/>
  </r>
  <r>
    <n v="2222"/>
    <x v="27"/>
    <s v="Night"/>
    <x v="0"/>
    <n v="2000714682"/>
    <n v="6600"/>
    <n v="300"/>
    <n v="0"/>
    <s v="U03968"/>
    <s v="L1112/13"/>
    <x v="75"/>
    <m/>
    <m/>
    <m/>
    <n v="0"/>
    <m/>
    <m/>
  </r>
  <r>
    <n v="2223"/>
    <x v="27"/>
    <s v="Night"/>
    <x v="0"/>
    <n v="2000715231"/>
    <n v="4800"/>
    <n v="300"/>
    <n v="0"/>
    <s v="U03968"/>
    <s v="L1174/75"/>
    <x v="139"/>
    <m/>
    <m/>
    <m/>
    <n v="0"/>
    <m/>
    <m/>
  </r>
  <r>
    <n v="2224"/>
    <x v="27"/>
    <s v="Night"/>
    <x v="0"/>
    <n v="2000713862"/>
    <n v="2640"/>
    <n v="480"/>
    <n v="0"/>
    <s v="U03968"/>
    <s v="L1193/94"/>
    <x v="30"/>
    <m/>
    <m/>
    <m/>
    <n v="0"/>
    <m/>
    <m/>
  </r>
  <r>
    <n v="2225"/>
    <x v="27"/>
    <s v="Night"/>
    <x v="0"/>
    <n v="2000715079"/>
    <n v="1800"/>
    <n v="200"/>
    <n v="0"/>
    <s v="U03968"/>
    <s v="L1144/47"/>
    <x v="92"/>
    <m/>
    <m/>
    <m/>
    <n v="0"/>
    <m/>
    <m/>
  </r>
  <r>
    <n v="2226"/>
    <x v="27"/>
    <s v="Night"/>
    <x v="0"/>
    <n v="2000714828"/>
    <n v="1650"/>
    <n v="200"/>
    <n v="0"/>
    <s v="U03968"/>
    <s v="L1077"/>
    <x v="33"/>
    <m/>
    <m/>
    <m/>
    <n v="0"/>
    <m/>
    <m/>
  </r>
  <r>
    <n v="2227"/>
    <x v="27"/>
    <s v="Night"/>
    <x v="0"/>
    <n v="2000715081"/>
    <n v="1800"/>
    <n v="150"/>
    <n v="0"/>
    <s v="U03968"/>
    <s v="L1144/47"/>
    <x v="229"/>
    <m/>
    <m/>
    <m/>
    <n v="0"/>
    <m/>
    <m/>
  </r>
  <r>
    <n v="2228"/>
    <x v="27"/>
    <s v="Night"/>
    <x v="0"/>
    <n v="2000714573"/>
    <n v="1776"/>
    <n v="400"/>
    <n v="0"/>
    <s v="U03968"/>
    <s v="L1193/94"/>
    <x v="119"/>
    <m/>
    <m/>
    <m/>
    <n v="0"/>
    <m/>
    <m/>
  </r>
  <r>
    <n v="2229"/>
    <x v="27"/>
    <s v="Night"/>
    <x v="0"/>
    <n v="2000714683"/>
    <n v="1760"/>
    <n v="150"/>
    <n v="0"/>
    <s v="U03968"/>
    <s v="L1144/47"/>
    <x v="138"/>
    <m/>
    <m/>
    <m/>
    <n v="0"/>
    <m/>
    <m/>
  </r>
  <r>
    <n v="2230"/>
    <x v="27"/>
    <s v="Night"/>
    <x v="0"/>
    <n v="2000714684"/>
    <n v="3600"/>
    <n v="240"/>
    <n v="0"/>
    <s v="U03968"/>
    <s v="L1172/73"/>
    <x v="7"/>
    <m/>
    <m/>
    <m/>
    <n v="0"/>
    <m/>
    <m/>
  </r>
  <r>
    <n v="2231"/>
    <x v="27"/>
    <s v="Night"/>
    <x v="0"/>
    <n v="2000714733"/>
    <n v="230"/>
    <n v="120"/>
    <n v="0"/>
    <s v="U27723"/>
    <s v="L1188/89"/>
    <x v="98"/>
    <m/>
    <m/>
    <m/>
    <n v="0"/>
    <m/>
    <m/>
  </r>
  <r>
    <n v="2232"/>
    <x v="27"/>
    <s v="Night"/>
    <x v="0"/>
    <n v="2000714734"/>
    <n v="400"/>
    <n v="235"/>
    <n v="0"/>
    <s v="U27723"/>
    <s v="L1188/89"/>
    <x v="0"/>
    <m/>
    <m/>
    <m/>
    <n v="0"/>
    <m/>
    <m/>
  </r>
  <r>
    <n v="2233"/>
    <x v="27"/>
    <s v="Night"/>
    <x v="0"/>
    <n v="2000714598"/>
    <n v="2704"/>
    <n v="40"/>
    <n v="0"/>
    <s v="U27723"/>
    <s v="L1128/29"/>
    <x v="11"/>
    <m/>
    <m/>
    <m/>
    <n v="0"/>
    <m/>
    <m/>
  </r>
  <r>
    <n v="2234"/>
    <x v="27"/>
    <s v="Night"/>
    <x v="0"/>
    <n v="2000713789"/>
    <n v="680"/>
    <n v="2"/>
    <n v="0"/>
    <s v="U27723"/>
    <s v="L1188/89"/>
    <x v="98"/>
    <m/>
    <m/>
    <m/>
    <n v="0"/>
    <m/>
    <m/>
  </r>
  <r>
    <n v="2235"/>
    <x v="27"/>
    <s v="Night"/>
    <x v="0"/>
    <n v="2000714731"/>
    <n v="40"/>
    <n v="39"/>
    <n v="0"/>
    <s v="U27723"/>
    <s v="L1188/89"/>
    <x v="194"/>
    <m/>
    <m/>
    <m/>
    <n v="0"/>
    <m/>
    <m/>
  </r>
  <r>
    <n v="2236"/>
    <x v="27"/>
    <s v="Night"/>
    <x v="0"/>
    <n v="2000715331"/>
    <n v="200"/>
    <n v="20"/>
    <n v="0"/>
    <s v="U27723"/>
    <s v="L1188/89"/>
    <x v="212"/>
    <m/>
    <m/>
    <m/>
    <n v="0"/>
    <m/>
    <m/>
  </r>
  <r>
    <n v="2237"/>
    <x v="27"/>
    <s v="Night"/>
    <x v="1"/>
    <n v="2000713639"/>
    <n v="620"/>
    <n v="220"/>
    <n v="0"/>
    <s v="U32991"/>
    <s v="FLORA"/>
    <x v="28"/>
    <m/>
    <m/>
    <m/>
    <n v="0"/>
    <m/>
    <m/>
  </r>
  <r>
    <n v="2238"/>
    <x v="27"/>
    <s v="Night"/>
    <x v="1"/>
    <n v="2000714427"/>
    <n v="800"/>
    <n v="120"/>
    <n v="0"/>
    <s v="U32991"/>
    <s v="SHANKS"/>
    <x v="67"/>
    <m/>
    <m/>
    <m/>
    <n v="0"/>
    <m/>
    <m/>
  </r>
  <r>
    <n v="2239"/>
    <x v="27"/>
    <s v="Night"/>
    <x v="1"/>
    <n v="2000714428"/>
    <n v="800"/>
    <n v="140"/>
    <n v="0"/>
    <s v="U32991"/>
    <s v="SHANKS"/>
    <x v="24"/>
    <m/>
    <m/>
    <m/>
    <n v="0"/>
    <m/>
    <m/>
  </r>
  <r>
    <n v="2240"/>
    <x v="27"/>
    <s v="Night"/>
    <x v="1"/>
    <n v="2000714907"/>
    <n v="1000"/>
    <n v="80"/>
    <n v="0"/>
    <s v="U32991"/>
    <s v="PSHV"/>
    <x v="230"/>
    <m/>
    <m/>
    <m/>
    <n v="0"/>
    <m/>
    <m/>
  </r>
  <r>
    <n v="2241"/>
    <x v="27"/>
    <s v="Night"/>
    <x v="1"/>
    <n v="2000714436"/>
    <n v="700"/>
    <n v="180"/>
    <n v="0"/>
    <s v="U32991"/>
    <s v="PSLV"/>
    <x v="49"/>
    <m/>
    <m/>
    <m/>
    <n v="0"/>
    <m/>
    <m/>
  </r>
  <r>
    <n v="2242"/>
    <x v="27"/>
    <s v="Night"/>
    <x v="0"/>
    <n v="2000714219"/>
    <n v="800"/>
    <n v="1"/>
    <n v="0"/>
    <s v="U15759"/>
    <s v="L1193/94"/>
    <x v="21"/>
    <m/>
    <m/>
    <m/>
    <n v="0"/>
    <m/>
    <m/>
  </r>
  <r>
    <n v="2243"/>
    <x v="27"/>
    <s v="Night"/>
    <x v="0"/>
    <n v="2000714725"/>
    <n v="720"/>
    <n v="90"/>
    <n v="0"/>
    <s v="U15759"/>
    <s v="L1188/89"/>
    <x v="84"/>
    <m/>
    <m/>
    <m/>
    <n v="0"/>
    <m/>
    <m/>
  </r>
  <r>
    <n v="2244"/>
    <x v="27"/>
    <s v="Night"/>
    <x v="0"/>
    <n v="2000714121"/>
    <n v="1530"/>
    <n v="105"/>
    <n v="0"/>
    <s v="U15759"/>
    <s v="L1209/10"/>
    <x v="196"/>
    <m/>
    <m/>
    <m/>
    <n v="0"/>
    <m/>
    <m/>
  </r>
  <r>
    <n v="2245"/>
    <x v="28"/>
    <s v="Day"/>
    <x v="1"/>
    <n v="2000713479"/>
    <n v="900"/>
    <n v="10"/>
    <n v="0"/>
    <s v="U30119"/>
    <s v="PSLV"/>
    <x v="49"/>
    <m/>
    <m/>
    <m/>
    <n v="0"/>
    <m/>
    <m/>
  </r>
  <r>
    <n v="2246"/>
    <x v="28"/>
    <s v="Day"/>
    <x v="1"/>
    <n v="2000714436"/>
    <n v="700"/>
    <n v="220"/>
    <n v="0"/>
    <s v="U30119"/>
    <s v="PSLV"/>
    <x v="49"/>
    <m/>
    <m/>
    <m/>
    <n v="0"/>
    <m/>
    <m/>
  </r>
  <r>
    <n v="2247"/>
    <x v="28"/>
    <s v="Day"/>
    <x v="1"/>
    <n v="2000713639"/>
    <n v="620"/>
    <n v="130"/>
    <n v="0"/>
    <s v="U30119"/>
    <s v="FLORA"/>
    <x v="28"/>
    <m/>
    <m/>
    <m/>
    <n v="0"/>
    <m/>
    <m/>
  </r>
  <r>
    <n v="2248"/>
    <x v="28"/>
    <s v="Day"/>
    <x v="1"/>
    <n v="2000714425"/>
    <n v="10"/>
    <n v="10"/>
    <n v="0"/>
    <s v="U30119"/>
    <s v="FLORA"/>
    <x v="180"/>
    <m/>
    <m/>
    <m/>
    <n v="0"/>
    <m/>
    <m/>
  </r>
  <r>
    <n v="2249"/>
    <x v="28"/>
    <s v="Day"/>
    <x v="1"/>
    <n v="2000714912"/>
    <n v="500"/>
    <n v="105"/>
    <n v="0"/>
    <s v="U30119"/>
    <s v="SHENKS"/>
    <x v="24"/>
    <m/>
    <m/>
    <m/>
    <n v="0"/>
    <m/>
    <m/>
  </r>
  <r>
    <n v="2250"/>
    <x v="28"/>
    <s v="Day"/>
    <x v="1"/>
    <n v="2000712454"/>
    <n v="22"/>
    <n v="1"/>
    <n v="0"/>
    <s v="U30119"/>
    <s v="PSLV"/>
    <x v="200"/>
    <m/>
    <m/>
    <m/>
    <n v="0"/>
    <m/>
    <m/>
  </r>
  <r>
    <n v="2251"/>
    <x v="28"/>
    <s v="Day"/>
    <x v="1"/>
    <n v="2000713640"/>
    <n v="620"/>
    <n v="11"/>
    <n v="0"/>
    <s v="U30119"/>
    <s v="FLORA"/>
    <x v="28"/>
    <m/>
    <m/>
    <m/>
    <n v="0"/>
    <m/>
    <m/>
  </r>
  <r>
    <n v="2252"/>
    <x v="28"/>
    <s v="Day"/>
    <x v="1"/>
    <n v="2000713665"/>
    <n v="620"/>
    <n v="620"/>
    <n v="0"/>
    <s v="U30119"/>
    <s v="LVHV"/>
    <x v="29"/>
    <m/>
    <m/>
    <m/>
    <n v="0"/>
    <m/>
    <m/>
  </r>
  <r>
    <n v="2253"/>
    <x v="28"/>
    <s v="Day"/>
    <x v="0"/>
    <n v="2000714130"/>
    <n v="920"/>
    <n v="160"/>
    <n v="0"/>
    <s v="U26613"/>
    <s v="L1151"/>
    <x v="85"/>
    <m/>
    <m/>
    <m/>
    <n v="0"/>
    <m/>
    <m/>
  </r>
  <r>
    <n v="2254"/>
    <x v="28"/>
    <s v="Day"/>
    <x v="0"/>
    <n v="2000714129"/>
    <n v="4014"/>
    <n v="200"/>
    <n v="0"/>
    <s v="U26613"/>
    <s v="L1145/47"/>
    <x v="14"/>
    <m/>
    <m/>
    <m/>
    <n v="0"/>
    <m/>
    <m/>
  </r>
  <r>
    <n v="2255"/>
    <x v="28"/>
    <s v="Day"/>
    <x v="0"/>
    <n v="2000714667"/>
    <n v="15"/>
    <n v="15"/>
    <n v="0"/>
    <s v="U26613"/>
    <s v="L1092"/>
    <x v="231"/>
    <m/>
    <m/>
    <m/>
    <n v="0"/>
    <m/>
    <m/>
  </r>
  <r>
    <n v="2256"/>
    <x v="28"/>
    <s v="Day"/>
    <x v="0"/>
    <n v="2000715235"/>
    <n v="1600"/>
    <n v="200"/>
    <n v="0"/>
    <s v="U26613"/>
    <s v="L1077"/>
    <x v="36"/>
    <m/>
    <m/>
    <m/>
    <n v="0"/>
    <m/>
    <m/>
  </r>
  <r>
    <n v="2257"/>
    <x v="28"/>
    <s v="Day"/>
    <x v="0"/>
    <n v="2000713862"/>
    <n v="2640"/>
    <n v="300"/>
    <n v="0"/>
    <s v="U26613"/>
    <s v="L1193"/>
    <x v="30"/>
    <m/>
    <m/>
    <m/>
    <n v="0"/>
    <m/>
    <m/>
  </r>
  <r>
    <n v="2258"/>
    <x v="28"/>
    <s v="Day"/>
    <x v="0"/>
    <n v="2000715213"/>
    <n v="570"/>
    <n v="90"/>
    <n v="0"/>
    <s v="U30425"/>
    <s v="L1188/89"/>
    <x v="110"/>
    <m/>
    <m/>
    <m/>
    <n v="0"/>
    <m/>
    <m/>
  </r>
  <r>
    <n v="2259"/>
    <x v="28"/>
    <s v="Day"/>
    <x v="0"/>
    <n v="2000715172"/>
    <n v="230"/>
    <n v="10"/>
    <n v="0"/>
    <s v="U30425"/>
    <s v="T543"/>
    <x v="100"/>
    <m/>
    <m/>
    <m/>
    <n v="0"/>
    <m/>
    <m/>
  </r>
  <r>
    <n v="2260"/>
    <x v="28"/>
    <s v="Day"/>
    <x v="0"/>
    <n v="2000715157"/>
    <n v="320"/>
    <n v="80"/>
    <n v="0"/>
    <s v="U30425"/>
    <s v="L1145"/>
    <x v="71"/>
    <m/>
    <m/>
    <m/>
    <n v="0"/>
    <m/>
    <m/>
  </r>
  <r>
    <n v="2261"/>
    <x v="28"/>
    <s v="Day"/>
    <x v="0"/>
    <n v="2000715388"/>
    <n v="900"/>
    <n v="40"/>
    <n v="0"/>
    <s v="U30425"/>
    <s v="L1172/73"/>
    <x v="19"/>
    <m/>
    <m/>
    <m/>
    <n v="0"/>
    <m/>
    <m/>
  </r>
  <r>
    <n v="2262"/>
    <x v="28"/>
    <s v="Day"/>
    <x v="0"/>
    <n v="2000714219"/>
    <n v="800"/>
    <n v="34"/>
    <n v="0"/>
    <s v="U30425"/>
    <s v="L1193/94"/>
    <x v="21"/>
    <m/>
    <m/>
    <m/>
    <n v="0"/>
    <m/>
    <m/>
  </r>
  <r>
    <n v="2263"/>
    <x v="28"/>
    <s v="Day"/>
    <x v="0"/>
    <n v="2000713178"/>
    <n v="500"/>
    <n v="10"/>
    <n v="0"/>
    <s v="U30425"/>
    <s v="L1193/94"/>
    <x v="192"/>
    <m/>
    <m/>
    <m/>
    <n v="0"/>
    <m/>
    <m/>
  </r>
  <r>
    <n v="2264"/>
    <x v="28"/>
    <s v="Day"/>
    <x v="0"/>
    <n v="2000715084"/>
    <n v="2180"/>
    <n v="150"/>
    <n v="0"/>
    <s v="U30425"/>
    <s v="L1146/47"/>
    <x v="77"/>
    <m/>
    <m/>
    <m/>
    <n v="0"/>
    <m/>
    <m/>
  </r>
  <r>
    <n v="2265"/>
    <x v="28"/>
    <s v="Day"/>
    <x v="0"/>
    <n v="2000714121"/>
    <n v="1530"/>
    <n v="45"/>
    <n v="0"/>
    <s v="U31065"/>
    <s v="L1209"/>
    <x v="196"/>
    <m/>
    <m/>
    <m/>
    <n v="0"/>
    <m/>
    <m/>
  </r>
  <r>
    <n v="2266"/>
    <x v="28"/>
    <s v="Day"/>
    <x v="0"/>
    <n v="2000714219"/>
    <n v="800"/>
    <n v="100"/>
    <n v="0"/>
    <s v="U31065"/>
    <s v="L1193"/>
    <x v="21"/>
    <m/>
    <m/>
    <m/>
    <n v="0"/>
    <m/>
    <m/>
  </r>
  <r>
    <n v="2267"/>
    <x v="28"/>
    <s v="Day"/>
    <x v="0"/>
    <n v="2000714732"/>
    <n v="640"/>
    <n v="40"/>
    <n v="0"/>
    <s v="U31065"/>
    <s v="L1188"/>
    <x v="17"/>
    <m/>
    <m/>
    <m/>
    <n v="0"/>
    <m/>
    <m/>
  </r>
  <r>
    <n v="2268"/>
    <x v="28"/>
    <s v="Day"/>
    <x v="0"/>
    <n v="2000713178"/>
    <n v="500"/>
    <n v="46"/>
    <n v="0"/>
    <s v="U31065"/>
    <s v="L1193"/>
    <x v="192"/>
    <m/>
    <m/>
    <m/>
    <n v="0"/>
    <m/>
    <m/>
  </r>
  <r>
    <n v="2269"/>
    <x v="28"/>
    <s v="Day"/>
    <x v="0"/>
    <n v="2000715064"/>
    <n v="800"/>
    <n v="100"/>
    <n v="0"/>
    <s v="U30119"/>
    <s v="L1174/75"/>
    <x v="62"/>
    <m/>
    <m/>
    <m/>
    <n v="0"/>
    <m/>
    <m/>
  </r>
  <r>
    <n v="2270"/>
    <x v="28"/>
    <s v="Day"/>
    <x v="0"/>
    <n v="2000714121"/>
    <n v="1530"/>
    <n v="135"/>
    <n v="0"/>
    <s v="U36008"/>
    <s v="L1209/1210"/>
    <x v="196"/>
    <m/>
    <m/>
    <m/>
    <n v="0"/>
    <m/>
    <m/>
  </r>
  <r>
    <n v="2271"/>
    <x v="28"/>
    <s v="Day"/>
    <x v="0"/>
    <n v="2000714722"/>
    <n v="810"/>
    <n v="90"/>
    <n v="0"/>
    <s v="U36008"/>
    <s v="L1170/1171"/>
    <x v="45"/>
    <m/>
    <m/>
    <m/>
    <n v="0"/>
    <m/>
    <m/>
  </r>
  <r>
    <n v="2272"/>
    <x v="28"/>
    <s v="Day"/>
    <x v="0"/>
    <n v="2000714732"/>
    <n v="640"/>
    <n v="320"/>
    <n v="0"/>
    <s v="U27724"/>
    <s v="T765"/>
    <x v="17"/>
    <m/>
    <m/>
    <m/>
    <n v="0"/>
    <m/>
    <m/>
  </r>
  <r>
    <n v="2273"/>
    <x v="28"/>
    <s v="Day"/>
    <x v="0"/>
    <n v="2000715331"/>
    <n v="200"/>
    <n v="54"/>
    <n v="0"/>
    <s v="U27724"/>
    <s v="T765"/>
    <x v="212"/>
    <m/>
    <m/>
    <m/>
    <n v="0"/>
    <m/>
    <m/>
  </r>
  <r>
    <n v="2274"/>
    <x v="28"/>
    <s v="Day"/>
    <x v="0"/>
    <n v="2000714219"/>
    <n v="800"/>
    <n v="30"/>
    <n v="0"/>
    <s v="U27724"/>
    <s v="L1193"/>
    <x v="21"/>
    <m/>
    <m/>
    <m/>
    <n v="0"/>
    <m/>
    <m/>
  </r>
  <r>
    <n v="2275"/>
    <x v="28"/>
    <s v="Day"/>
    <x v="0"/>
    <n v="2000715232"/>
    <n v="1600"/>
    <n v="150"/>
    <n v="0"/>
    <s v="U27724"/>
    <s v="L1077"/>
    <x v="10"/>
    <m/>
    <m/>
    <m/>
    <n v="0"/>
    <m/>
    <m/>
  </r>
  <r>
    <n v="2276"/>
    <x v="28"/>
    <s v="Day"/>
    <x v="0"/>
    <n v="2000715085"/>
    <n v="2180"/>
    <n v="150"/>
    <n v="0"/>
    <s v="U27724"/>
    <s v="L1146/47"/>
    <x v="13"/>
    <m/>
    <m/>
    <m/>
    <n v="0"/>
    <m/>
    <m/>
  </r>
  <r>
    <n v="2277"/>
    <x v="28"/>
    <s v="Day"/>
    <x v="0"/>
    <n v="2000714121"/>
    <n v="1530"/>
    <n v="45"/>
    <n v="0"/>
    <s v="U23987"/>
    <s v="L1209/10"/>
    <x v="196"/>
    <m/>
    <m/>
    <m/>
    <n v="0"/>
    <m/>
    <m/>
  </r>
  <r>
    <n v="2278"/>
    <x v="28"/>
    <s v="Day"/>
    <x v="0"/>
    <n v="2000714722"/>
    <n v="810"/>
    <n v="463"/>
    <n v="0"/>
    <s v="U23987"/>
    <s v="L1170/71"/>
    <x v="45"/>
    <m/>
    <m/>
    <m/>
    <n v="0"/>
    <m/>
    <m/>
  </r>
  <r>
    <n v="2279"/>
    <x v="28"/>
    <s v="Day"/>
    <x v="0"/>
    <n v="2000713522"/>
    <n v="4210"/>
    <n v="80"/>
    <n v="0"/>
    <s v="U23987"/>
    <s v="T515"/>
    <x v="15"/>
    <m/>
    <m/>
    <m/>
    <n v="0"/>
    <m/>
    <m/>
  </r>
  <r>
    <n v="2280"/>
    <x v="28"/>
    <s v="Day"/>
    <x v="0"/>
    <n v="2000714732"/>
    <n v="640"/>
    <n v="77"/>
    <n v="0"/>
    <s v="U09854"/>
    <s v="T765"/>
    <x v="17"/>
    <m/>
    <m/>
    <m/>
    <n v="0"/>
    <m/>
    <m/>
  </r>
  <r>
    <n v="2281"/>
    <x v="28"/>
    <s v="Day"/>
    <x v="0"/>
    <n v="2000714219"/>
    <n v="800"/>
    <n v="60"/>
    <n v="0"/>
    <s v="U09854"/>
    <s v="L1193"/>
    <x v="21"/>
    <m/>
    <m/>
    <m/>
    <n v="0"/>
    <m/>
    <m/>
  </r>
  <r>
    <n v="2282"/>
    <x v="28"/>
    <s v="Day"/>
    <x v="0"/>
    <n v="2000713178"/>
    <n v="500"/>
    <n v="20"/>
    <n v="0"/>
    <s v="U09854"/>
    <s v="L1193"/>
    <x v="192"/>
    <m/>
    <m/>
    <m/>
    <n v="0"/>
    <m/>
    <m/>
  </r>
  <r>
    <n v="2283"/>
    <x v="28"/>
    <s v="Day"/>
    <x v="0"/>
    <n v="2000713551"/>
    <n v="206"/>
    <n v="1"/>
    <n v="0"/>
    <s v="U09854"/>
    <s v="L1151/52"/>
    <x v="154"/>
    <m/>
    <m/>
    <m/>
    <n v="0"/>
    <m/>
    <m/>
  </r>
  <r>
    <n v="2284"/>
    <x v="28"/>
    <s v="Day"/>
    <x v="0"/>
    <n v="2000715196"/>
    <n v="6600"/>
    <n v="150"/>
    <n v="0"/>
    <s v="U09854"/>
    <s v="L1112/113"/>
    <x v="75"/>
    <m/>
    <m/>
    <m/>
    <n v="0"/>
    <m/>
    <m/>
  </r>
  <r>
    <n v="2285"/>
    <x v="28"/>
    <s v="Day"/>
    <x v="0"/>
    <n v="2000715233"/>
    <n v="1600"/>
    <n v="150"/>
    <n v="0"/>
    <s v="U09854"/>
    <s v="L1077"/>
    <x v="33"/>
    <m/>
    <m/>
    <m/>
    <n v="0"/>
    <m/>
    <m/>
  </r>
  <r>
    <n v="2286"/>
    <x v="28"/>
    <s v="Day"/>
    <x v="1"/>
    <n v="2000714911"/>
    <n v="140"/>
    <n v="35"/>
    <n v="0"/>
    <s v="U31065"/>
    <s v="SHAKS"/>
    <x v="187"/>
    <m/>
    <m/>
    <m/>
    <n v="0"/>
    <m/>
    <m/>
  </r>
  <r>
    <n v="2287"/>
    <x v="28"/>
    <s v="Day"/>
    <x v="1"/>
    <n v="2000713666"/>
    <n v="620"/>
    <n v="620"/>
    <n v="0"/>
    <s v="U31065"/>
    <s v="LVHV"/>
    <x v="29"/>
    <m/>
    <m/>
    <m/>
    <n v="0"/>
    <m/>
    <m/>
  </r>
  <r>
    <n v="2288"/>
    <x v="29"/>
    <s v="Day"/>
    <x v="0"/>
    <n v="2000714130"/>
    <n v="920"/>
    <n v="8"/>
    <n v="0"/>
    <s v="U32991"/>
    <s v="L1151/52"/>
    <x v="85"/>
    <m/>
    <m/>
    <m/>
    <n v="0"/>
    <m/>
    <m/>
  </r>
  <r>
    <n v="2289"/>
    <x v="29"/>
    <s v="Day"/>
    <x v="0"/>
    <n v="2000715236"/>
    <n v="1600"/>
    <n v="240"/>
    <n v="0"/>
    <s v="U32991"/>
    <s v="L1077"/>
    <x v="2"/>
    <m/>
    <m/>
    <m/>
    <n v="0"/>
    <m/>
    <m/>
  </r>
  <r>
    <n v="2290"/>
    <x v="29"/>
    <s v="Day"/>
    <x v="0"/>
    <n v="2000714807"/>
    <n v="140"/>
    <n v="139"/>
    <n v="0"/>
    <s v="U32991"/>
    <s v="L1144"/>
    <x v="58"/>
    <m/>
    <m/>
    <m/>
    <n v="0"/>
    <m/>
    <m/>
  </r>
  <r>
    <n v="2291"/>
    <x v="29"/>
    <s v="Day"/>
    <x v="0"/>
    <n v="2000715176"/>
    <n v="1390"/>
    <n v="60"/>
    <n v="0"/>
    <s v="U32991"/>
    <s v="L1147"/>
    <x v="101"/>
    <m/>
    <m/>
    <m/>
    <n v="0"/>
    <m/>
    <m/>
  </r>
  <r>
    <n v="2292"/>
    <x v="29"/>
    <s v="Day"/>
    <x v="0"/>
    <n v="2000715712"/>
    <n v="1220"/>
    <n v="40"/>
    <n v="0"/>
    <s v="U32991"/>
    <s v="L1172-73"/>
    <x v="19"/>
    <m/>
    <m/>
    <m/>
    <n v="0"/>
    <m/>
    <m/>
  </r>
  <r>
    <n v="2293"/>
    <x v="29"/>
    <s v="Day"/>
    <x v="0"/>
    <n v="2000715388"/>
    <n v="900"/>
    <n v="20"/>
    <n v="0"/>
    <s v="U31065"/>
    <s v="L1172"/>
    <x v="19"/>
    <m/>
    <m/>
    <m/>
    <n v="0"/>
    <m/>
    <m/>
  </r>
  <r>
    <n v="2294"/>
    <x v="29"/>
    <s v="Day"/>
    <x v="0"/>
    <n v="2000715712"/>
    <n v="1220"/>
    <n v="140"/>
    <n v="0"/>
    <s v="U31065"/>
    <s v="L1172"/>
    <x v="19"/>
    <m/>
    <m/>
    <m/>
    <n v="0"/>
    <m/>
    <m/>
  </r>
  <r>
    <n v="2295"/>
    <x v="29"/>
    <s v="Day"/>
    <x v="0"/>
    <n v="2000715236"/>
    <n v="1600"/>
    <n v="160"/>
    <n v="0"/>
    <s v="U31065"/>
    <s v="L1177"/>
    <x v="2"/>
    <m/>
    <m/>
    <m/>
    <n v="0"/>
    <m/>
    <m/>
  </r>
  <r>
    <n v="2296"/>
    <x v="29"/>
    <s v="Day"/>
    <x v="0"/>
    <n v="2000715419"/>
    <n v="1600"/>
    <n v="160"/>
    <n v="0"/>
    <s v="U31065"/>
    <s v="L1177"/>
    <x v="2"/>
    <m/>
    <m/>
    <m/>
    <n v="0"/>
    <m/>
    <m/>
  </r>
  <r>
    <n v="2297"/>
    <x v="29"/>
    <s v="Day"/>
    <x v="0"/>
    <n v="2000715572"/>
    <n v="680"/>
    <n v="424"/>
    <n v="0"/>
    <s v="U30119"/>
    <s v="L1145"/>
    <x v="39"/>
    <m/>
    <m/>
    <m/>
    <n v="0"/>
    <m/>
    <m/>
  </r>
  <r>
    <n v="2298"/>
    <x v="29"/>
    <s v="Day"/>
    <x v="0"/>
    <n v="2000715419"/>
    <n v="1600"/>
    <n v="60"/>
    <n v="0"/>
    <s v="U30119"/>
    <s v="L1107"/>
    <x v="2"/>
    <m/>
    <m/>
    <m/>
    <n v="0"/>
    <m/>
    <m/>
  </r>
  <r>
    <n v="2299"/>
    <x v="29"/>
    <s v="Day"/>
    <x v="0"/>
    <n v="2000715176"/>
    <n v="1390"/>
    <n v="140"/>
    <n v="0"/>
    <s v="U30119"/>
    <s v="L1147"/>
    <x v="101"/>
    <m/>
    <m/>
    <m/>
    <n v="0"/>
    <m/>
    <m/>
  </r>
  <r>
    <n v="2300"/>
    <x v="29"/>
    <s v="Day"/>
    <x v="0"/>
    <n v="2000714573"/>
    <n v="1776"/>
    <n v="224"/>
    <n v="0"/>
    <s v="U27723"/>
    <s v="L1193"/>
    <x v="119"/>
    <m/>
    <m/>
    <m/>
    <n v="0"/>
    <m/>
    <m/>
  </r>
  <r>
    <n v="2301"/>
    <x v="29"/>
    <s v="Day"/>
    <x v="0"/>
    <n v="2000715572"/>
    <n v="680"/>
    <n v="220"/>
    <n v="0"/>
    <s v="U27723"/>
    <s v="L1145"/>
    <x v="39"/>
    <m/>
    <m/>
    <m/>
    <n v="0"/>
    <m/>
    <m/>
  </r>
  <r>
    <n v="2302"/>
    <x v="29"/>
    <s v="Day"/>
    <x v="0"/>
    <n v="2000714681"/>
    <n v="5360"/>
    <n v="320"/>
    <n v="0"/>
    <s v="U27723"/>
    <s v="L1112/113"/>
    <x v="8"/>
    <m/>
    <m/>
    <m/>
    <n v="0"/>
    <m/>
    <m/>
  </r>
  <r>
    <n v="2303"/>
    <x v="29"/>
    <s v="Day"/>
    <x v="0"/>
    <n v="2000714681"/>
    <n v="5360"/>
    <n v="200"/>
    <n v="0"/>
    <s v="U27723"/>
    <s v="L1112/113"/>
    <x v="8"/>
    <m/>
    <m/>
    <m/>
    <n v="0"/>
    <m/>
    <m/>
  </r>
  <r>
    <n v="2304"/>
    <x v="29"/>
    <s v="Day"/>
    <x v="0"/>
    <n v="2000713862"/>
    <n v="2640"/>
    <n v="180"/>
    <n v="0"/>
    <s v="U18660"/>
    <s v="L1193"/>
    <x v="30"/>
    <m/>
    <m/>
    <m/>
    <n v="0"/>
    <m/>
    <m/>
  </r>
  <r>
    <n v="2305"/>
    <x v="29"/>
    <s v="Day"/>
    <x v="0"/>
    <n v="2000714677"/>
    <n v="190"/>
    <n v="190"/>
    <n v="0"/>
    <s v="U18660"/>
    <s v="L1193"/>
    <x v="21"/>
    <m/>
    <m/>
    <m/>
    <n v="0"/>
    <m/>
    <m/>
  </r>
  <r>
    <n v="2306"/>
    <x v="29"/>
    <s v="Day"/>
    <x v="0"/>
    <n v="2000714527"/>
    <n v="2100"/>
    <n v="30"/>
    <n v="0"/>
    <s v="U18660"/>
    <s v="L1172/73"/>
    <x v="18"/>
    <m/>
    <m/>
    <m/>
    <n v="0"/>
    <m/>
    <m/>
  </r>
  <r>
    <n v="2307"/>
    <x v="29"/>
    <s v="Day"/>
    <x v="0"/>
    <n v="2000712447"/>
    <n v="882"/>
    <n v="406"/>
    <n v="0"/>
    <s v="U27724"/>
    <s v="L1151/52"/>
    <x v="173"/>
    <m/>
    <m/>
    <m/>
    <n v="0"/>
    <m/>
    <m/>
  </r>
  <r>
    <n v="2308"/>
    <x v="29"/>
    <s v="Day"/>
    <x v="0"/>
    <n v="2000715388"/>
    <n v="900"/>
    <n v="20"/>
    <n v="0"/>
    <s v="U27724"/>
    <s v="L1172/73"/>
    <x v="19"/>
    <m/>
    <m/>
    <m/>
    <n v="0"/>
    <m/>
    <m/>
  </r>
  <r>
    <n v="2309"/>
    <x v="29"/>
    <s v="Day"/>
    <x v="0"/>
    <n v="2000715712"/>
    <n v="1220"/>
    <n v="600"/>
    <n v="0"/>
    <s v="U27724"/>
    <s v="L1172/73"/>
    <x v="19"/>
    <m/>
    <m/>
    <m/>
    <n v="0"/>
    <m/>
    <m/>
  </r>
  <r>
    <n v="2310"/>
    <x v="29"/>
    <s v="Day"/>
    <x v="0"/>
    <n v="2000713862"/>
    <n v="2640"/>
    <n v="132"/>
    <n v="0"/>
    <s v="U23987"/>
    <s v="L1193"/>
    <x v="30"/>
    <m/>
    <m/>
    <m/>
    <n v="0"/>
    <m/>
    <m/>
  </r>
  <r>
    <n v="2311"/>
    <x v="29"/>
    <s v="Day"/>
    <x v="0"/>
    <n v="2000715236"/>
    <n v="1600"/>
    <n v="80"/>
    <n v="0"/>
    <s v="U23987"/>
    <s v="L1077"/>
    <x v="2"/>
    <m/>
    <m/>
    <m/>
    <n v="0"/>
    <m/>
    <m/>
  </r>
  <r>
    <n v="2312"/>
    <x v="29"/>
    <s v="Day"/>
    <x v="0"/>
    <n v="2000715419"/>
    <n v="1600"/>
    <n v="100"/>
    <n v="0"/>
    <s v="U23987"/>
    <s v="L1077"/>
    <x v="2"/>
    <m/>
    <m/>
    <m/>
    <n v="0"/>
    <m/>
    <m/>
  </r>
  <r>
    <n v="2313"/>
    <x v="29"/>
    <s v="Day"/>
    <x v="0"/>
    <n v="2000713862"/>
    <n v="2640"/>
    <n v="60"/>
    <n v="0"/>
    <s v="U15759"/>
    <s v="L1193/94"/>
    <x v="30"/>
    <m/>
    <m/>
    <m/>
    <n v="0"/>
    <m/>
    <m/>
  </r>
  <r>
    <n v="2314"/>
    <x v="29"/>
    <s v="Day"/>
    <x v="0"/>
    <n v="2000714722"/>
    <n v="810"/>
    <n v="135"/>
    <n v="1"/>
    <s v="U15759"/>
    <s v="L1170/71"/>
    <x v="45"/>
    <s v="Bong, vỡ linh kiện"/>
    <s v="C2332 BONG LINH KIỆN"/>
    <s v="C2332"/>
    <n v="1"/>
    <s v="\\vn-file\QC Department\4.OQC\00. OQC Performance\03. Images\01. NG\20210302-NG-1310714722.jpg"/>
    <m/>
  </r>
  <r>
    <n v="2315"/>
    <x v="29"/>
    <s v="Day"/>
    <x v="0"/>
    <n v="2000714727"/>
    <n v="850"/>
    <n v="155"/>
    <n v="0"/>
    <s v="U15759"/>
    <s v="L1170/71"/>
    <x v="45"/>
    <m/>
    <m/>
    <m/>
    <n v="0"/>
    <m/>
    <m/>
  </r>
  <r>
    <n v="2316"/>
    <x v="29"/>
    <s v="Day"/>
    <x v="0"/>
    <n v="2000714219"/>
    <n v="800"/>
    <n v="30"/>
    <n v="0"/>
    <s v="U15759"/>
    <s v="L1193-94"/>
    <x v="21"/>
    <m/>
    <m/>
    <m/>
    <n v="0"/>
    <m/>
    <m/>
  </r>
  <r>
    <n v="2317"/>
    <x v="29"/>
    <s v="Day"/>
    <x v="0"/>
    <n v="2000714721"/>
    <n v="720"/>
    <n v="225"/>
    <n v="0"/>
    <s v="U15759"/>
    <s v="L1188/89"/>
    <x v="109"/>
    <m/>
    <m/>
    <m/>
    <n v="0"/>
    <m/>
    <m/>
  </r>
  <r>
    <n v="2318"/>
    <x v="29"/>
    <s v="Day"/>
    <x v="0"/>
    <n v="2000714722"/>
    <n v="810"/>
    <n v="90"/>
    <n v="0"/>
    <s v="U29686"/>
    <s v="L1170/71"/>
    <x v="45"/>
    <m/>
    <m/>
    <m/>
    <n v="0"/>
    <m/>
    <m/>
  </r>
  <r>
    <n v="2319"/>
    <x v="29"/>
    <s v="Day"/>
    <x v="0"/>
    <n v="2000715083"/>
    <n v="2180"/>
    <n v="500"/>
    <n v="0"/>
    <s v="U03968"/>
    <s v="L1146"/>
    <x v="92"/>
    <m/>
    <m/>
    <m/>
    <n v="0"/>
    <m/>
    <m/>
  </r>
  <r>
    <n v="2320"/>
    <x v="29"/>
    <s v="Day"/>
    <x v="0"/>
    <n v="2000714681"/>
    <n v="5360"/>
    <n v="280"/>
    <n v="0"/>
    <s v="U03968"/>
    <s v="L1112"/>
    <x v="8"/>
    <m/>
    <m/>
    <m/>
    <n v="0"/>
    <m/>
    <m/>
  </r>
  <r>
    <n v="2321"/>
    <x v="29"/>
    <s v="Day"/>
    <x v="0"/>
    <n v="2000715196"/>
    <n v="6600"/>
    <n v="1200"/>
    <n v="0"/>
    <s v="U03968"/>
    <s v="L1112"/>
    <x v="75"/>
    <m/>
    <m/>
    <m/>
    <n v="0"/>
    <m/>
    <m/>
  </r>
  <r>
    <n v="2322"/>
    <x v="29"/>
    <s v="Day"/>
    <x v="0"/>
    <n v="2000714572"/>
    <n v="300"/>
    <n v="96"/>
    <n v="0"/>
    <s v="U30840"/>
    <s v="L1172/73"/>
    <x v="175"/>
    <m/>
    <m/>
    <m/>
    <n v="0"/>
    <m/>
    <m/>
  </r>
  <r>
    <n v="2323"/>
    <x v="29"/>
    <s v="Day"/>
    <x v="0"/>
    <n v="2000714527"/>
    <n v="2100"/>
    <n v="450"/>
    <n v="0"/>
    <s v="U30840"/>
    <s v="L1172/73"/>
    <x v="18"/>
    <m/>
    <m/>
    <m/>
    <n v="0"/>
    <m/>
    <m/>
  </r>
  <r>
    <n v="2324"/>
    <x v="29"/>
    <s v="Day"/>
    <x v="0"/>
    <n v="2000714721"/>
    <n v="720"/>
    <n v="90"/>
    <n v="0"/>
    <s v="U30840"/>
    <s v="L1188/89"/>
    <x v="109"/>
    <m/>
    <m/>
    <m/>
    <n v="0"/>
    <m/>
    <m/>
  </r>
  <r>
    <n v="2325"/>
    <x v="29"/>
    <s v="Day"/>
    <x v="0"/>
    <n v="2000712819"/>
    <n v="600"/>
    <n v="147"/>
    <n v="0"/>
    <s v="U9854"/>
    <s v="L1172/73"/>
    <x v="165"/>
    <m/>
    <m/>
    <m/>
    <n v="0"/>
    <m/>
    <m/>
  </r>
  <r>
    <n v="2326"/>
    <x v="29"/>
    <s v="Day"/>
    <x v="0"/>
    <n v="2000714527"/>
    <n v="2100"/>
    <n v="60"/>
    <n v="0"/>
    <s v="U9854"/>
    <s v="L1172/73"/>
    <x v="18"/>
    <m/>
    <m/>
    <m/>
    <n v="0"/>
    <m/>
    <m/>
  </r>
  <r>
    <n v="2327"/>
    <x v="29"/>
    <s v="Day"/>
    <x v="0"/>
    <n v="2000714130"/>
    <n v="920"/>
    <n v="320"/>
    <n v="0"/>
    <s v="U9854"/>
    <s v="L1151"/>
    <x v="85"/>
    <m/>
    <m/>
    <m/>
    <n v="0"/>
    <m/>
    <m/>
  </r>
  <r>
    <n v="2328"/>
    <x v="29"/>
    <s v="Day"/>
    <x v="0"/>
    <n v="2000715579"/>
    <n v="240"/>
    <n v="80"/>
    <n v="0"/>
    <s v="U9854"/>
    <s v="L1188/89"/>
    <x v="95"/>
    <m/>
    <m/>
    <m/>
    <n v="0"/>
    <m/>
    <m/>
  </r>
  <r>
    <n v="2329"/>
    <x v="29"/>
    <s v="Day"/>
    <x v="0"/>
    <n v="2000715176"/>
    <n v="1390"/>
    <n v="80"/>
    <n v="0"/>
    <s v="U9854"/>
    <s v="L1147"/>
    <x v="101"/>
    <m/>
    <m/>
    <m/>
    <n v="0"/>
    <m/>
    <m/>
  </r>
  <r>
    <n v="2330"/>
    <x v="30"/>
    <s v="Day"/>
    <x v="1"/>
    <n v="2000715375"/>
    <n v="180"/>
    <n v="90"/>
    <n v="0"/>
    <s v="U30119"/>
    <s v="BOIUTO"/>
    <x v="111"/>
    <m/>
    <m/>
    <m/>
    <n v="0"/>
    <m/>
    <m/>
  </r>
  <r>
    <n v="2331"/>
    <x v="30"/>
    <s v="Day"/>
    <x v="1"/>
    <n v="2000714436"/>
    <n v="700"/>
    <n v="160"/>
    <n v="0"/>
    <s v="U30119"/>
    <s v="PSLV"/>
    <x v="49"/>
    <m/>
    <m/>
    <m/>
    <n v="0"/>
    <m/>
    <m/>
  </r>
  <r>
    <n v="2332"/>
    <x v="30"/>
    <s v="Day"/>
    <x v="1"/>
    <n v="2000715363"/>
    <n v="700"/>
    <n v="130"/>
    <n v="0"/>
    <s v="U30119"/>
    <s v="PSLV"/>
    <x v="26"/>
    <m/>
    <m/>
    <m/>
    <n v="0"/>
    <m/>
    <m/>
  </r>
  <r>
    <n v="2333"/>
    <x v="30"/>
    <s v="Day"/>
    <x v="1"/>
    <n v="2000714910"/>
    <n v="1600"/>
    <n v="160"/>
    <n v="0"/>
    <s v="U30119"/>
    <s v="SHANKS"/>
    <x v="67"/>
    <m/>
    <m/>
    <m/>
    <n v="0"/>
    <m/>
    <m/>
  </r>
  <r>
    <n v="2334"/>
    <x v="30"/>
    <s v="Day"/>
    <x v="1"/>
    <n v="2000715364"/>
    <n v="800"/>
    <n v="440"/>
    <n v="0"/>
    <s v="U30119"/>
    <s v="SHNKS"/>
    <x v="67"/>
    <m/>
    <m/>
    <m/>
    <n v="0"/>
    <m/>
    <m/>
  </r>
  <r>
    <n v="2335"/>
    <x v="30"/>
    <s v="Day"/>
    <x v="1"/>
    <n v="2000715375"/>
    <n v="180"/>
    <n v="42"/>
    <n v="0"/>
    <s v="U15759"/>
    <s v="BORUTO"/>
    <x v="111"/>
    <m/>
    <m/>
    <m/>
    <n v="0"/>
    <m/>
    <m/>
  </r>
  <r>
    <n v="2336"/>
    <x v="30"/>
    <s v="Day"/>
    <x v="1"/>
    <n v="2000714436"/>
    <n v="700"/>
    <n v="133"/>
    <n v="0"/>
    <s v="U15759"/>
    <s v="PSLV"/>
    <x v="49"/>
    <m/>
    <m/>
    <m/>
    <n v="0"/>
    <m/>
    <m/>
  </r>
  <r>
    <n v="2337"/>
    <x v="30"/>
    <s v="Day"/>
    <x v="1"/>
    <n v="2000715363"/>
    <n v="700"/>
    <n v="70"/>
    <n v="0"/>
    <s v="U15759"/>
    <s v="PSLV"/>
    <x v="26"/>
    <m/>
    <m/>
    <m/>
    <n v="0"/>
    <m/>
    <m/>
  </r>
  <r>
    <n v="2338"/>
    <x v="30"/>
    <s v="Day"/>
    <x v="1"/>
    <n v="2000714914"/>
    <n v="96"/>
    <n v="10"/>
    <n v="0"/>
    <s v="U15759"/>
    <s v="PSLV"/>
    <x v="79"/>
    <m/>
    <m/>
    <m/>
    <n v="0"/>
    <m/>
    <m/>
  </r>
  <r>
    <n v="2339"/>
    <x v="30"/>
    <s v="Day"/>
    <x v="1"/>
    <n v="2000715364"/>
    <n v="800"/>
    <n v="180"/>
    <n v="0"/>
    <s v="U15759"/>
    <s v="SHANKS"/>
    <x v="67"/>
    <m/>
    <m/>
    <m/>
    <n v="0"/>
    <m/>
    <m/>
  </r>
  <r>
    <n v="2340"/>
    <x v="30"/>
    <s v="Day"/>
    <x v="0"/>
    <n v="2000715419"/>
    <n v="1600"/>
    <n v="240"/>
    <n v="0"/>
    <s v="U31065"/>
    <s v="L1177"/>
    <x v="2"/>
    <m/>
    <m/>
    <m/>
    <n v="0"/>
    <m/>
    <m/>
  </r>
  <r>
    <n v="2341"/>
    <x v="30"/>
    <s v="Day"/>
    <x v="0"/>
    <n v="2000715190"/>
    <n v="380"/>
    <n v="60"/>
    <n v="0"/>
    <s v="U31065"/>
    <s v="L1194"/>
    <x v="116"/>
    <m/>
    <m/>
    <m/>
    <n v="0"/>
    <m/>
    <m/>
  </r>
  <r>
    <n v="2342"/>
    <x v="30"/>
    <s v="Day"/>
    <x v="0"/>
    <n v="2000714527"/>
    <n v="2100"/>
    <n v="150"/>
    <n v="0"/>
    <s v="U31065"/>
    <s v="L1172"/>
    <x v="18"/>
    <m/>
    <m/>
    <m/>
    <n v="0"/>
    <m/>
    <m/>
  </r>
  <r>
    <n v="2343"/>
    <x v="30"/>
    <s v="Day"/>
    <x v="0"/>
    <n v="2000714699"/>
    <n v="1000"/>
    <n v="120"/>
    <n v="0"/>
    <s v="U31065"/>
    <s v="L1172"/>
    <x v="18"/>
    <m/>
    <m/>
    <m/>
    <n v="0"/>
    <m/>
    <m/>
  </r>
  <r>
    <n v="2344"/>
    <x v="30"/>
    <s v="Day"/>
    <x v="0"/>
    <n v="2000714684"/>
    <n v="3600"/>
    <n v="600"/>
    <n v="0"/>
    <s v="U15759"/>
    <s v="L1172/73"/>
    <x v="7"/>
    <m/>
    <m/>
    <m/>
    <n v="0"/>
    <m/>
    <m/>
  </r>
  <r>
    <n v="2345"/>
    <x v="30"/>
    <s v="Day"/>
    <x v="0"/>
    <n v="2000714573"/>
    <n v="1776"/>
    <n v="176"/>
    <n v="0"/>
    <s v="U15759"/>
    <s v="L1193/94"/>
    <x v="119"/>
    <m/>
    <m/>
    <m/>
    <n v="0"/>
    <m/>
    <m/>
  </r>
  <r>
    <n v="2346"/>
    <x v="30"/>
    <s v="Day"/>
    <x v="0"/>
    <n v="2000715235"/>
    <n v="1600"/>
    <n v="160"/>
    <n v="0"/>
    <s v="U15759"/>
    <s v="L1077"/>
    <x v="36"/>
    <m/>
    <m/>
    <m/>
    <n v="0"/>
    <m/>
    <m/>
  </r>
  <r>
    <n v="2347"/>
    <x v="30"/>
    <s v="Day"/>
    <x v="0"/>
    <n v="2000713522"/>
    <n v="4210"/>
    <n v="720"/>
    <n v="0"/>
    <s v="U03968"/>
    <s v="T515"/>
    <x v="15"/>
    <m/>
    <m/>
    <m/>
    <n v="0"/>
    <m/>
    <m/>
  </r>
  <r>
    <n v="2348"/>
    <x v="30"/>
    <s v="Day"/>
    <x v="0"/>
    <n v="2000715235"/>
    <n v="1600"/>
    <n v="280"/>
    <n v="0"/>
    <s v="U03968"/>
    <s v="L1077"/>
    <x v="36"/>
    <m/>
    <m/>
    <m/>
    <n v="0"/>
    <m/>
    <m/>
  </r>
  <r>
    <n v="2349"/>
    <x v="30"/>
    <s v="Day"/>
    <x v="0"/>
    <n v="2000714829"/>
    <n v="1650"/>
    <n v="699"/>
    <n v="0"/>
    <s v="U03968"/>
    <s v="L1077"/>
    <x v="6"/>
    <m/>
    <m/>
    <m/>
    <n v="0"/>
    <m/>
    <m/>
  </r>
  <r>
    <n v="2350"/>
    <x v="30"/>
    <s v="Day"/>
    <x v="0"/>
    <n v="2000715196"/>
    <n v="6600"/>
    <n v="750"/>
    <n v="0"/>
    <s v="U03968"/>
    <s v="L1112"/>
    <x v="75"/>
    <m/>
    <m/>
    <m/>
    <n v="0"/>
    <m/>
    <m/>
  </r>
  <r>
    <n v="2351"/>
    <x v="30"/>
    <s v="Day"/>
    <x v="0"/>
    <n v="2000714573"/>
    <n v="1776"/>
    <n v="400"/>
    <n v="0"/>
    <s v="U03968"/>
    <s v="L1193"/>
    <x v="119"/>
    <m/>
    <m/>
    <m/>
    <n v="0"/>
    <m/>
    <m/>
  </r>
  <r>
    <n v="2352"/>
    <x v="30"/>
    <s v="Day"/>
    <x v="0"/>
    <n v="2000714219"/>
    <n v="800"/>
    <n v="154"/>
    <n v="0"/>
    <s v="U18660"/>
    <s v="L1193/94"/>
    <x v="21"/>
    <m/>
    <m/>
    <m/>
    <n v="0"/>
    <m/>
    <m/>
  </r>
  <r>
    <n v="2353"/>
    <x v="30"/>
    <s v="Day"/>
    <x v="0"/>
    <n v="2000715190"/>
    <n v="380"/>
    <n v="284"/>
    <n v="0"/>
    <s v="U18660"/>
    <s v="L1193/94"/>
    <x v="116"/>
    <m/>
    <m/>
    <m/>
    <n v="0"/>
    <m/>
    <m/>
  </r>
  <r>
    <n v="2354"/>
    <x v="30"/>
    <s v="Day"/>
    <x v="0"/>
    <n v="2000715418"/>
    <n v="1600"/>
    <n v="200"/>
    <n v="0"/>
    <s v="U18660"/>
    <s v="L1077"/>
    <x v="36"/>
    <m/>
    <m/>
    <m/>
    <n v="0"/>
    <m/>
    <m/>
  </r>
  <r>
    <n v="2355"/>
    <x v="30"/>
    <s v="Day"/>
    <x v="0"/>
    <n v="2000715232"/>
    <n v="1600"/>
    <n v="181"/>
    <n v="0"/>
    <s v="U18660"/>
    <s v="L1077"/>
    <x v="10"/>
    <m/>
    <m/>
    <m/>
    <n v="0"/>
    <m/>
    <m/>
  </r>
  <r>
    <n v="2356"/>
    <x v="30"/>
    <s v="Day"/>
    <x v="0"/>
    <n v="2000715175"/>
    <n v="900"/>
    <n v="80"/>
    <n v="0"/>
    <s v="U18660"/>
    <s v="L1144/47"/>
    <x v="120"/>
    <m/>
    <m/>
    <m/>
    <n v="0"/>
    <m/>
    <m/>
  </r>
  <r>
    <n v="2357"/>
    <x v="30"/>
    <s v="Day"/>
    <x v="0"/>
    <n v="2000715579"/>
    <n v="240"/>
    <n v="80"/>
    <n v="0"/>
    <s v="U30840"/>
    <s v="L1188/89"/>
    <x v="95"/>
    <m/>
    <m/>
    <m/>
    <n v="0"/>
    <m/>
    <m/>
  </r>
  <r>
    <n v="2358"/>
    <x v="30"/>
    <s v="Day"/>
    <x v="0"/>
    <n v="2000714527"/>
    <n v="2100"/>
    <n v="270"/>
    <n v="0"/>
    <s v="U30840"/>
    <s v="L1172/73"/>
    <x v="18"/>
    <m/>
    <m/>
    <m/>
    <n v="0"/>
    <m/>
    <m/>
  </r>
  <r>
    <n v="2359"/>
    <x v="30"/>
    <s v="Day"/>
    <x v="0"/>
    <n v="2000714699"/>
    <n v="1000"/>
    <n v="180"/>
    <n v="0"/>
    <s v="U30840"/>
    <s v="L1172/73"/>
    <x v="18"/>
    <m/>
    <m/>
    <m/>
    <n v="0"/>
    <m/>
    <m/>
  </r>
  <r>
    <n v="2360"/>
    <x v="30"/>
    <s v="Day"/>
    <x v="0"/>
    <n v="2000715196"/>
    <n v="6600"/>
    <n v="450"/>
    <n v="0"/>
    <s v="U30840"/>
    <s v="L1112/13"/>
    <x v="75"/>
    <m/>
    <m/>
    <m/>
    <n v="0"/>
    <m/>
    <m/>
  </r>
  <r>
    <n v="2361"/>
    <x v="30"/>
    <s v="Day"/>
    <x v="0"/>
    <n v="2000713522"/>
    <n v="4210"/>
    <n v="360"/>
    <n v="0"/>
    <s v="U09749"/>
    <s v="T515"/>
    <x v="15"/>
    <m/>
    <m/>
    <m/>
    <n v="0"/>
    <m/>
    <m/>
  </r>
  <r>
    <n v="2362"/>
    <x v="30"/>
    <s v="Day"/>
    <x v="0"/>
    <n v="2000715235"/>
    <n v="1600"/>
    <n v="200"/>
    <n v="0"/>
    <s v="U09749"/>
    <s v="L1077"/>
    <x v="36"/>
    <m/>
    <m/>
    <m/>
    <n v="0"/>
    <m/>
    <m/>
  </r>
  <r>
    <n v="2363"/>
    <x v="30"/>
    <s v="Day"/>
    <x v="0"/>
    <n v="2000715579"/>
    <n v="240"/>
    <n v="80"/>
    <n v="0"/>
    <s v="U29686"/>
    <s v="L1188/89"/>
    <x v="95"/>
    <m/>
    <m/>
    <m/>
    <n v="0"/>
    <m/>
    <m/>
  </r>
  <r>
    <n v="2364"/>
    <x v="30"/>
    <s v="Day"/>
    <x v="0"/>
    <n v="2000715225"/>
    <n v="120"/>
    <n v="120"/>
    <n v="0"/>
    <s v="U29686"/>
    <s v="L1188/89"/>
    <x v="95"/>
    <m/>
    <m/>
    <m/>
    <n v="0"/>
    <m/>
    <m/>
  </r>
  <r>
    <n v="2365"/>
    <x v="30"/>
    <s v="Day"/>
    <x v="0"/>
    <n v="2000715226"/>
    <n v="320"/>
    <n v="319"/>
    <n v="0"/>
    <s v="U29686"/>
    <s v="L1188/89"/>
    <x v="130"/>
    <m/>
    <m/>
    <m/>
    <n v="0"/>
    <m/>
    <m/>
  </r>
  <r>
    <n v="2366"/>
    <x v="30"/>
    <s v="Day"/>
    <x v="0"/>
    <n v="2000714171"/>
    <n v="320"/>
    <n v="1"/>
    <n v="0"/>
    <s v="U29686"/>
    <s v="L1188/89"/>
    <x v="95"/>
    <m/>
    <m/>
    <m/>
    <n v="0"/>
    <m/>
    <m/>
  </r>
  <r>
    <n v="2367"/>
    <x v="30"/>
    <s v="Day"/>
    <x v="0"/>
    <n v="2000714699"/>
    <n v="1000"/>
    <n v="45"/>
    <n v="0"/>
    <s v="U29686"/>
    <s v="L1172/73"/>
    <x v="232"/>
    <m/>
    <m/>
    <m/>
    <n v="0"/>
    <m/>
    <m/>
  </r>
  <r>
    <n v="2373"/>
    <x v="30"/>
    <s v="Day"/>
    <x v="0"/>
    <n v="2000715176"/>
    <n v="1390"/>
    <n v="50"/>
    <n v="0"/>
    <s v="U27687"/>
    <s v="L1144/47"/>
    <x v="101"/>
    <m/>
    <m/>
    <m/>
    <n v="0"/>
    <m/>
    <m/>
  </r>
  <r>
    <n v="2374"/>
    <x v="30"/>
    <s v="Day"/>
    <x v="0"/>
    <n v="2000715419"/>
    <n v="1600"/>
    <n v="20"/>
    <n v="0"/>
    <s v="U27687"/>
    <s v="L1077"/>
    <x v="2"/>
    <m/>
    <m/>
    <m/>
    <n v="0"/>
    <m/>
    <m/>
  </r>
  <r>
    <n v="2375"/>
    <x v="30"/>
    <s v="Day"/>
    <x v="0"/>
    <n v="2000714527"/>
    <n v="2100"/>
    <n v="90"/>
    <n v="0"/>
    <s v="U27687"/>
    <s v="L1172/73"/>
    <x v="18"/>
    <m/>
    <m/>
    <m/>
    <n v="0"/>
    <m/>
    <m/>
  </r>
  <r>
    <n v="2376"/>
    <x v="30"/>
    <s v="Day"/>
    <x v="0"/>
    <n v="2000715418"/>
    <n v="1600"/>
    <n v="280"/>
    <n v="0"/>
    <s v="U27687"/>
    <s v="L1077"/>
    <x v="36"/>
    <m/>
    <m/>
    <m/>
    <n v="0"/>
    <m/>
    <m/>
  </r>
  <r>
    <n v="2377"/>
    <x v="30"/>
    <s v="Day"/>
    <x v="0"/>
    <n v="2000714699"/>
    <n v="1000"/>
    <n v="90"/>
    <n v="0"/>
    <s v="U27687"/>
    <s v="L1172/73"/>
    <x v="18"/>
    <m/>
    <m/>
    <m/>
    <n v="0"/>
    <m/>
    <m/>
  </r>
  <r>
    <n v="2378"/>
    <x v="30"/>
    <s v="Day"/>
    <x v="0"/>
    <n v="2000714727"/>
    <n v="850"/>
    <n v="22"/>
    <n v="0"/>
    <s v="U27687"/>
    <s v="L1170/71"/>
    <x v="45"/>
    <m/>
    <m/>
    <m/>
    <n v="0"/>
    <m/>
    <m/>
  </r>
  <r>
    <n v="2379"/>
    <x v="30"/>
    <s v="Day"/>
    <x v="0"/>
    <n v="2000715176"/>
    <n v="1390"/>
    <n v="450"/>
    <n v="0"/>
    <s v="U32991"/>
    <s v="L1147"/>
    <x v="101"/>
    <m/>
    <m/>
    <m/>
    <n v="0"/>
    <m/>
    <m/>
  </r>
  <r>
    <n v="2381"/>
    <x v="30"/>
    <s v="Day"/>
    <x v="0"/>
    <n v="2000715712"/>
    <n v="1220"/>
    <n v="180"/>
    <n v="0"/>
    <s v="U32991"/>
    <s v="L1172/73"/>
    <x v="19"/>
    <m/>
    <m/>
    <m/>
    <n v="0"/>
    <m/>
    <m/>
  </r>
  <r>
    <n v="2382"/>
    <x v="30"/>
    <s v="Day"/>
    <x v="0"/>
    <n v="2000715183"/>
    <n v="1480"/>
    <n v="60"/>
    <n v="0"/>
    <s v="U32991"/>
    <s v="L1172/73"/>
    <x v="83"/>
    <m/>
    <m/>
    <m/>
    <n v="0"/>
    <m/>
    <m/>
  </r>
  <r>
    <n v="2388"/>
    <x v="30"/>
    <s v="Day"/>
    <x v="0"/>
    <n v="2000714721"/>
    <n v="720"/>
    <n v="69"/>
    <n v="0"/>
    <s v="U23987"/>
    <s v="L1188"/>
    <x v="109"/>
    <m/>
    <m/>
    <m/>
    <n v="0"/>
    <m/>
    <m/>
  </r>
  <r>
    <n v="2389"/>
    <x v="30"/>
    <s v="Day"/>
    <x v="0"/>
    <n v="2000715183"/>
    <n v="1480"/>
    <n v="276"/>
    <n v="0"/>
    <s v="U27724"/>
    <s v="L1172/73"/>
    <x v="83"/>
    <m/>
    <m/>
    <m/>
    <n v="0"/>
    <m/>
    <m/>
  </r>
  <r>
    <n v="2390"/>
    <x v="30"/>
    <s v="Day"/>
    <x v="0"/>
    <n v="2000715176"/>
    <n v="1390"/>
    <n v="112"/>
    <n v="0"/>
    <s v="U27724"/>
    <s v="L1147"/>
    <x v="101"/>
    <m/>
    <m/>
    <m/>
    <n v="0"/>
    <m/>
    <m/>
  </r>
  <r>
    <n v="2391"/>
    <x v="30"/>
    <s v="Day"/>
    <x v="0"/>
    <n v="2000715175"/>
    <n v="900"/>
    <n v="220"/>
    <n v="0"/>
    <s v="U27724"/>
    <s v="L1147"/>
    <x v="120"/>
    <m/>
    <m/>
    <m/>
    <n v="0"/>
    <m/>
    <m/>
  </r>
  <r>
    <n v="2392"/>
    <x v="30"/>
    <s v="Day"/>
    <x v="0"/>
    <n v="2000715419"/>
    <n v="1600"/>
    <n v="200"/>
    <n v="1"/>
    <s v="U23987"/>
    <s v="L1077"/>
    <x v="2"/>
    <s v="Thừa Thiếc "/>
    <m/>
    <s v="R418"/>
    <n v="1"/>
    <s v="\\vn-file\QC Department\4.OQC\00. OQC Performance\03. Images\01. NG\20210303-NG-0950715419.jpg"/>
    <m/>
  </r>
  <r>
    <n v="2393"/>
    <x v="30"/>
    <s v="Day"/>
    <x v="0"/>
    <n v="2000715419"/>
    <n v="1600"/>
    <n v="140"/>
    <n v="1"/>
    <s v="U23987"/>
    <s v="L1077"/>
    <x v="2"/>
    <s v="NG dấu ngày tháng "/>
    <m/>
    <s v="DAU NGÀY THÁNG"/>
    <n v="1"/>
    <s v="\\vn-file\QC Department\4.OQC\00. OQC Performance\03. Images\01. NG\20210303-NG-1600715419.jpg"/>
    <m/>
  </r>
  <r>
    <n v="2394"/>
    <x v="30"/>
    <s v="Day"/>
    <x v="0"/>
    <n v="2000715712"/>
    <n v="1220"/>
    <n v="263"/>
    <n v="1"/>
    <s v="U27724"/>
    <s v="L1172/73"/>
    <x v="19"/>
    <s v="Nhầm lk"/>
    <m/>
    <s v="FU1102"/>
    <n v="1"/>
    <s v="\\vn-file\QC Department\4.OQC\00. OQC Performance\03. Images\01. NG\20210303-NG-0940715712.jpg"/>
    <m/>
  </r>
  <r>
    <n v="2395"/>
    <x v="30"/>
    <s v="Day"/>
    <x v="0"/>
    <n v="2000715176"/>
    <n v="1390"/>
    <n v="150"/>
    <n v="0"/>
    <s v="U09854"/>
    <s v="L1144/47"/>
    <x v="101"/>
    <m/>
    <m/>
    <m/>
    <n v="0"/>
    <m/>
    <m/>
  </r>
  <r>
    <n v="2396"/>
    <x v="30"/>
    <s v="Day"/>
    <x v="0"/>
    <n v="2000714130"/>
    <n v="920"/>
    <n v="160"/>
    <n v="0"/>
    <s v="U09854"/>
    <s v="L1151/52"/>
    <x v="85"/>
    <m/>
    <m/>
    <m/>
    <n v="0"/>
    <m/>
    <m/>
  </r>
  <r>
    <n v="2397"/>
    <x v="30"/>
    <s v="Day"/>
    <x v="0"/>
    <n v="2000715175"/>
    <n v="900"/>
    <n v="70"/>
    <n v="0"/>
    <s v="U09854"/>
    <s v="L1144/47"/>
    <x v="120"/>
    <m/>
    <m/>
    <m/>
    <n v="0"/>
    <m/>
    <m/>
  </r>
  <r>
    <n v="2398"/>
    <x v="30"/>
    <s v="Day"/>
    <x v="0"/>
    <n v="2000714573"/>
    <n v="1776"/>
    <n v="400"/>
    <n v="0"/>
    <s v="U09854"/>
    <s v="L1193/94"/>
    <x v="119"/>
    <m/>
    <m/>
    <m/>
    <n v="0"/>
    <m/>
    <m/>
  </r>
  <r>
    <n v="2399"/>
    <x v="30"/>
    <s v="Day"/>
    <x v="0"/>
    <n v="2000715196"/>
    <n v="660"/>
    <n v="150"/>
    <n v="0"/>
    <s v="U09854"/>
    <s v="L1112/13"/>
    <x v="75"/>
    <m/>
    <m/>
    <m/>
    <n v="0"/>
    <m/>
    <m/>
  </r>
  <r>
    <n v="2400"/>
    <x v="30"/>
    <s v="Day"/>
    <x v="0"/>
    <n v="2000714681"/>
    <n v="5360"/>
    <n v="440"/>
    <n v="0"/>
    <s v="U27723"/>
    <s v="L1112/13"/>
    <x v="8"/>
    <m/>
    <m/>
    <m/>
    <n v="0"/>
    <m/>
    <m/>
  </r>
  <r>
    <n v="2401"/>
    <x v="30"/>
    <s v="Day"/>
    <x v="0"/>
    <n v="2000714176"/>
    <n v="1390"/>
    <n v="100"/>
    <n v="0"/>
    <s v="U27723"/>
    <s v="L1144/47"/>
    <x v="101"/>
    <m/>
    <m/>
    <m/>
    <n v="0"/>
    <m/>
    <m/>
  </r>
  <r>
    <n v="2402"/>
    <x v="30"/>
    <s v="Day"/>
    <x v="0"/>
    <n v="2000714598"/>
    <n v="2704"/>
    <n v="160"/>
    <n v="0"/>
    <s v="U27723"/>
    <s v="L1128/29"/>
    <x v="11"/>
    <m/>
    <m/>
    <m/>
    <n v="0"/>
    <m/>
    <m/>
  </r>
  <r>
    <n v="2403"/>
    <x v="30"/>
    <s v="Day"/>
    <x v="0"/>
    <n v="2000714598"/>
    <n v="2704"/>
    <n v="80"/>
    <n v="0"/>
    <s v="U27723"/>
    <s v="L1128/29"/>
    <x v="11"/>
    <m/>
    <m/>
    <m/>
    <n v="0"/>
    <m/>
    <m/>
  </r>
  <r>
    <n v="2404"/>
    <x v="30"/>
    <s v="Day"/>
    <x v="0"/>
    <n v="2000714681"/>
    <n v="5360"/>
    <n v="160"/>
    <n v="0"/>
    <s v="U27723"/>
    <s v="L1112/13"/>
    <x v="8"/>
    <m/>
    <m/>
    <m/>
    <n v="0"/>
    <m/>
    <m/>
  </r>
  <r>
    <n v="2405"/>
    <x v="29"/>
    <s v="Day"/>
    <x v="0"/>
    <n v="2000714219"/>
    <n v="800"/>
    <n v="210"/>
    <n v="0"/>
    <s v="U18660"/>
    <s v="L1193/94"/>
    <x v="21"/>
    <m/>
    <m/>
    <m/>
    <n v="0"/>
    <m/>
    <m/>
  </r>
  <r>
    <n v="2406"/>
    <x v="31"/>
    <s v="Day"/>
    <x v="0"/>
    <n v="2000715189"/>
    <n v="1300"/>
    <n v="570"/>
    <n v="0"/>
    <s v="U18660"/>
    <s v="L1193/94"/>
    <x v="146"/>
    <m/>
    <m/>
    <m/>
    <n v="0"/>
    <m/>
    <m/>
  </r>
  <r>
    <n v="2407"/>
    <x v="31"/>
    <s v="Day"/>
    <x v="0"/>
    <n v="2000715183"/>
    <n v="1480"/>
    <n v="460"/>
    <n v="0"/>
    <s v="U32991"/>
    <s v="L1172/73"/>
    <x v="104"/>
    <m/>
    <m/>
    <m/>
    <n v="0"/>
    <m/>
    <m/>
  </r>
  <r>
    <n v="2408"/>
    <x v="31"/>
    <s v="Day"/>
    <x v="0"/>
    <n v="2000715189"/>
    <n v="1300"/>
    <n v="60"/>
    <n v="0"/>
    <s v="U32991"/>
    <s v="L1193/94"/>
    <x v="146"/>
    <m/>
    <m/>
    <m/>
    <n v="0"/>
    <m/>
    <m/>
  </r>
  <r>
    <n v="2409"/>
    <x v="31"/>
    <s v="Day"/>
    <x v="0"/>
    <n v="2000715070"/>
    <n v="520"/>
    <n v="100"/>
    <n v="0"/>
    <s v="U32991"/>
    <s v="L1174/75"/>
    <x v="171"/>
    <m/>
    <m/>
    <m/>
    <n v="0"/>
    <m/>
    <m/>
  </r>
  <r>
    <n v="2410"/>
    <x v="31"/>
    <s v="Day"/>
    <x v="0"/>
    <n v="2000715175"/>
    <n v="900"/>
    <n v="410"/>
    <n v="0"/>
    <s v="U27724"/>
    <s v="L1144/47"/>
    <x v="120"/>
    <m/>
    <m/>
    <m/>
    <n v="0"/>
    <m/>
    <m/>
  </r>
  <r>
    <n v="2411"/>
    <x v="31"/>
    <s v="Day"/>
    <x v="0"/>
    <n v="2000715177"/>
    <n v="800"/>
    <n v="520"/>
    <n v="0"/>
    <s v="U27724"/>
    <s v="L1144/47"/>
    <x v="120"/>
    <m/>
    <m/>
    <m/>
    <n v="0"/>
    <m/>
    <m/>
  </r>
  <r>
    <n v="2412"/>
    <x v="31"/>
    <s v="Day"/>
    <x v="0"/>
    <n v="2000714699"/>
    <n v="1000"/>
    <n v="60"/>
    <n v="0"/>
    <s v="U30840"/>
    <s v="L1172/73"/>
    <x v="18"/>
    <m/>
    <m/>
    <m/>
    <n v="0"/>
    <m/>
    <m/>
  </r>
  <r>
    <n v="2413"/>
    <x v="31"/>
    <s v="Day"/>
    <x v="0"/>
    <n v="2000715066"/>
    <n v="800"/>
    <n v="30"/>
    <n v="0"/>
    <s v="U30840"/>
    <s v="L1174/75"/>
    <x v="3"/>
    <m/>
    <m/>
    <m/>
    <n v="0"/>
    <m/>
    <m/>
  </r>
  <r>
    <n v="2414"/>
    <x v="31"/>
    <s v="Day"/>
    <x v="0"/>
    <n v="2000715070"/>
    <n v="520"/>
    <n v="100"/>
    <n v="0"/>
    <s v="U30840"/>
    <s v="L1174/75"/>
    <x v="171"/>
    <m/>
    <m/>
    <m/>
    <n v="0"/>
    <m/>
    <m/>
  </r>
  <r>
    <n v="2415"/>
    <x v="31"/>
    <s v="Day"/>
    <x v="0"/>
    <n v="2000715227"/>
    <n v="280"/>
    <n v="40"/>
    <n v="0"/>
    <s v="U30840"/>
    <s v="L1188/89"/>
    <x v="60"/>
    <m/>
    <m/>
    <m/>
    <n v="0"/>
    <m/>
    <m/>
  </r>
  <r>
    <n v="2416"/>
    <x v="31"/>
    <s v="Day"/>
    <x v="0"/>
    <n v="2000715196"/>
    <n v="6600"/>
    <n v="450"/>
    <n v="0"/>
    <s v="U30840"/>
    <s v="L1112/13"/>
    <x v="75"/>
    <m/>
    <m/>
    <m/>
    <n v="0"/>
    <m/>
    <m/>
  </r>
  <r>
    <n v="2417"/>
    <x v="31"/>
    <s v="Day"/>
    <x v="0"/>
    <n v="2000715065"/>
    <n v="2300"/>
    <n v="50"/>
    <n v="0"/>
    <s v="U30840"/>
    <s v="L1174/75"/>
    <x v="61"/>
    <m/>
    <m/>
    <m/>
    <n v="0"/>
    <m/>
    <m/>
  </r>
  <r>
    <n v="2418"/>
    <x v="31"/>
    <s v="Day"/>
    <x v="0"/>
    <n v="2000715068"/>
    <n v="2300"/>
    <n v="150"/>
    <n v="0"/>
    <s v="U30840"/>
    <s v="L1174/75"/>
    <x v="61"/>
    <m/>
    <m/>
    <m/>
    <n v="0"/>
    <m/>
    <m/>
  </r>
  <r>
    <n v="2419"/>
    <x v="31"/>
    <s v="Day"/>
    <x v="0"/>
    <n v="2000714699"/>
    <n v="1000"/>
    <n v="30"/>
    <n v="0"/>
    <s v="U27687"/>
    <s v="L1172/73"/>
    <x v="18"/>
    <m/>
    <m/>
    <m/>
    <n v="0"/>
    <m/>
    <m/>
  </r>
  <r>
    <n v="2420"/>
    <x v="31"/>
    <s v="Day"/>
    <x v="0"/>
    <n v="2000715227"/>
    <n v="280"/>
    <n v="80"/>
    <n v="0"/>
    <s v="U27687"/>
    <s v="L1188/89"/>
    <x v="60"/>
    <m/>
    <m/>
    <m/>
    <n v="0"/>
    <m/>
    <m/>
  </r>
  <r>
    <n v="2421"/>
    <x v="31"/>
    <s v="Day"/>
    <x v="0"/>
    <n v="2000715068"/>
    <n v="2300"/>
    <n v="90"/>
    <n v="0"/>
    <s v="U27687"/>
    <s v="L1174/75"/>
    <x v="61"/>
    <m/>
    <m/>
    <m/>
    <n v="0"/>
    <m/>
    <m/>
  </r>
  <r>
    <n v="2422"/>
    <x v="31"/>
    <s v="Day"/>
    <x v="0"/>
    <n v="2000715065"/>
    <n v="2300"/>
    <n v="30"/>
    <n v="0"/>
    <s v="U27687"/>
    <s v="L1174/75"/>
    <x v="61"/>
    <m/>
    <m/>
    <m/>
    <n v="0"/>
    <m/>
    <m/>
  </r>
  <r>
    <n v="2423"/>
    <x v="31"/>
    <s v="Day"/>
    <x v="0"/>
    <n v="2000715581"/>
    <n v="720"/>
    <n v="40"/>
    <n v="0"/>
    <s v="U27687"/>
    <s v="L1188/89"/>
    <x v="0"/>
    <m/>
    <m/>
    <m/>
    <n v="0"/>
    <m/>
    <m/>
  </r>
  <r>
    <n v="2424"/>
    <x v="31"/>
    <s v="Day"/>
    <x v="0"/>
    <n v="2000715086"/>
    <n v="2180"/>
    <n v="240"/>
    <n v="0"/>
    <s v="U27687"/>
    <s v="L1144/47"/>
    <x v="59"/>
    <m/>
    <m/>
    <m/>
    <n v="0"/>
    <m/>
    <m/>
  </r>
  <r>
    <n v="2425"/>
    <x v="31"/>
    <s v="Day"/>
    <x v="0"/>
    <n v="2000715196"/>
    <n v="6600"/>
    <n v="600"/>
    <n v="0"/>
    <s v="U09854"/>
    <s v="L1112/13"/>
    <x v="75"/>
    <m/>
    <m/>
    <m/>
    <n v="0"/>
    <m/>
    <m/>
  </r>
  <r>
    <n v="2426"/>
    <x v="31"/>
    <s v="Day"/>
    <x v="0"/>
    <n v="2000714829"/>
    <n v="1650"/>
    <n v="210"/>
    <n v="0"/>
    <s v="U09854"/>
    <s v="L1077"/>
    <x v="6"/>
    <m/>
    <m/>
    <m/>
    <n v="0"/>
    <m/>
    <m/>
  </r>
  <r>
    <n v="2427"/>
    <x v="31"/>
    <s v="Day"/>
    <x v="0"/>
    <n v="2000715234"/>
    <n v="1600"/>
    <n v="120"/>
    <n v="0"/>
    <s v="U09854"/>
    <s v="L1077"/>
    <x v="6"/>
    <m/>
    <m/>
    <m/>
    <n v="0"/>
    <m/>
    <m/>
  </r>
  <r>
    <n v="2428"/>
    <x v="31"/>
    <s v="Day"/>
    <x v="0"/>
    <n v="2000714130"/>
    <n v="920"/>
    <n v="80"/>
    <n v="0"/>
    <s v="U09854"/>
    <s v="L1151/52"/>
    <x v="85"/>
    <m/>
    <m/>
    <m/>
    <n v="0"/>
    <m/>
    <m/>
  </r>
  <r>
    <n v="2429"/>
    <x v="31"/>
    <s v="Day"/>
    <x v="0"/>
    <n v="2000715175"/>
    <n v="900"/>
    <n v="80"/>
    <n v="0"/>
    <s v="U09854"/>
    <s v="L1144/47"/>
    <x v="120"/>
    <m/>
    <m/>
    <m/>
    <n v="0"/>
    <m/>
    <m/>
  </r>
  <r>
    <n v="2430"/>
    <x v="31"/>
    <s v="Day"/>
    <x v="0"/>
    <n v="2000715227"/>
    <n v="280"/>
    <n v="120"/>
    <n v="0"/>
    <s v="U09854"/>
    <s v="L1188/89"/>
    <x v="60"/>
    <m/>
    <m/>
    <m/>
    <n v="0"/>
    <m/>
    <m/>
  </r>
  <r>
    <n v="2431"/>
    <x v="31"/>
    <s v="Day"/>
    <x v="0"/>
    <n v="2000709636"/>
    <n v="126"/>
    <n v="1"/>
    <n v="0"/>
    <s v="U09854"/>
    <s v="L1188/89"/>
    <x v="60"/>
    <m/>
    <m/>
    <m/>
    <n v="0"/>
    <m/>
    <m/>
  </r>
  <r>
    <n v="2432"/>
    <x v="31"/>
    <s v="Day"/>
    <x v="0"/>
    <n v="2000715228"/>
    <n v="120"/>
    <n v="100"/>
    <n v="0"/>
    <s v="U09854"/>
    <s v="L1188/89"/>
    <x v="122"/>
    <m/>
    <m/>
    <m/>
    <n v="0"/>
    <m/>
    <m/>
  </r>
  <r>
    <n v="2433"/>
    <x v="31"/>
    <s v="Day"/>
    <x v="0"/>
    <n v="2000715581"/>
    <n v="720"/>
    <n v="151"/>
    <n v="0"/>
    <s v="U09854"/>
    <s v="L1188/89"/>
    <x v="0"/>
    <m/>
    <m/>
    <m/>
    <n v="0"/>
    <m/>
    <m/>
  </r>
  <r>
    <n v="2434"/>
    <x v="31"/>
    <s v="Day"/>
    <x v="0"/>
    <n v="2000714684"/>
    <n v="3600"/>
    <n v="1020"/>
    <n v="0"/>
    <s v="U35262"/>
    <s v="L1172/73"/>
    <x v="7"/>
    <m/>
    <m/>
    <m/>
    <n v="0"/>
    <m/>
    <m/>
  </r>
  <r>
    <n v="2435"/>
    <x v="31"/>
    <s v="Day"/>
    <x v="0"/>
    <n v="2000715234"/>
    <n v="1600"/>
    <n v="360"/>
    <n v="0"/>
    <s v="U03968"/>
    <s v="L1077"/>
    <x v="6"/>
    <m/>
    <m/>
    <m/>
    <n v="0"/>
    <m/>
    <m/>
  </r>
  <r>
    <n v="2436"/>
    <x v="31"/>
    <s v="Day"/>
    <x v="0"/>
    <n v="2000713522"/>
    <n v="4210"/>
    <n v="1080"/>
    <n v="0"/>
    <s v="U03968"/>
    <s v="T515"/>
    <x v="15"/>
    <m/>
    <m/>
    <m/>
    <n v="0"/>
    <m/>
    <m/>
  </r>
  <r>
    <n v="2437"/>
    <x v="31"/>
    <s v="Day"/>
    <x v="0"/>
    <n v="2000714124"/>
    <n v="4200"/>
    <n v="1080"/>
    <n v="0"/>
    <s v="U03968"/>
    <s v="T515"/>
    <x v="15"/>
    <m/>
    <m/>
    <m/>
    <n v="0"/>
    <m/>
    <m/>
  </r>
  <r>
    <n v="2438"/>
    <x v="31"/>
    <s v="Day"/>
    <x v="0"/>
    <n v="2000715914"/>
    <n v="3904"/>
    <n v="800"/>
    <n v="0"/>
    <s v="U03968"/>
    <s v="L1193/94"/>
    <x v="119"/>
    <m/>
    <m/>
    <m/>
    <n v="0"/>
    <m/>
    <m/>
  </r>
  <r>
    <n v="2439"/>
    <x v="31"/>
    <s v="Day"/>
    <x v="0"/>
    <n v="2000715419"/>
    <n v="1600"/>
    <n v="140"/>
    <n v="0"/>
    <s v="U23987"/>
    <s v="L1077"/>
    <x v="2"/>
    <m/>
    <m/>
    <m/>
    <n v="0"/>
    <m/>
    <m/>
  </r>
  <r>
    <n v="2440"/>
    <x v="31"/>
    <s v="Day"/>
    <x v="0"/>
    <n v="2000715424"/>
    <n v="1600"/>
    <n v="320"/>
    <n v="0"/>
    <s v="U23987"/>
    <s v="L1077"/>
    <x v="2"/>
    <m/>
    <m/>
    <m/>
    <n v="0"/>
    <m/>
    <m/>
  </r>
  <r>
    <n v="2441"/>
    <x v="31"/>
    <s v="Day"/>
    <x v="0"/>
    <n v="2000714699"/>
    <n v="1000"/>
    <n v="15"/>
    <n v="0"/>
    <s v="U29686"/>
    <s v="L1172/73"/>
    <x v="18"/>
    <m/>
    <m/>
    <m/>
    <n v="0"/>
    <m/>
    <m/>
  </r>
  <r>
    <n v="2442"/>
    <x v="31"/>
    <s v="Day"/>
    <x v="0"/>
    <n v="2000715227"/>
    <n v="280"/>
    <n v="40"/>
    <n v="0"/>
    <s v="U29686"/>
    <s v="L1188/89"/>
    <x v="233"/>
    <m/>
    <m/>
    <m/>
    <n v="0"/>
    <m/>
    <m/>
  </r>
  <r>
    <n v="2443"/>
    <x v="31"/>
    <s v="Day"/>
    <x v="0"/>
    <n v="2000714721"/>
    <n v="720"/>
    <n v="315"/>
    <n v="0"/>
    <s v="U29686"/>
    <s v="L1188/89"/>
    <x v="109"/>
    <m/>
    <m/>
    <m/>
    <n v="0"/>
    <m/>
    <m/>
  </r>
  <r>
    <n v="2444"/>
    <x v="31"/>
    <s v="Day"/>
    <x v="0"/>
    <n v="2000715580"/>
    <n v="240"/>
    <n v="40"/>
    <n v="0"/>
    <s v="U29686"/>
    <s v="L1188/89"/>
    <x v="47"/>
    <m/>
    <m/>
    <m/>
    <n v="0"/>
    <m/>
    <m/>
  </r>
  <r>
    <n v="2445"/>
    <x v="31"/>
    <s v="Day"/>
    <x v="0"/>
    <n v="2000714726"/>
    <n v="900"/>
    <n v="155"/>
    <n v="0"/>
    <s v="U29686"/>
    <s v="L1188/89"/>
    <x v="109"/>
    <m/>
    <m/>
    <m/>
    <n v="0"/>
    <m/>
    <m/>
  </r>
  <r>
    <n v="2446"/>
    <x v="31"/>
    <s v="Day"/>
    <x v="0"/>
    <n v="2000715576"/>
    <n v="240"/>
    <n v="40"/>
    <n v="0"/>
    <s v="U29686"/>
    <s v="L1188/89"/>
    <x v="72"/>
    <m/>
    <m/>
    <m/>
    <n v="0"/>
    <m/>
    <m/>
  </r>
  <r>
    <n v="2447"/>
    <x v="31"/>
    <s v="Day"/>
    <x v="0"/>
    <n v="2000714699"/>
    <n v="1000"/>
    <n v="180"/>
    <n v="0"/>
    <s v="U31065"/>
    <s v="L1172/73"/>
    <x v="18"/>
    <m/>
    <m/>
    <m/>
    <n v="0"/>
    <m/>
    <m/>
  </r>
  <r>
    <n v="2448"/>
    <x v="31"/>
    <s v="Day"/>
    <x v="0"/>
    <n v="2000715419"/>
    <n v="1600"/>
    <n v="60"/>
    <n v="0"/>
    <s v="U31065"/>
    <s v="L1077"/>
    <x v="2"/>
    <m/>
    <m/>
    <m/>
    <n v="0"/>
    <m/>
    <m/>
  </r>
  <r>
    <n v="2449"/>
    <x v="31"/>
    <s v="Day"/>
    <x v="0"/>
    <n v="2000715580"/>
    <n v="240"/>
    <n v="198"/>
    <n v="0"/>
    <s v="U31065"/>
    <s v="L1188/89"/>
    <x v="47"/>
    <m/>
    <m/>
    <m/>
    <n v="0"/>
    <m/>
    <m/>
  </r>
  <r>
    <n v="2450"/>
    <x v="31"/>
    <s v="Day"/>
    <x v="0"/>
    <n v="2000715576"/>
    <n v="240"/>
    <n v="200"/>
    <n v="0"/>
    <s v="U31065"/>
    <s v="L1188/89"/>
    <x v="72"/>
    <m/>
    <m/>
    <m/>
    <n v="0"/>
    <m/>
    <m/>
  </r>
  <r>
    <n v="2451"/>
    <x v="31"/>
    <s v="Day"/>
    <x v="0"/>
    <n v="2000714681"/>
    <n v="5360"/>
    <n v="360"/>
    <n v="0"/>
    <s v="U27723"/>
    <s v="L1112/13"/>
    <x v="8"/>
    <m/>
    <m/>
    <m/>
    <n v="0"/>
    <m/>
    <m/>
  </r>
  <r>
    <n v="2452"/>
    <x v="31"/>
    <s v="Day"/>
    <x v="0"/>
    <n v="2000715385"/>
    <n v="1344"/>
    <n v="440"/>
    <n v="0"/>
    <s v="U27723"/>
    <s v="L1128/29"/>
    <x v="11"/>
    <m/>
    <m/>
    <m/>
    <n v="0"/>
    <m/>
    <m/>
  </r>
  <r>
    <n v="2453"/>
    <x v="31"/>
    <s v="Day"/>
    <x v="0"/>
    <n v="2000714598"/>
    <n v="2704"/>
    <n v="24"/>
    <n v="0"/>
    <s v="U27723"/>
    <s v="L1128/29"/>
    <x v="11"/>
    <m/>
    <m/>
    <m/>
    <n v="0"/>
    <m/>
    <m/>
  </r>
  <r>
    <n v="2454"/>
    <x v="31"/>
    <s v="Day"/>
    <x v="0"/>
    <n v="2000715385"/>
    <n v="1344"/>
    <n v="280"/>
    <n v="0"/>
    <s v="U27723"/>
    <s v="L1128/29"/>
    <x v="11"/>
    <m/>
    <m/>
    <m/>
    <n v="0"/>
    <m/>
    <m/>
  </r>
  <r>
    <n v="2455"/>
    <x v="31"/>
    <s v="Day"/>
    <x v="0"/>
    <n v="2000715605"/>
    <n v="6600"/>
    <n v="1200"/>
    <n v="0"/>
    <s v="U36387"/>
    <s v="L1112/13"/>
    <x v="75"/>
    <m/>
    <m/>
    <m/>
    <n v="0"/>
    <m/>
    <m/>
  </r>
  <r>
    <n v="2456"/>
    <x v="31"/>
    <s v="Day"/>
    <x v="0"/>
    <n v="2000715196"/>
    <n v="6600"/>
    <n v="900"/>
    <n v="0"/>
    <s v="U36387"/>
    <s v="L1112/13"/>
    <x v="75"/>
    <m/>
    <m/>
    <m/>
    <n v="0"/>
    <m/>
    <m/>
  </r>
  <r>
    <n v="2457"/>
    <x v="31"/>
    <s v="Day"/>
    <x v="1"/>
    <n v="2000715363"/>
    <n v="700"/>
    <n v="90"/>
    <n v="0"/>
    <s v="U30119"/>
    <s v="PSHV"/>
    <x v="26"/>
    <m/>
    <m/>
    <m/>
    <n v="0"/>
    <m/>
    <m/>
  </r>
  <r>
    <n v="2458"/>
    <x v="31"/>
    <s v="Day"/>
    <x v="1"/>
    <n v="2000714906"/>
    <n v="280"/>
    <n v="208"/>
    <n v="0"/>
    <s v="U30119"/>
    <s v="PSLV"/>
    <x v="82"/>
    <m/>
    <m/>
    <m/>
    <n v="0"/>
    <m/>
    <m/>
  </r>
  <r>
    <n v="2459"/>
    <x v="31"/>
    <s v="Day"/>
    <x v="1"/>
    <n v="2000715998"/>
    <n v="800"/>
    <n v="440"/>
    <n v="0"/>
    <s v="U30119"/>
    <s v="SHANKS"/>
    <x v="67"/>
    <m/>
    <m/>
    <m/>
    <n v="0"/>
    <m/>
    <m/>
  </r>
  <r>
    <n v="2460"/>
    <x v="31"/>
    <s v="Day"/>
    <x v="1"/>
    <n v="2000714914"/>
    <n v="96"/>
    <n v="66"/>
    <n v="0"/>
    <s v="U30119"/>
    <s v="PSLV"/>
    <x v="79"/>
    <m/>
    <m/>
    <m/>
    <n v="0"/>
    <m/>
    <m/>
  </r>
  <r>
    <n v="2461"/>
    <x v="31"/>
    <s v="Day"/>
    <x v="1"/>
    <n v="2000714908"/>
    <n v="300"/>
    <n v="50"/>
    <n v="0"/>
    <s v="U30119"/>
    <s v="PSHV"/>
    <x v="96"/>
    <m/>
    <m/>
    <m/>
    <n v="0"/>
    <m/>
    <m/>
  </r>
  <r>
    <n v="2462"/>
    <x v="31"/>
    <s v="Day"/>
    <x v="1"/>
    <n v="2000715364"/>
    <n v="800"/>
    <n v="180"/>
    <n v="0"/>
    <s v="U15759"/>
    <s v="SHANKS"/>
    <x v="67"/>
    <m/>
    <m/>
    <m/>
    <n v="0"/>
    <m/>
    <m/>
  </r>
  <r>
    <n v="2463"/>
    <x v="31"/>
    <s v="Day"/>
    <x v="1"/>
    <n v="2000715988"/>
    <n v="800"/>
    <n v="360"/>
    <n v="0"/>
    <s v="U15759"/>
    <s v="SHANKS"/>
    <x v="67"/>
    <m/>
    <m/>
    <m/>
    <n v="0"/>
    <m/>
    <m/>
  </r>
  <r>
    <n v="2464"/>
    <x v="31"/>
    <s v="Day"/>
    <x v="1"/>
    <n v="2000715363"/>
    <n v="700"/>
    <n v="190"/>
    <n v="0"/>
    <s v="U15759"/>
    <s v="PSHV"/>
    <x v="26"/>
    <m/>
    <m/>
    <m/>
    <n v="0"/>
    <m/>
    <m/>
  </r>
  <r>
    <n v="2465"/>
    <x v="31"/>
    <s v="Day"/>
    <x v="1"/>
    <n v="2000714906"/>
    <n v="280"/>
    <n v="70"/>
    <n v="0"/>
    <s v="U15759"/>
    <s v="PSLV"/>
    <x v="82"/>
    <m/>
    <m/>
    <m/>
    <n v="0"/>
    <m/>
    <m/>
  </r>
  <r>
    <n v="2466"/>
    <x v="31"/>
    <s v="Day"/>
    <x v="1"/>
    <n v="2000714908"/>
    <n v="300"/>
    <n v="70"/>
    <n v="0"/>
    <s v="U15759"/>
    <s v="PSHV"/>
    <x v="96"/>
    <m/>
    <m/>
    <m/>
    <n v="0"/>
    <m/>
    <m/>
  </r>
  <r>
    <n v="2467"/>
    <x v="31"/>
    <s v="Day"/>
    <x v="1"/>
    <n v="2000715375"/>
    <n v="180"/>
    <n v="48"/>
    <n v="0"/>
    <s v="U15759"/>
    <s v="BORUTO"/>
    <x v="111"/>
    <m/>
    <m/>
    <m/>
    <n v="0"/>
    <m/>
    <m/>
  </r>
  <r>
    <n v="2468"/>
    <x v="32"/>
    <s v="Day"/>
    <x v="1"/>
    <n v="2000715363"/>
    <n v="700"/>
    <n v="110"/>
    <n v="0"/>
    <s v="U30119"/>
    <s v="PSLV"/>
    <x v="26"/>
    <m/>
    <m/>
    <m/>
    <n v="0"/>
    <m/>
    <m/>
  </r>
  <r>
    <n v="2469"/>
    <x v="32"/>
    <s v="Day"/>
    <x v="1"/>
    <n v="2000715656"/>
    <n v="600"/>
    <n v="110"/>
    <n v="0"/>
    <s v="U30119"/>
    <s v="PSLV"/>
    <x v="26"/>
    <m/>
    <m/>
    <m/>
    <n v="0"/>
    <m/>
    <m/>
  </r>
  <r>
    <n v="2470"/>
    <x v="32"/>
    <s v="Day"/>
    <x v="1"/>
    <n v="2000716161"/>
    <n v="170"/>
    <n v="170"/>
    <n v="0"/>
    <s v="U30119"/>
    <s v="PSLV"/>
    <x v="135"/>
    <m/>
    <m/>
    <m/>
    <n v="0"/>
    <m/>
    <m/>
  </r>
  <r>
    <n v="2471"/>
    <x v="32"/>
    <s v="Day"/>
    <x v="1"/>
    <n v="2000715376"/>
    <n v="330"/>
    <n v="120"/>
    <n v="0"/>
    <s v="U30119"/>
    <s v="PSLV"/>
    <x v="129"/>
    <m/>
    <m/>
    <m/>
    <n v="0"/>
    <m/>
    <m/>
  </r>
  <r>
    <n v="2472"/>
    <x v="32"/>
    <s v="Day"/>
    <x v="1"/>
    <n v="2000715657"/>
    <n v="30"/>
    <n v="30"/>
    <n v="0"/>
    <s v="U30119"/>
    <s v="PSLV"/>
    <x v="53"/>
    <m/>
    <m/>
    <m/>
    <n v="0"/>
    <m/>
    <m/>
  </r>
  <r>
    <n v="2473"/>
    <x v="32"/>
    <s v="Day"/>
    <x v="1"/>
    <n v="2000714907"/>
    <n v="1000"/>
    <n v="60"/>
    <n v="0"/>
    <s v="U30119"/>
    <s v="PSLV"/>
    <x v="25"/>
    <m/>
    <m/>
    <m/>
    <n v="0"/>
    <m/>
    <m/>
  </r>
  <r>
    <n v="2474"/>
    <x v="32"/>
    <s v="Day"/>
    <x v="1"/>
    <n v="2000716158"/>
    <n v="1000"/>
    <n v="360"/>
    <n v="0"/>
    <s v="U30119"/>
    <s v="SHANKS"/>
    <x v="67"/>
    <m/>
    <m/>
    <m/>
    <n v="0"/>
    <m/>
    <m/>
  </r>
  <r>
    <n v="2475"/>
    <x v="32"/>
    <s v="Day"/>
    <x v="1"/>
    <n v="2000715374"/>
    <n v="440"/>
    <n v="35"/>
    <n v="0"/>
    <s v="U30119"/>
    <s v="SHANKS"/>
    <x v="24"/>
    <m/>
    <m/>
    <m/>
    <n v="0"/>
    <m/>
    <m/>
  </r>
  <r>
    <n v="2476"/>
    <x v="32"/>
    <s v="Day"/>
    <x v="1"/>
    <n v="2000716166"/>
    <n v="380"/>
    <n v="60"/>
    <n v="0"/>
    <s v="U30119"/>
    <s v="PSLV"/>
    <x v="50"/>
    <m/>
    <m/>
    <m/>
    <n v="0"/>
    <m/>
    <m/>
  </r>
  <r>
    <n v="2477"/>
    <x v="32"/>
    <s v="Day"/>
    <x v="1"/>
    <n v="2000714908"/>
    <n v="300"/>
    <n v="20"/>
    <n v="0"/>
    <s v="U15759"/>
    <s v="PSLV"/>
    <x v="96"/>
    <m/>
    <m/>
    <m/>
    <n v="0"/>
    <m/>
    <m/>
  </r>
  <r>
    <n v="2478"/>
    <x v="32"/>
    <s v="Day"/>
    <x v="1"/>
    <n v="2000715363"/>
    <n v="700"/>
    <n v="120"/>
    <n v="0"/>
    <s v="U15759"/>
    <s v="PSLV"/>
    <x v="26"/>
    <m/>
    <m/>
    <m/>
    <n v="0"/>
    <m/>
    <m/>
  </r>
  <r>
    <n v="2479"/>
    <x v="32"/>
    <s v="Day"/>
    <x v="1"/>
    <n v="2000714907"/>
    <n v="1000"/>
    <n v="160"/>
    <n v="0"/>
    <s v="U15759"/>
    <s v="PSLV"/>
    <x v="25"/>
    <m/>
    <m/>
    <m/>
    <n v="0"/>
    <m/>
    <m/>
  </r>
  <r>
    <n v="2480"/>
    <x v="32"/>
    <s v="Day"/>
    <x v="1"/>
    <n v="2000715656"/>
    <n v="600"/>
    <n v="60"/>
    <n v="0"/>
    <s v="U15759"/>
    <s v="PSHV"/>
    <x v="26"/>
    <m/>
    <m/>
    <m/>
    <n v="0"/>
    <m/>
    <m/>
  </r>
  <r>
    <n v="2481"/>
    <x v="32"/>
    <s v="Day"/>
    <x v="1"/>
    <n v="2000716158"/>
    <n v="1000"/>
    <n v="360"/>
    <n v="0"/>
    <s v="U15759"/>
    <s v="SHANKS"/>
    <x v="67"/>
    <m/>
    <m/>
    <m/>
    <n v="0"/>
    <m/>
    <m/>
  </r>
  <r>
    <n v="2482"/>
    <x v="32"/>
    <s v="Day"/>
    <x v="1"/>
    <n v="2000715314"/>
    <n v="440"/>
    <n v="35"/>
    <n v="0"/>
    <s v="U15759"/>
    <s v="SHANKS"/>
    <x v="24"/>
    <m/>
    <m/>
    <m/>
    <n v="0"/>
    <m/>
    <m/>
  </r>
  <r>
    <n v="2483"/>
    <x v="32"/>
    <s v="Day"/>
    <x v="0"/>
    <n v="2000715196"/>
    <n v="6600"/>
    <n v="900"/>
    <n v="0"/>
    <s v="U36387"/>
    <s v="L1112/13"/>
    <x v="75"/>
    <m/>
    <m/>
    <m/>
    <n v="0"/>
    <m/>
    <m/>
  </r>
  <r>
    <n v="2484"/>
    <x v="32"/>
    <s v="Day"/>
    <x v="0"/>
    <n v="2000714124"/>
    <n v="4200"/>
    <n v="1080"/>
    <n v="0"/>
    <s v="U36387"/>
    <s v="T515"/>
    <x v="15"/>
    <m/>
    <m/>
    <m/>
    <n v="0"/>
    <m/>
    <m/>
  </r>
  <r>
    <n v="2485"/>
    <x v="32"/>
    <s v="Day"/>
    <x v="0"/>
    <n v="2000713522"/>
    <n v="4210"/>
    <n v="360"/>
    <n v="0"/>
    <s v="U36387"/>
    <s v="T515"/>
    <x v="15"/>
    <m/>
    <m/>
    <m/>
    <n v="0"/>
    <m/>
    <m/>
  </r>
  <r>
    <n v="2486"/>
    <x v="32"/>
    <s v="Day"/>
    <x v="0"/>
    <n v="2000714726"/>
    <n v="900"/>
    <n v="745"/>
    <n v="0"/>
    <s v="U29686"/>
    <s v="L1188/89"/>
    <x v="109"/>
    <m/>
    <m/>
    <m/>
    <n v="0"/>
    <m/>
    <m/>
  </r>
  <r>
    <n v="2487"/>
    <x v="32"/>
    <s v="Day"/>
    <x v="0"/>
    <n v="2000714721"/>
    <n v="720"/>
    <n v="19"/>
    <n v="0"/>
    <s v="U29686"/>
    <s v="L1188/89"/>
    <x v="109"/>
    <m/>
    <m/>
    <m/>
    <n v="0"/>
    <m/>
    <m/>
  </r>
  <r>
    <n v="2488"/>
    <x v="32"/>
    <s v="Day"/>
    <x v="0"/>
    <n v="2000714727"/>
    <n v="850"/>
    <n v="90"/>
    <n v="0"/>
    <s v="U29686"/>
    <s v="L1170/71"/>
    <x v="45"/>
    <m/>
    <m/>
    <m/>
    <n v="0"/>
    <m/>
    <m/>
  </r>
  <r>
    <n v="2489"/>
    <x v="32"/>
    <s v="Day"/>
    <x v="0"/>
    <n v="2000715086"/>
    <n v="2180"/>
    <n v="674"/>
    <n v="0"/>
    <s v="U32991"/>
    <s v="L1146/47"/>
    <x v="59"/>
    <m/>
    <m/>
    <m/>
    <n v="0"/>
    <m/>
    <m/>
  </r>
  <r>
    <n v="2490"/>
    <x v="32"/>
    <s v="Day"/>
    <x v="0"/>
    <n v="2000713146"/>
    <n v="2000"/>
    <n v="80"/>
    <n v="0"/>
    <s v="U32991"/>
    <s v="L1077"/>
    <x v="6"/>
    <m/>
    <m/>
    <m/>
    <n v="0"/>
    <m/>
    <m/>
  </r>
  <r>
    <n v="2491"/>
    <x v="32"/>
    <s v="Day"/>
    <x v="0"/>
    <n v="2000715418"/>
    <n v="1600"/>
    <n v="40"/>
    <n v="0"/>
    <s v="U32991"/>
    <s v="L1077"/>
    <x v="36"/>
    <m/>
    <m/>
    <m/>
    <n v="0"/>
    <m/>
    <m/>
  </r>
  <r>
    <n v="2492"/>
    <x v="32"/>
    <s v="Day"/>
    <x v="0"/>
    <n v="2000715711"/>
    <n v="1150"/>
    <n v="60"/>
    <n v="0"/>
    <s v="U32991"/>
    <s v="L1186"/>
    <x v="4"/>
    <m/>
    <m/>
    <m/>
    <n v="0"/>
    <m/>
    <m/>
  </r>
  <r>
    <n v="2493"/>
    <x v="32"/>
    <s v="Day"/>
    <x v="0"/>
    <n v="2000714699"/>
    <n v="1000"/>
    <n v="90"/>
    <n v="0"/>
    <s v="U31065"/>
    <s v="L1172/73"/>
    <x v="18"/>
    <m/>
    <m/>
    <m/>
    <n v="0"/>
    <m/>
    <m/>
  </r>
  <r>
    <n v="2494"/>
    <x v="32"/>
    <s v="Day"/>
    <x v="0"/>
    <n v="2000715068"/>
    <n v="2300"/>
    <n v="580"/>
    <n v="0"/>
    <s v="U31065"/>
    <s v="L1174"/>
    <x v="61"/>
    <m/>
    <m/>
    <m/>
    <n v="0"/>
    <m/>
    <m/>
  </r>
  <r>
    <n v="2495"/>
    <x v="32"/>
    <s v="Day"/>
    <x v="0"/>
    <n v="2000715424"/>
    <n v="1600"/>
    <n v="580"/>
    <n v="0"/>
    <s v="U23987"/>
    <s v="L1077"/>
    <x v="2"/>
    <m/>
    <m/>
    <m/>
    <n v="0"/>
    <m/>
    <m/>
  </r>
  <r>
    <n v="2496"/>
    <x v="32"/>
    <s v="Day"/>
    <x v="0"/>
    <n v="2000715385"/>
    <n v="1344"/>
    <n v="320"/>
    <n v="0"/>
    <s v="U27723"/>
    <s v="L1128/29"/>
    <x v="11"/>
    <m/>
    <m/>
    <m/>
    <n v="0"/>
    <m/>
    <m/>
  </r>
  <r>
    <n v="2497"/>
    <x v="32"/>
    <s v="Day"/>
    <x v="0"/>
    <n v="2000713862"/>
    <n v="2640"/>
    <n v="8"/>
    <n v="0"/>
    <s v="U27723"/>
    <s v="L1193"/>
    <x v="30"/>
    <m/>
    <m/>
    <m/>
    <n v="0"/>
    <m/>
    <m/>
  </r>
  <r>
    <n v="2498"/>
    <x v="32"/>
    <s v="Day"/>
    <x v="0"/>
    <n v="2000715418"/>
    <n v="1600"/>
    <n v="120"/>
    <n v="0"/>
    <s v="U27723"/>
    <s v="L1077"/>
    <x v="36"/>
    <m/>
    <m/>
    <m/>
    <n v="0"/>
    <m/>
    <m/>
  </r>
  <r>
    <n v="2499"/>
    <x v="32"/>
    <s v="Day"/>
    <x v="0"/>
    <n v="2000714681"/>
    <n v="5360"/>
    <n v="400"/>
    <n v="0"/>
    <s v="U27723"/>
    <s v="L1112/13"/>
    <x v="8"/>
    <m/>
    <m/>
    <m/>
    <n v="0"/>
    <m/>
    <m/>
  </r>
  <r>
    <n v="2500"/>
    <x v="32"/>
    <s v="Day"/>
    <x v="0"/>
    <n v="2000714681"/>
    <n v="5360"/>
    <n v="240"/>
    <n v="0"/>
    <s v="U27723"/>
    <s v="L1112/13"/>
    <x v="8"/>
    <m/>
    <m/>
    <m/>
    <n v="0"/>
    <m/>
    <m/>
  </r>
  <r>
    <n v="2501"/>
    <x v="32"/>
    <s v="Day"/>
    <x v="0"/>
    <n v="2000715069"/>
    <n v="1180"/>
    <n v="240"/>
    <n v="0"/>
    <s v="U15759"/>
    <s v="L1174/75"/>
    <x v="3"/>
    <m/>
    <m/>
    <m/>
    <n v="0"/>
    <m/>
    <m/>
  </r>
  <r>
    <n v="2502"/>
    <x v="32"/>
    <s v="Day"/>
    <x v="0"/>
    <n v="2000714684"/>
    <n v="3600"/>
    <n v="180"/>
    <n v="0"/>
    <s v="U35262"/>
    <s v="L1172"/>
    <x v="7"/>
    <m/>
    <m/>
    <m/>
    <n v="0"/>
    <m/>
    <m/>
  </r>
  <r>
    <n v="2503"/>
    <x v="32"/>
    <s v="Day"/>
    <x v="0"/>
    <n v="2000715418"/>
    <n v="1600"/>
    <n v="960"/>
    <n v="0"/>
    <s v="U35262"/>
    <s v="L1077"/>
    <x v="36"/>
    <m/>
    <m/>
    <m/>
    <n v="0"/>
    <m/>
    <m/>
  </r>
  <r>
    <n v="2504"/>
    <x v="32"/>
    <s v="Day"/>
    <x v="0"/>
    <n v="2000715914"/>
    <n v="3904"/>
    <n v="1200"/>
    <n v="0"/>
    <s v="U35262"/>
    <s v="L1193"/>
    <x v="119"/>
    <m/>
    <m/>
    <m/>
    <n v="0"/>
    <m/>
    <m/>
  </r>
  <r>
    <n v="2505"/>
    <x v="32"/>
    <s v="Day"/>
    <x v="0"/>
    <n v="2000715228"/>
    <n v="120"/>
    <n v="19"/>
    <n v="0"/>
    <s v="U09854"/>
    <s v="T767"/>
    <x v="122"/>
    <m/>
    <m/>
    <m/>
    <n v="0"/>
    <m/>
    <m/>
  </r>
  <r>
    <n v="2506"/>
    <x v="32"/>
    <s v="Day"/>
    <x v="0"/>
    <n v="2000715577"/>
    <n v="160"/>
    <n v="40"/>
    <n v="0"/>
    <s v="U09854"/>
    <s v="T767"/>
    <x v="178"/>
    <m/>
    <m/>
    <m/>
    <n v="0"/>
    <m/>
    <m/>
  </r>
  <r>
    <n v="2507"/>
    <x v="32"/>
    <s v="Day"/>
    <x v="0"/>
    <n v="2000716315"/>
    <n v="280"/>
    <n v="120"/>
    <n v="0"/>
    <s v="U09854"/>
    <s v="T765"/>
    <x v="16"/>
    <m/>
    <m/>
    <m/>
    <n v="0"/>
    <m/>
    <m/>
  </r>
  <r>
    <n v="2508"/>
    <x v="32"/>
    <s v="Day"/>
    <x v="0"/>
    <n v="2000715232"/>
    <n v="1600"/>
    <n v="568"/>
    <n v="0"/>
    <s v="U09854"/>
    <s v="L1077"/>
    <x v="10"/>
    <m/>
    <m/>
    <m/>
    <n v="0"/>
    <m/>
    <m/>
  </r>
  <r>
    <n v="2509"/>
    <x v="32"/>
    <s v="Day"/>
    <x v="0"/>
    <n v="2000715415"/>
    <n v="1600"/>
    <n v="332"/>
    <n v="0"/>
    <s v="U09854"/>
    <s v="L1077"/>
    <x v="10"/>
    <m/>
    <m/>
    <m/>
    <n v="0"/>
    <m/>
    <m/>
  </r>
  <r>
    <n v="2510"/>
    <x v="32"/>
    <s v="Day"/>
    <x v="0"/>
    <n v="2000713146"/>
    <n v="2000"/>
    <n v="120"/>
    <n v="0"/>
    <s v="U09854"/>
    <s v="L1077"/>
    <x v="6"/>
    <m/>
    <m/>
    <m/>
    <n v="0"/>
    <m/>
    <m/>
  </r>
  <r>
    <n v="2511"/>
    <x v="32"/>
    <s v="Day"/>
    <x v="0"/>
    <n v="2000715578"/>
    <n v="80"/>
    <n v="80"/>
    <n v="0"/>
    <s v="U09854"/>
    <s v="T767"/>
    <x v="136"/>
    <m/>
    <m/>
    <m/>
    <n v="0"/>
    <m/>
    <m/>
  </r>
  <r>
    <n v="2512"/>
    <x v="32"/>
    <s v="Day"/>
    <x v="0"/>
    <n v="2000715551"/>
    <n v="90"/>
    <n v="30"/>
    <n v="0"/>
    <s v="U09854"/>
    <s v="L1193"/>
    <x v="123"/>
    <m/>
    <m/>
    <m/>
    <n v="0"/>
    <m/>
    <m/>
  </r>
  <r>
    <n v="2513"/>
    <x v="32"/>
    <s v="Day"/>
    <x v="0"/>
    <n v="2000716314"/>
    <n v="164"/>
    <n v="163"/>
    <n v="0"/>
    <s v="U09854"/>
    <s v="T765"/>
    <x v="17"/>
    <m/>
    <m/>
    <m/>
    <n v="0"/>
    <m/>
    <m/>
  </r>
  <r>
    <n v="2514"/>
    <x v="32"/>
    <s v="Day"/>
    <x v="0"/>
    <n v="2000715581"/>
    <n v="720"/>
    <n v="80"/>
    <n v="0"/>
    <s v="U09854"/>
    <s v="T765"/>
    <x v="0"/>
    <m/>
    <m/>
    <m/>
    <n v="0"/>
    <m/>
    <m/>
  </r>
  <r>
    <n v="2515"/>
    <x v="32"/>
    <s v="Day"/>
    <x v="0"/>
    <n v="2000715070"/>
    <n v="520"/>
    <n v="20"/>
    <n v="0"/>
    <s v="U30840"/>
    <s v="L1174/75"/>
    <x v="171"/>
    <m/>
    <m/>
    <m/>
    <n v="0"/>
    <m/>
    <m/>
  </r>
  <r>
    <n v="2516"/>
    <x v="32"/>
    <s v="Day"/>
    <x v="0"/>
    <n v="2000715068"/>
    <n v="2300"/>
    <n v="150"/>
    <n v="0"/>
    <s v="U30840"/>
    <s v="L1174/75"/>
    <x v="61"/>
    <m/>
    <m/>
    <m/>
    <n v="0"/>
    <m/>
    <m/>
  </r>
  <r>
    <n v="2517"/>
    <x v="32"/>
    <s v="Day"/>
    <x v="0"/>
    <n v="2000715577"/>
    <n v="160"/>
    <n v="119"/>
    <n v="0"/>
    <s v="U30840"/>
    <s v="L1188/89"/>
    <x v="178"/>
    <m/>
    <m/>
    <m/>
    <n v="0"/>
    <m/>
    <m/>
  </r>
  <r>
    <n v="2518"/>
    <x v="32"/>
    <s v="Day"/>
    <x v="0"/>
    <n v="2000715581"/>
    <n v="720"/>
    <n v="280"/>
    <n v="0"/>
    <s v="U30840"/>
    <s v="L1188/89"/>
    <x v="0"/>
    <m/>
    <m/>
    <m/>
    <n v="0"/>
    <m/>
    <m/>
  </r>
  <r>
    <n v="2519"/>
    <x v="32"/>
    <s v="Day"/>
    <x v="0"/>
    <n v="2000715177"/>
    <n v="800"/>
    <n v="45"/>
    <n v="0"/>
    <s v="U27724"/>
    <s v="L1147"/>
    <x v="120"/>
    <m/>
    <m/>
    <m/>
    <n v="0"/>
    <m/>
    <m/>
  </r>
  <r>
    <n v="2520"/>
    <x v="32"/>
    <s v="Day"/>
    <x v="0"/>
    <n v="2000715173"/>
    <n v="550"/>
    <n v="550"/>
    <n v="0"/>
    <s v="U27724"/>
    <s v="L1146"/>
    <x v="1"/>
    <m/>
    <m/>
    <m/>
    <n v="0"/>
    <m/>
    <m/>
  </r>
  <r>
    <n v="2521"/>
    <x v="32"/>
    <s v="Day"/>
    <x v="0"/>
    <n v="2000715234"/>
    <n v="1600"/>
    <n v="100"/>
    <n v="0"/>
    <s v="U27724"/>
    <s v="L1077"/>
    <x v="6"/>
    <m/>
    <m/>
    <m/>
    <n v="0"/>
    <m/>
    <m/>
  </r>
  <r>
    <n v="2522"/>
    <x v="32"/>
    <s v="Day"/>
    <x v="0"/>
    <n v="2000715761"/>
    <n v="400"/>
    <n v="400"/>
    <n v="0"/>
    <s v="U27724"/>
    <s v="L1145"/>
    <x v="71"/>
    <m/>
    <m/>
    <m/>
    <n v="0"/>
    <m/>
    <m/>
  </r>
  <r>
    <n v="2523"/>
    <x v="32"/>
    <s v="Day"/>
    <x v="0"/>
    <n v="2000715189"/>
    <n v="1300"/>
    <n v="420"/>
    <n v="0"/>
    <s v="U18660"/>
    <s v="L1193/94"/>
    <x v="146"/>
    <m/>
    <m/>
    <m/>
    <n v="0"/>
    <m/>
    <m/>
  </r>
  <r>
    <n v="2524"/>
    <x v="32"/>
    <s v="Day"/>
    <x v="0"/>
    <n v="2000715551"/>
    <n v="90"/>
    <n v="60"/>
    <n v="0"/>
    <s v="U18660"/>
    <s v="L1193/94"/>
    <x v="123"/>
    <m/>
    <m/>
    <m/>
    <n v="0"/>
    <m/>
    <m/>
  </r>
  <r>
    <n v="2525"/>
    <x v="32"/>
    <s v="Day"/>
    <x v="0"/>
    <n v="2000716206"/>
    <n v="450"/>
    <n v="60"/>
    <n v="0"/>
    <s v="U18660"/>
    <s v="L1193/94"/>
    <x v="116"/>
    <m/>
    <m/>
    <m/>
    <n v="0"/>
    <m/>
    <m/>
  </r>
  <r>
    <n v="2526"/>
    <x v="32"/>
    <s v="Day"/>
    <x v="0"/>
    <n v="2000715234"/>
    <n v="1600"/>
    <n v="380"/>
    <n v="0"/>
    <s v="U18660"/>
    <s v="L1077"/>
    <x v="6"/>
    <m/>
    <m/>
    <m/>
    <n v="0"/>
    <m/>
    <m/>
  </r>
  <r>
    <n v="2527"/>
    <x v="32"/>
    <s v="Day"/>
    <x v="0"/>
    <n v="2000715914"/>
    <n v="3904"/>
    <n v="400"/>
    <n v="0"/>
    <s v="U03968"/>
    <s v="L1193"/>
    <x v="119"/>
    <m/>
    <m/>
    <m/>
    <n v="0"/>
    <m/>
    <m/>
  </r>
  <r>
    <n v="2528"/>
    <x v="32"/>
    <s v="Day"/>
    <x v="0"/>
    <n v="2000715233"/>
    <n v="1600"/>
    <n v="699"/>
    <n v="0"/>
    <s v="U03968"/>
    <s v="L1077"/>
    <x v="33"/>
    <m/>
    <m/>
    <m/>
    <n v="0"/>
    <m/>
    <m/>
  </r>
  <r>
    <n v="2529"/>
    <x v="32"/>
    <s v="Day"/>
    <x v="0"/>
    <n v="2000715416"/>
    <n v="1600"/>
    <n v="151"/>
    <n v="0"/>
    <s v="U03968"/>
    <s v="L1077"/>
    <x v="33"/>
    <m/>
    <m/>
    <m/>
    <n v="0"/>
    <m/>
    <m/>
  </r>
  <r>
    <n v="2530"/>
    <x v="32"/>
    <s v="Day"/>
    <x v="0"/>
    <n v="2000713146"/>
    <n v="2000"/>
    <n v="280"/>
    <n v="0"/>
    <s v="U03968"/>
    <s v="L1077"/>
    <x v="6"/>
    <m/>
    <m/>
    <m/>
    <n v="0"/>
    <m/>
    <m/>
  </r>
  <r>
    <n v="2531"/>
    <x v="32"/>
    <s v="Day"/>
    <x v="0"/>
    <n v="2000715191"/>
    <n v="896"/>
    <n v="895"/>
    <n v="0"/>
    <s v="U03968"/>
    <s v="L1067"/>
    <x v="234"/>
    <m/>
    <m/>
    <m/>
    <n v="0"/>
    <m/>
    <m/>
  </r>
  <r>
    <n v="2532"/>
    <x v="32"/>
    <s v="Day"/>
    <x v="0"/>
    <n v="2000715234"/>
    <n v="1600"/>
    <n v="480"/>
    <n v="1"/>
    <s v="U03968"/>
    <s v="L1077"/>
    <x v="6"/>
    <s v="Thiếc phủ kín chân"/>
    <m/>
    <s v="J903"/>
    <n v="1"/>
    <s v="\\vn-file\QC Department\4.OQC\00. OQC Performance\03. Images\01. NG\20210305-NG-1746715234.jpg"/>
    <s v="\\vn-file\QC Department\4.OQC\00. OQC Performance\03. Images\02. OK\20210305-OK-1746715234.jpg"/>
  </r>
  <r>
    <n v="2533"/>
    <x v="33"/>
    <s v="Day"/>
    <x v="1"/>
    <n v="2000716162"/>
    <n v="170"/>
    <n v="170"/>
    <n v="0"/>
    <s v="U30119"/>
    <s v="PSLV"/>
    <x v="135"/>
    <m/>
    <m/>
    <m/>
    <n v="0"/>
    <m/>
    <m/>
  </r>
  <r>
    <n v="2534"/>
    <x v="33"/>
    <s v="Day"/>
    <x v="1"/>
    <n v="2000715376"/>
    <n v="330"/>
    <n v="60"/>
    <n v="0"/>
    <s v="U30119"/>
    <s v="PSLV"/>
    <x v="129"/>
    <m/>
    <m/>
    <m/>
    <n v="0"/>
    <m/>
    <m/>
  </r>
  <r>
    <n v="2535"/>
    <x v="33"/>
    <s v="Day"/>
    <x v="1"/>
    <n v="2000715656"/>
    <n v="600"/>
    <n v="210"/>
    <n v="0"/>
    <s v="U30119"/>
    <s v="PSHV"/>
    <x v="26"/>
    <m/>
    <m/>
    <m/>
    <n v="0"/>
    <m/>
    <m/>
  </r>
  <r>
    <n v="2536"/>
    <x v="33"/>
    <s v="Day"/>
    <x v="1"/>
    <n v="2000716166"/>
    <n v="380"/>
    <n v="130"/>
    <n v="0"/>
    <s v="U30119"/>
    <s v="PSHV"/>
    <x v="50"/>
    <m/>
    <m/>
    <m/>
    <n v="0"/>
    <m/>
    <m/>
  </r>
  <r>
    <n v="2537"/>
    <x v="33"/>
    <s v="Day"/>
    <x v="1"/>
    <n v="2000716167"/>
    <n v="380"/>
    <n v="70"/>
    <n v="0"/>
    <s v="U30119"/>
    <s v="PSHV"/>
    <x v="50"/>
    <m/>
    <m/>
    <m/>
    <n v="0"/>
    <m/>
    <m/>
  </r>
  <r>
    <n v="2538"/>
    <x v="33"/>
    <s v="Day"/>
    <x v="1"/>
    <n v="2000715655"/>
    <n v="501"/>
    <n v="210"/>
    <n v="0"/>
    <s v="U30119"/>
    <s v="SHANKS"/>
    <x v="22"/>
    <m/>
    <m/>
    <m/>
    <n v="0"/>
    <m/>
    <m/>
  </r>
  <r>
    <n v="2539"/>
    <x v="33"/>
    <s v="Day"/>
    <x v="1"/>
    <n v="2000715874"/>
    <n v="440"/>
    <n v="70"/>
    <n v="0"/>
    <s v="U30119"/>
    <s v="SHANKS"/>
    <x v="24"/>
    <m/>
    <m/>
    <m/>
    <n v="0"/>
    <m/>
    <m/>
  </r>
  <r>
    <n v="2540"/>
    <x v="33"/>
    <s v="Day"/>
    <x v="1"/>
    <n v="2000715659"/>
    <n v="1140"/>
    <n v="70"/>
    <n v="0"/>
    <s v="U30119"/>
    <s v="SHANKS"/>
    <x v="24"/>
    <m/>
    <m/>
    <m/>
    <n v="0"/>
    <m/>
    <m/>
  </r>
  <r>
    <n v="2541"/>
    <x v="33"/>
    <s v="Day"/>
    <x v="1"/>
    <n v="2000716166"/>
    <n v="380"/>
    <n v="190"/>
    <n v="0"/>
    <s v="U15759"/>
    <s v="PSHV"/>
    <x v="50"/>
    <m/>
    <m/>
    <m/>
    <n v="0"/>
    <m/>
    <m/>
  </r>
  <r>
    <n v="2542"/>
    <x v="33"/>
    <s v="Day"/>
    <x v="1"/>
    <n v="2000714912"/>
    <n v="500"/>
    <n v="10"/>
    <n v="0"/>
    <s v="U15759"/>
    <s v="SHANKS"/>
    <x v="24"/>
    <m/>
    <m/>
    <m/>
    <n v="0"/>
    <m/>
    <m/>
  </r>
  <r>
    <n v="2543"/>
    <x v="33"/>
    <s v="Day"/>
    <x v="1"/>
    <n v="2000715374"/>
    <n v="440"/>
    <n v="245"/>
    <n v="0"/>
    <s v="U15759"/>
    <s v="SHANKS"/>
    <x v="24"/>
    <m/>
    <m/>
    <m/>
    <n v="0"/>
    <m/>
    <m/>
  </r>
  <r>
    <n v="2544"/>
    <x v="33"/>
    <s v="Day"/>
    <x v="1"/>
    <n v="2000715656"/>
    <n v="600"/>
    <n v="210"/>
    <n v="0"/>
    <s v="U15759"/>
    <s v="PSHV"/>
    <x v="26"/>
    <m/>
    <m/>
    <m/>
    <n v="0"/>
    <m/>
    <m/>
  </r>
  <r>
    <n v="2545"/>
    <x v="33"/>
    <s v="Day"/>
    <x v="1"/>
    <n v="2000715376"/>
    <n v="330"/>
    <n v="60"/>
    <n v="0"/>
    <s v="U15759"/>
    <s v="PSLV"/>
    <x v="129"/>
    <m/>
    <m/>
    <m/>
    <n v="0"/>
    <m/>
    <m/>
  </r>
  <r>
    <n v="2546"/>
    <x v="33"/>
    <s v="Day"/>
    <x v="0"/>
    <n v="2000715068"/>
    <n v="2300"/>
    <n v="10"/>
    <n v="0"/>
    <s v="U31065"/>
    <s v="L1174/75"/>
    <x v="61"/>
    <m/>
    <m/>
    <m/>
    <n v="0"/>
    <m/>
    <m/>
  </r>
  <r>
    <n v="2547"/>
    <x v="33"/>
    <s v="Day"/>
    <x v="0"/>
    <n v="2000716315"/>
    <n v="280"/>
    <n v="40"/>
    <n v="0"/>
    <s v="U31065"/>
    <s v="L1188/89"/>
    <x v="16"/>
    <m/>
    <m/>
    <m/>
    <n v="0"/>
    <m/>
    <m/>
  </r>
  <r>
    <n v="2548"/>
    <x v="33"/>
    <s v="Day"/>
    <x v="0"/>
    <n v="2000715069"/>
    <n v="1180"/>
    <n v="10"/>
    <n v="0"/>
    <s v="U31065"/>
    <s v="L1174/75"/>
    <x v="3"/>
    <m/>
    <m/>
    <m/>
    <n v="0"/>
    <m/>
    <m/>
  </r>
  <r>
    <n v="2549"/>
    <x v="33"/>
    <s v="Day"/>
    <x v="0"/>
    <n v="2000716336"/>
    <n v="820"/>
    <n v="739"/>
    <n v="0"/>
    <s v="U31065"/>
    <s v="L1151/52"/>
    <x v="85"/>
    <m/>
    <m/>
    <m/>
    <n v="0"/>
    <m/>
    <m/>
  </r>
  <r>
    <n v="2550"/>
    <x v="33"/>
    <s v="Day"/>
    <x v="0"/>
    <n v="2000714130"/>
    <n v="920"/>
    <n v="40"/>
    <n v="0"/>
    <s v="U31065"/>
    <s v="L1151/52"/>
    <x v="85"/>
    <m/>
    <m/>
    <m/>
    <n v="0"/>
    <m/>
    <m/>
  </r>
  <r>
    <n v="2551"/>
    <x v="33"/>
    <s v="Day"/>
    <x v="0"/>
    <n v="2000715086"/>
    <n v="2180"/>
    <n v="100"/>
    <n v="0"/>
    <s v="U31065"/>
    <s v="L1144/47"/>
    <x v="59"/>
    <m/>
    <m/>
    <m/>
    <n v="0"/>
    <m/>
    <m/>
  </r>
  <r>
    <n v="2552"/>
    <x v="33"/>
    <s v="Day"/>
    <x v="0"/>
    <n v="2000715068"/>
    <n v="2300"/>
    <n v="140"/>
    <n v="0"/>
    <s v="U30840"/>
    <s v="L1174/75"/>
    <x v="61"/>
    <m/>
    <m/>
    <m/>
    <n v="0"/>
    <m/>
    <m/>
  </r>
  <r>
    <n v="2553"/>
    <x v="33"/>
    <s v="Day"/>
    <x v="0"/>
    <n v="2000715067"/>
    <n v="1180"/>
    <n v="1000"/>
    <n v="0"/>
    <s v="U30840"/>
    <s v="L1174/75"/>
    <x v="62"/>
    <m/>
    <m/>
    <m/>
    <n v="0"/>
    <m/>
    <m/>
  </r>
  <r>
    <n v="2554"/>
    <x v="33"/>
    <s v="Day"/>
    <x v="0"/>
    <n v="2000713146"/>
    <n v="2000"/>
    <n v="163"/>
    <n v="0"/>
    <s v="U30840"/>
    <s v="L1077"/>
    <x v="6"/>
    <m/>
    <m/>
    <m/>
    <n v="0"/>
    <m/>
    <m/>
  </r>
  <r>
    <n v="2555"/>
    <x v="33"/>
    <s v="Day"/>
    <x v="0"/>
    <n v="2000716336"/>
    <n v="820"/>
    <n v="40"/>
    <n v="0"/>
    <s v="U09854"/>
    <s v="L1151/52"/>
    <x v="85"/>
    <m/>
    <m/>
    <m/>
    <n v="0"/>
    <m/>
    <m/>
  </r>
  <r>
    <n v="2556"/>
    <x v="33"/>
    <s v="Day"/>
    <x v="0"/>
    <n v="2000715084"/>
    <n v="2180"/>
    <n v="800"/>
    <n v="0"/>
    <s v="U09854"/>
    <s v="L1144/47"/>
    <x v="77"/>
    <m/>
    <m/>
    <m/>
    <n v="0"/>
    <m/>
    <m/>
  </r>
  <r>
    <n v="2557"/>
    <x v="33"/>
    <s v="Day"/>
    <x v="0"/>
    <n v="2000714571"/>
    <n v="300"/>
    <n v="200"/>
    <n v="0"/>
    <s v="U09854"/>
    <s v="L1174/75"/>
    <x v="66"/>
    <m/>
    <m/>
    <m/>
    <n v="0"/>
    <m/>
    <m/>
  </r>
  <r>
    <n v="2558"/>
    <x v="33"/>
    <s v="Day"/>
    <x v="0"/>
    <n v="2000715710"/>
    <n v="1150"/>
    <n v="200"/>
    <n v="0"/>
    <s v="U09854"/>
    <s v="L1186"/>
    <x v="35"/>
    <m/>
    <m/>
    <m/>
    <n v="0"/>
    <m/>
    <m/>
  </r>
  <r>
    <n v="2559"/>
    <x v="33"/>
    <s v="Day"/>
    <x v="0"/>
    <n v="2000715629"/>
    <n v="60"/>
    <n v="56"/>
    <n v="0"/>
    <s v="U09854"/>
    <s v="T575SL"/>
    <x v="235"/>
    <m/>
    <m/>
    <m/>
    <n v="0"/>
    <m/>
    <m/>
  </r>
  <r>
    <n v="2560"/>
    <x v="33"/>
    <s v="Day"/>
    <x v="0"/>
    <n v="2000716213"/>
    <n v="30"/>
    <n v="26"/>
    <n v="0"/>
    <s v="U09854"/>
    <s v="T575SL"/>
    <x v="235"/>
    <m/>
    <m/>
    <m/>
    <n v="0"/>
    <m/>
    <m/>
  </r>
  <r>
    <n v="2561"/>
    <x v="33"/>
    <s v="Day"/>
    <x v="0"/>
    <n v="2000715630"/>
    <n v="30"/>
    <n v="28"/>
    <n v="0"/>
    <s v="U09854"/>
    <s v="T575SL"/>
    <x v="235"/>
    <m/>
    <m/>
    <m/>
    <n v="0"/>
    <m/>
    <m/>
  </r>
  <r>
    <n v="2562"/>
    <x v="33"/>
    <s v="Day"/>
    <x v="0"/>
    <n v="2000716316"/>
    <n v="400"/>
    <n v="279"/>
    <n v="0"/>
    <s v="U09854"/>
    <s v="L1188/89"/>
    <x v="43"/>
    <m/>
    <m/>
    <m/>
    <n v="0"/>
    <m/>
    <m/>
  </r>
  <r>
    <n v="2563"/>
    <x v="33"/>
    <s v="Day"/>
    <x v="0"/>
    <n v="2000715416"/>
    <n v="1600"/>
    <n v="600"/>
    <n v="0"/>
    <s v="U03968"/>
    <s v="L1077"/>
    <x v="33"/>
    <m/>
    <m/>
    <m/>
    <n v="0"/>
    <m/>
    <m/>
  </r>
  <r>
    <n v="2564"/>
    <x v="33"/>
    <s v="Day"/>
    <x v="0"/>
    <n v="2000715415"/>
    <n v="1600"/>
    <n v="900"/>
    <n v="0"/>
    <s v="U03968"/>
    <s v="L1077"/>
    <x v="10"/>
    <m/>
    <m/>
    <m/>
    <n v="0"/>
    <m/>
    <m/>
  </r>
  <r>
    <n v="2565"/>
    <x v="33"/>
    <s v="Day"/>
    <x v="0"/>
    <n v="2000714129"/>
    <n v="4014"/>
    <n v="600"/>
    <n v="0"/>
    <s v="U03968"/>
    <s v="L1144/47"/>
    <x v="14"/>
    <m/>
    <m/>
    <m/>
    <n v="0"/>
    <m/>
    <m/>
  </r>
  <r>
    <n v="2566"/>
    <x v="33"/>
    <s v="Day"/>
    <x v="0"/>
    <n v="2000713522"/>
    <n v="4210"/>
    <n v="970"/>
    <n v="0"/>
    <s v="U03968"/>
    <s v="T515"/>
    <x v="15"/>
    <m/>
    <m/>
    <m/>
    <n v="0"/>
    <m/>
    <m/>
  </r>
  <r>
    <n v="2567"/>
    <x v="33"/>
    <s v="Day"/>
    <x v="0"/>
    <n v="2000715417"/>
    <n v="1600"/>
    <n v="480"/>
    <n v="0"/>
    <s v="U03968"/>
    <s v="L1077"/>
    <x v="6"/>
    <m/>
    <m/>
    <m/>
    <n v="0"/>
    <m/>
    <m/>
  </r>
  <r>
    <n v="2568"/>
    <x v="33"/>
    <s v="Day"/>
    <x v="0"/>
    <n v="2000715234"/>
    <n v="1600"/>
    <n v="160"/>
    <n v="0"/>
    <s v="U03968"/>
    <s v="L1077"/>
    <x v="6"/>
    <m/>
    <m/>
    <m/>
    <n v="0"/>
    <m/>
    <m/>
  </r>
  <r>
    <n v="2569"/>
    <x v="33"/>
    <s v="Day"/>
    <x v="0"/>
    <n v="2000715424"/>
    <n v="1600"/>
    <n v="20"/>
    <n v="0"/>
    <s v="U23987"/>
    <s v="L1077"/>
    <x v="2"/>
    <m/>
    <m/>
    <m/>
    <n v="0"/>
    <m/>
    <m/>
  </r>
  <r>
    <n v="2570"/>
    <x v="33"/>
    <s v="Day"/>
    <x v="0"/>
    <n v="2000716199"/>
    <n v="300"/>
    <n v="80"/>
    <n v="0"/>
    <s v="U23987"/>
    <s v="L1077"/>
    <x v="2"/>
    <m/>
    <m/>
    <m/>
    <n v="0"/>
    <m/>
    <m/>
  </r>
  <r>
    <n v="2571"/>
    <x v="33"/>
    <s v="Day"/>
    <x v="0"/>
    <n v="2000714571"/>
    <n v="3000"/>
    <n v="600"/>
    <n v="0"/>
    <s v="U23987"/>
    <s v="L1174/75"/>
    <x v="66"/>
    <m/>
    <m/>
    <m/>
    <n v="0"/>
    <m/>
    <m/>
  </r>
  <r>
    <n v="2572"/>
    <x v="33"/>
    <s v="Day"/>
    <x v="0"/>
    <n v="2000715872"/>
    <n v="1100"/>
    <n v="189"/>
    <n v="0"/>
    <s v="U23987"/>
    <s v="L1144/47"/>
    <x v="56"/>
    <m/>
    <m/>
    <m/>
    <n v="0"/>
    <m/>
    <m/>
  </r>
  <r>
    <n v="2573"/>
    <x v="33"/>
    <s v="Day"/>
    <x v="0"/>
    <n v="2000716271"/>
    <n v="200"/>
    <n v="119"/>
    <n v="0"/>
    <s v="U23987"/>
    <s v="T541"/>
    <x v="100"/>
    <m/>
    <m/>
    <m/>
    <n v="0"/>
    <m/>
    <m/>
  </r>
  <r>
    <n v="2574"/>
    <x v="33"/>
    <s v="Day"/>
    <x v="0"/>
    <n v="2000715872"/>
    <n v="1100"/>
    <n v="400"/>
    <n v="0"/>
    <s v="U27724"/>
    <s v="L1144/47"/>
    <x v="56"/>
    <m/>
    <m/>
    <m/>
    <n v="0"/>
    <m/>
    <m/>
  </r>
  <r>
    <n v="2575"/>
    <x v="33"/>
    <s v="Day"/>
    <x v="0"/>
    <n v="2000715083"/>
    <n v="2180"/>
    <n v="300"/>
    <n v="0"/>
    <s v="U27724"/>
    <s v="L1144/47"/>
    <x v="92"/>
    <m/>
    <m/>
    <m/>
    <n v="0"/>
    <m/>
    <m/>
  </r>
  <r>
    <n v="2576"/>
    <x v="33"/>
    <s v="Day"/>
    <x v="0"/>
    <n v="2000716271"/>
    <n v="200"/>
    <n v="80"/>
    <n v="0"/>
    <s v="U27724"/>
    <s v="T543"/>
    <x v="100"/>
    <m/>
    <m/>
    <m/>
    <n v="0"/>
    <m/>
    <m/>
  </r>
  <r>
    <n v="2577"/>
    <x v="33"/>
    <s v="Day"/>
    <x v="0"/>
    <n v="2000715085"/>
    <n v="2180"/>
    <n v="337"/>
    <n v="0"/>
    <s v="U27724"/>
    <s v="L1144/47"/>
    <x v="13"/>
    <m/>
    <m/>
    <m/>
    <n v="0"/>
    <m/>
    <m/>
  </r>
  <r>
    <n v="2578"/>
    <x v="33"/>
    <s v="Day"/>
    <x v="0"/>
    <n v="2000715709"/>
    <n v="1150"/>
    <n v="200"/>
    <n v="0"/>
    <s v="U27724"/>
    <s v="L1186"/>
    <x v="32"/>
    <m/>
    <m/>
    <m/>
    <n v="0"/>
    <m/>
    <m/>
  </r>
  <r>
    <n v="2579"/>
    <x v="33"/>
    <s v="Day"/>
    <x v="0"/>
    <n v="2000714571"/>
    <n v="3000"/>
    <n v="200"/>
    <n v="0"/>
    <s v="U27724"/>
    <s v="L1174/75"/>
    <x v="66"/>
    <m/>
    <m/>
    <m/>
    <n v="0"/>
    <m/>
    <m/>
  </r>
  <r>
    <n v="2580"/>
    <x v="33"/>
    <s v="Day"/>
    <x v="0"/>
    <n v="2000715177"/>
    <n v="800"/>
    <n v="230"/>
    <n v="0"/>
    <s v="U27724"/>
    <s v="L1144/47"/>
    <x v="120"/>
    <m/>
    <m/>
    <m/>
    <n v="0"/>
    <m/>
    <m/>
  </r>
  <r>
    <n v="2581"/>
    <x v="33"/>
    <s v="Day"/>
    <x v="0"/>
    <n v="2000716206"/>
    <n v="450"/>
    <n v="390"/>
    <n v="0"/>
    <s v="U18660"/>
    <s v="L1193/94"/>
    <x v="116"/>
    <m/>
    <m/>
    <m/>
    <n v="0"/>
    <m/>
    <m/>
  </r>
  <r>
    <n v="2582"/>
    <x v="33"/>
    <s v="Day"/>
    <x v="0"/>
    <n v="2000715190"/>
    <n v="380"/>
    <n v="23"/>
    <n v="0"/>
    <s v="U18660"/>
    <s v="L1193/94"/>
    <x v="116"/>
    <m/>
    <m/>
    <m/>
    <n v="0"/>
    <m/>
    <m/>
  </r>
  <r>
    <n v="2583"/>
    <x v="33"/>
    <s v="Day"/>
    <x v="0"/>
    <n v="2000715189"/>
    <n v="1300"/>
    <n v="90"/>
    <n v="0"/>
    <s v="U18660"/>
    <s v="L1193/94"/>
    <x v="146"/>
    <m/>
    <m/>
    <m/>
    <n v="0"/>
    <m/>
    <m/>
  </r>
  <r>
    <n v="2584"/>
    <x v="33"/>
    <s v="Day"/>
    <x v="0"/>
    <n v="2000714124"/>
    <n v="4200"/>
    <n v="120"/>
    <n v="0"/>
    <s v="U18660"/>
    <s v="T515"/>
    <x v="15"/>
    <m/>
    <m/>
    <m/>
    <n v="0"/>
    <m/>
    <m/>
  </r>
  <r>
    <n v="2585"/>
    <x v="33"/>
    <s v="Day"/>
    <x v="0"/>
    <n v="2000715552"/>
    <n v="1010"/>
    <n v="60"/>
    <n v="0"/>
    <s v="U18660"/>
    <s v="L1193/94"/>
    <x v="104"/>
    <m/>
    <m/>
    <m/>
    <n v="0"/>
    <m/>
    <m/>
  </r>
  <r>
    <n v="2586"/>
    <x v="33"/>
    <s v="Day"/>
    <x v="0"/>
    <n v="2000714681"/>
    <n v="5360"/>
    <n v="40"/>
    <n v="0"/>
    <s v="U27723"/>
    <s v="L1112/13"/>
    <x v="8"/>
    <m/>
    <m/>
    <m/>
    <n v="0"/>
    <m/>
    <m/>
  </r>
  <r>
    <n v="2587"/>
    <x v="33"/>
    <s v="Day"/>
    <x v="0"/>
    <n v="2000715581"/>
    <n v="720"/>
    <n v="165"/>
    <n v="0"/>
    <s v="U27723"/>
    <s v="L1188/89"/>
    <x v="0"/>
    <m/>
    <m/>
    <m/>
    <n v="0"/>
    <m/>
    <m/>
  </r>
  <r>
    <n v="2588"/>
    <x v="33"/>
    <s v="Day"/>
    <x v="0"/>
    <n v="2000714124"/>
    <n v="4200"/>
    <n v="120"/>
    <n v="0"/>
    <s v="U27723"/>
    <s v="T515"/>
    <x v="15"/>
    <m/>
    <m/>
    <m/>
    <n v="0"/>
    <m/>
    <m/>
  </r>
  <r>
    <n v="2589"/>
    <x v="33"/>
    <s v="Day"/>
    <x v="0"/>
    <n v="2000715711"/>
    <n v="1150"/>
    <n v="336"/>
    <n v="0"/>
    <s v="U27723"/>
    <s v="L1186"/>
    <x v="4"/>
    <m/>
    <m/>
    <m/>
    <n v="0"/>
    <m/>
    <m/>
  </r>
  <r>
    <n v="2590"/>
    <x v="33"/>
    <s v="Day"/>
    <x v="0"/>
    <n v="2000715086"/>
    <n v="2180"/>
    <n v="120"/>
    <n v="0"/>
    <s v="U27723"/>
    <s v="L1144/47"/>
    <x v="59"/>
    <m/>
    <m/>
    <m/>
    <n v="0"/>
    <m/>
    <m/>
  </r>
  <r>
    <n v="2591"/>
    <x v="33"/>
    <s v="Day"/>
    <x v="0"/>
    <n v="2000714727"/>
    <n v="850"/>
    <n v="528"/>
    <n v="0"/>
    <s v="U29686"/>
    <s v="L1170/71"/>
    <x v="45"/>
    <m/>
    <m/>
    <m/>
    <n v="0"/>
    <m/>
    <m/>
  </r>
  <r>
    <n v="2592"/>
    <x v="33"/>
    <s v="Day"/>
    <x v="0"/>
    <n v="2000715235"/>
    <n v="1600"/>
    <n v="246"/>
    <n v="0"/>
    <s v="U29686"/>
    <s v="L1077"/>
    <x v="36"/>
    <m/>
    <m/>
    <m/>
    <n v="0"/>
    <m/>
    <m/>
  </r>
  <r>
    <n v="2593"/>
    <x v="33"/>
    <s v="Day"/>
    <x v="0"/>
    <n v="2000715708"/>
    <n v="1150"/>
    <n v="200"/>
    <n v="0"/>
    <s v="U29686"/>
    <s v="L1186"/>
    <x v="34"/>
    <m/>
    <m/>
    <m/>
    <n v="0"/>
    <m/>
    <m/>
  </r>
  <r>
    <n v="2594"/>
    <x v="33"/>
    <s v="Day"/>
    <x v="0"/>
    <n v="2000715711"/>
    <n v="1150"/>
    <n v="180"/>
    <n v="0"/>
    <s v="U32991"/>
    <s v="L1186"/>
    <x v="4"/>
    <m/>
    <m/>
    <m/>
    <n v="0"/>
    <m/>
    <m/>
  </r>
  <r>
    <n v="2595"/>
    <x v="33"/>
    <s v="Day"/>
    <x v="0"/>
    <n v="2000714124"/>
    <n v="4200"/>
    <n v="480"/>
    <n v="0"/>
    <s v="U32991"/>
    <s v="T515"/>
    <x v="15"/>
    <m/>
    <m/>
    <m/>
    <n v="0"/>
    <m/>
    <m/>
  </r>
  <r>
    <n v="2596"/>
    <x v="33"/>
    <s v="Day"/>
    <x v="0"/>
    <n v="2000716313"/>
    <n v="310"/>
    <n v="120"/>
    <n v="0"/>
    <s v="U32991"/>
    <s v="L1188/89"/>
    <x v="60"/>
    <m/>
    <m/>
    <m/>
    <n v="0"/>
    <m/>
    <m/>
  </r>
  <r>
    <n v="2597"/>
    <x v="33"/>
    <s v="Day"/>
    <x v="0"/>
    <n v="2000716315"/>
    <n v="280"/>
    <n v="118"/>
    <n v="0"/>
    <s v="U32991"/>
    <s v="L1188/89"/>
    <x v="16"/>
    <m/>
    <m/>
    <m/>
    <n v="0"/>
    <m/>
    <m/>
  </r>
  <r>
    <n v="2598"/>
    <x v="33"/>
    <s v="Day"/>
    <x v="0"/>
    <n v="2000716319"/>
    <n v="300"/>
    <n v="80"/>
    <n v="0"/>
    <s v="U32991"/>
    <s v="L1188/89"/>
    <x v="17"/>
    <m/>
    <m/>
    <m/>
    <n v="0"/>
    <m/>
    <m/>
  </r>
  <r>
    <n v="2599"/>
    <x v="33"/>
    <s v="Day"/>
    <x v="0"/>
    <n v="2000715630"/>
    <n v="30"/>
    <n v="28"/>
    <n v="0"/>
    <s v="U32991"/>
    <s v="T575SL"/>
    <x v="235"/>
    <m/>
    <m/>
    <m/>
    <n v="0"/>
    <m/>
    <m/>
  </r>
  <r>
    <n v="2600"/>
    <x v="33"/>
    <s v="Day"/>
    <x v="0"/>
    <n v="2000715629"/>
    <n v="60"/>
    <n v="56"/>
    <n v="0"/>
    <s v="U32991"/>
    <s v="T575SL"/>
    <x v="235"/>
    <m/>
    <m/>
    <m/>
    <n v="0"/>
    <m/>
    <m/>
  </r>
  <r>
    <n v="2601"/>
    <x v="33"/>
    <s v="Day"/>
    <x v="0"/>
    <n v="2000716213"/>
    <n v="30"/>
    <n v="26"/>
    <n v="0"/>
    <s v="U32991"/>
    <s v="T575SL"/>
    <x v="235"/>
    <m/>
    <m/>
    <m/>
    <n v="0"/>
    <m/>
    <m/>
  </r>
  <r>
    <n v="2602"/>
    <x v="34"/>
    <s v="Day"/>
    <x v="0"/>
    <n v="2000716336"/>
    <n v="820"/>
    <n v="40"/>
    <n v="0"/>
    <s v="U03968"/>
    <s v="L1151/52"/>
    <x v="85"/>
    <m/>
    <m/>
    <m/>
    <n v="0"/>
    <m/>
    <m/>
  </r>
  <r>
    <n v="2603"/>
    <x v="34"/>
    <s v="Day"/>
    <x v="0"/>
    <n v="2000715914"/>
    <n v="3904"/>
    <n v="400"/>
    <n v="0"/>
    <s v="U03968"/>
    <s v="L1193/94"/>
    <x v="119"/>
    <m/>
    <m/>
    <m/>
    <n v="0"/>
    <m/>
    <m/>
  </r>
  <r>
    <n v="2604"/>
    <x v="34"/>
    <s v="Day"/>
    <x v="0"/>
    <n v="2000715708"/>
    <n v="1150"/>
    <n v="200"/>
    <n v="0"/>
    <s v="U03968"/>
    <s v="L1186"/>
    <x v="34"/>
    <m/>
    <m/>
    <m/>
    <n v="0"/>
    <m/>
    <m/>
  </r>
  <r>
    <n v="2605"/>
    <x v="34"/>
    <s v="Day"/>
    <x v="0"/>
    <n v="2000715709"/>
    <n v="1150"/>
    <n v="200"/>
    <n v="0"/>
    <s v="U03968"/>
    <s v="L1186"/>
    <x v="32"/>
    <m/>
    <m/>
    <m/>
    <n v="0"/>
    <m/>
    <m/>
  </r>
  <r>
    <n v="2606"/>
    <x v="34"/>
    <s v="Day"/>
    <x v="0"/>
    <n v="2000715084"/>
    <n v="2180"/>
    <n v="1200"/>
    <n v="0"/>
    <s v="U03968"/>
    <s v="L1144/47"/>
    <x v="236"/>
    <m/>
    <m/>
    <m/>
    <n v="0"/>
    <m/>
    <m/>
  </r>
  <r>
    <n v="2607"/>
    <x v="34"/>
    <s v="Day"/>
    <x v="0"/>
    <n v="2000715083"/>
    <n v="2180"/>
    <n v="300"/>
    <n v="0"/>
    <s v="U03968"/>
    <s v="L1151/52"/>
    <x v="92"/>
    <m/>
    <m/>
    <m/>
    <n v="0"/>
    <m/>
    <m/>
  </r>
  <r>
    <n v="2608"/>
    <x v="34"/>
    <s v="Day"/>
    <x v="0"/>
    <n v="2000714131"/>
    <n v="920"/>
    <n v="240"/>
    <n v="0"/>
    <s v="U03968"/>
    <s v="L1151/52"/>
    <x v="237"/>
    <m/>
    <m/>
    <m/>
    <n v="0"/>
    <m/>
    <m/>
  </r>
  <r>
    <n v="2609"/>
    <x v="34"/>
    <s v="Day"/>
    <x v="0"/>
    <n v="2000716316"/>
    <n v="400"/>
    <n v="40"/>
    <n v="0"/>
    <s v="U32991"/>
    <s v="L1188/89"/>
    <x v="43"/>
    <m/>
    <m/>
    <m/>
    <n v="0"/>
    <m/>
    <m/>
  </r>
  <r>
    <n v="2610"/>
    <x v="34"/>
    <s v="Day"/>
    <x v="0"/>
    <n v="2000715872"/>
    <n v="1100"/>
    <n v="340"/>
    <n v="0"/>
    <s v="U32991"/>
    <s v="L1144/47"/>
    <x v="56"/>
    <m/>
    <m/>
    <m/>
    <n v="0"/>
    <m/>
    <m/>
  </r>
  <r>
    <n v="2611"/>
    <x v="34"/>
    <s v="Day"/>
    <x v="0"/>
    <n v="2000715552"/>
    <n v="1010"/>
    <n v="120"/>
    <n v="0"/>
    <s v="U32991"/>
    <s v="L1193/94"/>
    <x v="104"/>
    <m/>
    <m/>
    <m/>
    <n v="0"/>
    <m/>
    <m/>
  </r>
  <r>
    <n v="2612"/>
    <x v="34"/>
    <s v="Day"/>
    <x v="0"/>
    <n v="2000716460"/>
    <n v="240"/>
    <n v="200"/>
    <n v="0"/>
    <s v="U32991"/>
    <s v="L1144/47"/>
    <x v="71"/>
    <m/>
    <m/>
    <m/>
    <n v="0"/>
    <m/>
    <m/>
  </r>
  <r>
    <n v="2613"/>
    <x v="34"/>
    <s v="Day"/>
    <x v="0"/>
    <n v="2000715863"/>
    <n v="2400"/>
    <n v="40"/>
    <n v="0"/>
    <s v="U27723"/>
    <s v="L1144/47"/>
    <x v="59"/>
    <m/>
    <m/>
    <m/>
    <n v="0"/>
    <m/>
    <m/>
  </r>
  <r>
    <n v="2614"/>
    <x v="34"/>
    <s v="Day"/>
    <x v="0"/>
    <n v="2000715184"/>
    <n v="6352"/>
    <n v="920"/>
    <n v="0"/>
    <s v="U27723"/>
    <s v="L1112/13"/>
    <x v="8"/>
    <m/>
    <m/>
    <m/>
    <n v="0"/>
    <m/>
    <m/>
  </r>
  <r>
    <n v="2615"/>
    <x v="34"/>
    <s v="Day"/>
    <x v="0"/>
    <n v="2000715184"/>
    <n v="6352"/>
    <n v="280"/>
    <n v="0"/>
    <s v="U27723"/>
    <s v="L1112/13"/>
    <x v="8"/>
    <m/>
    <m/>
    <m/>
    <n v="0"/>
    <m/>
    <m/>
  </r>
  <r>
    <n v="2616"/>
    <x v="34"/>
    <s v="Day"/>
    <x v="0"/>
    <n v="2000716316"/>
    <n v="400"/>
    <n v="80"/>
    <n v="0"/>
    <s v="U05944"/>
    <s v="L1188/89"/>
    <x v="43"/>
    <m/>
    <m/>
    <m/>
    <n v="0"/>
    <m/>
    <m/>
  </r>
  <r>
    <n v="2617"/>
    <x v="34"/>
    <s v="Day"/>
    <x v="0"/>
    <n v="2000716317"/>
    <n v="186"/>
    <n v="186"/>
    <n v="0"/>
    <s v="U05944"/>
    <s v="L1188/89"/>
    <x v="212"/>
    <m/>
    <m/>
    <m/>
    <n v="0"/>
    <m/>
    <m/>
  </r>
  <r>
    <n v="2618"/>
    <x v="34"/>
    <s v="Day"/>
    <x v="0"/>
    <n v="2000715331"/>
    <n v="200"/>
    <n v="23"/>
    <n v="0"/>
    <s v="U05944"/>
    <s v="L1188/89"/>
    <x v="212"/>
    <m/>
    <m/>
    <m/>
    <n v="0"/>
    <m/>
    <m/>
  </r>
  <r>
    <n v="2619"/>
    <x v="34"/>
    <s v="Day"/>
    <x v="0"/>
    <n v="2000716318"/>
    <n v="240"/>
    <n v="199"/>
    <n v="0"/>
    <s v="U05944"/>
    <s v="L1188/89"/>
    <x v="183"/>
    <m/>
    <m/>
    <m/>
    <n v="0"/>
    <m/>
    <m/>
  </r>
  <r>
    <n v="2620"/>
    <x v="34"/>
    <s v="Day"/>
    <x v="0"/>
    <n v="2000716655"/>
    <n v="1000"/>
    <n v="150"/>
    <n v="0"/>
    <s v="U05944"/>
    <s v="L1188/89"/>
    <x v="72"/>
    <m/>
    <m/>
    <m/>
    <n v="0"/>
    <m/>
    <m/>
  </r>
  <r>
    <n v="2621"/>
    <x v="34"/>
    <s v="Day"/>
    <x v="0"/>
    <n v="2000715873"/>
    <n v="1500"/>
    <n v="340"/>
    <n v="0"/>
    <s v="U30425"/>
    <s v="L1144/47"/>
    <x v="1"/>
    <m/>
    <m/>
    <m/>
    <n v="0"/>
    <m/>
    <m/>
  </r>
  <r>
    <n v="2622"/>
    <x v="34"/>
    <s v="Day"/>
    <x v="0"/>
    <n v="2000716257"/>
    <n v="1050"/>
    <n v="80"/>
    <n v="0"/>
    <s v="U30425"/>
    <s v="L1077"/>
    <x v="2"/>
    <m/>
    <m/>
    <m/>
    <n v="0"/>
    <m/>
    <m/>
  </r>
  <r>
    <n v="2623"/>
    <x v="34"/>
    <s v="Day"/>
    <x v="0"/>
    <n v="2000715704"/>
    <n v="1000"/>
    <n v="80"/>
    <n v="0"/>
    <s v="U30425"/>
    <s v="L1174/75"/>
    <x v="61"/>
    <m/>
    <m/>
    <m/>
    <n v="0"/>
    <m/>
    <m/>
  </r>
  <r>
    <n v="2624"/>
    <x v="34"/>
    <s v="Day"/>
    <x v="0"/>
    <n v="2000715799"/>
    <n v="520"/>
    <n v="150"/>
    <n v="0"/>
    <s v="U30425"/>
    <s v="T541"/>
    <x v="94"/>
    <m/>
    <m/>
    <m/>
    <n v="0"/>
    <m/>
    <m/>
  </r>
  <r>
    <n v="2625"/>
    <x v="34"/>
    <s v="Day"/>
    <x v="0"/>
    <n v="2000715224"/>
    <n v="2460"/>
    <n v="367"/>
    <n v="0"/>
    <s v="U29686"/>
    <s v="L1209/10"/>
    <x v="196"/>
    <m/>
    <m/>
    <m/>
    <n v="0"/>
    <m/>
    <m/>
  </r>
  <r>
    <n v="2626"/>
    <x v="34"/>
    <s v="Day"/>
    <x v="0"/>
    <n v="2000716291"/>
    <n v="1260"/>
    <n v="495"/>
    <n v="0"/>
    <s v="U29686"/>
    <s v="L1188/89"/>
    <x v="109"/>
    <m/>
    <m/>
    <m/>
    <n v="0"/>
    <m/>
    <m/>
  </r>
  <r>
    <n v="2627"/>
    <x v="34"/>
    <s v="Day"/>
    <x v="0"/>
    <n v="2000715863"/>
    <n v="2400"/>
    <n v="320"/>
    <n v="0"/>
    <s v="U27687"/>
    <s v="L1144/47"/>
    <x v="59"/>
    <m/>
    <m/>
    <m/>
    <n v="0"/>
    <m/>
    <m/>
  </r>
  <r>
    <n v="2628"/>
    <x v="34"/>
    <s v="Day"/>
    <x v="0"/>
    <n v="2000715086"/>
    <n v="2180"/>
    <n v="480"/>
    <n v="0"/>
    <s v="U27687"/>
    <s v="L1144/47"/>
    <x v="59"/>
    <m/>
    <m/>
    <m/>
    <n v="0"/>
    <m/>
    <m/>
  </r>
  <r>
    <n v="2629"/>
    <x v="34"/>
    <s v="Day"/>
    <x v="0"/>
    <n v="2000715552"/>
    <n v="1010"/>
    <n v="120"/>
    <n v="0"/>
    <s v="U18660"/>
    <s v="L1193/94"/>
    <x v="104"/>
    <m/>
    <m/>
    <m/>
    <n v="0"/>
    <m/>
    <m/>
  </r>
  <r>
    <n v="2630"/>
    <x v="34"/>
    <s v="Day"/>
    <x v="0"/>
    <n v="2000715219"/>
    <n v="3000"/>
    <n v="120"/>
    <n v="0"/>
    <s v="U18660"/>
    <s v="L1168/69"/>
    <x v="37"/>
    <m/>
    <m/>
    <m/>
    <n v="0"/>
    <m/>
    <m/>
  </r>
  <r>
    <n v="2631"/>
    <x v="34"/>
    <s v="Day"/>
    <x v="0"/>
    <n v="2000716318"/>
    <n v="240"/>
    <n v="40"/>
    <n v="0"/>
    <s v="U18660"/>
    <s v="L1188/89"/>
    <x v="183"/>
    <m/>
    <m/>
    <m/>
    <n v="0"/>
    <m/>
    <m/>
  </r>
  <r>
    <n v="2632"/>
    <x v="34"/>
    <s v="Day"/>
    <x v="0"/>
    <n v="2000716313"/>
    <n v="310"/>
    <n v="190"/>
    <n v="0"/>
    <s v="U18660"/>
    <s v="L1188/89"/>
    <x v="60"/>
    <m/>
    <m/>
    <m/>
    <n v="0"/>
    <m/>
    <m/>
  </r>
  <r>
    <n v="2633"/>
    <x v="34"/>
    <s v="Day"/>
    <x v="0"/>
    <n v="2000716456"/>
    <n v="330"/>
    <n v="330"/>
    <n v="0"/>
    <s v="U18660"/>
    <s v="L1188/89"/>
    <x v="60"/>
    <m/>
    <m/>
    <m/>
    <n v="0"/>
    <m/>
    <m/>
  </r>
  <r>
    <n v="2634"/>
    <x v="34"/>
    <s v="Day"/>
    <x v="1"/>
    <n v="2000716163"/>
    <n v="40"/>
    <n v="40"/>
    <n v="0"/>
    <s v="U15759"/>
    <s v="PSLV"/>
    <x v="135"/>
    <m/>
    <m/>
    <m/>
    <n v="0"/>
    <m/>
    <m/>
  </r>
  <r>
    <n v="2635"/>
    <x v="34"/>
    <s v="Day"/>
    <x v="1"/>
    <n v="2000715376"/>
    <n v="330"/>
    <n v="89"/>
    <n v="0"/>
    <s v="U15759"/>
    <s v="PSLV"/>
    <x v="129"/>
    <m/>
    <m/>
    <m/>
    <n v="0"/>
    <m/>
    <m/>
  </r>
  <r>
    <n v="2636"/>
    <x v="34"/>
    <s v="Day"/>
    <x v="1"/>
    <n v="2000716167"/>
    <n v="380"/>
    <n v="310"/>
    <n v="0"/>
    <s v="U15759"/>
    <s v="PSHV"/>
    <x v="50"/>
    <m/>
    <m/>
    <m/>
    <n v="0"/>
    <m/>
    <m/>
  </r>
  <r>
    <n v="2637"/>
    <x v="34"/>
    <s v="Day"/>
    <x v="1"/>
    <n v="2000715656"/>
    <n v="600"/>
    <n v="10"/>
    <n v="0"/>
    <s v="U15759"/>
    <s v="PSHV"/>
    <x v="26"/>
    <m/>
    <m/>
    <m/>
    <n v="0"/>
    <m/>
    <m/>
  </r>
  <r>
    <n v="2638"/>
    <x v="34"/>
    <s v="Day"/>
    <x v="1"/>
    <n v="2000716425"/>
    <n v="255"/>
    <n v="140"/>
    <n v="0"/>
    <s v="U15759"/>
    <s v="PSHV"/>
    <x v="26"/>
    <m/>
    <m/>
    <m/>
    <n v="0"/>
    <m/>
    <m/>
  </r>
  <r>
    <n v="2639"/>
    <x v="34"/>
    <s v="Day"/>
    <x v="1"/>
    <n v="2000716170"/>
    <n v="140"/>
    <n v="139"/>
    <n v="0"/>
    <s v="U15759"/>
    <s v="PSLV"/>
    <x v="23"/>
    <m/>
    <m/>
    <m/>
    <n v="0"/>
    <m/>
    <m/>
  </r>
  <r>
    <n v="2640"/>
    <x v="34"/>
    <s v="Day"/>
    <x v="1"/>
    <n v="2000715659"/>
    <n v="1140"/>
    <n v="140"/>
    <n v="0"/>
    <s v="U15759"/>
    <s v="SHANKS"/>
    <x v="238"/>
    <m/>
    <m/>
    <m/>
    <n v="0"/>
    <m/>
    <m/>
  </r>
  <r>
    <n v="2641"/>
    <x v="34"/>
    <s v="Day"/>
    <x v="1"/>
    <n v="2000715374"/>
    <n v="440"/>
    <n v="35"/>
    <n v="0"/>
    <s v="U15759"/>
    <s v="SHANKS"/>
    <x v="24"/>
    <m/>
    <m/>
    <m/>
    <n v="0"/>
    <m/>
    <m/>
  </r>
  <r>
    <n v="2642"/>
    <x v="34"/>
    <s v="Day"/>
    <x v="1"/>
    <n v="2000716426"/>
    <n v="800"/>
    <n v="360"/>
    <n v="0"/>
    <s v="U15759"/>
    <s v="SHANKS"/>
    <x v="67"/>
    <m/>
    <m/>
    <m/>
    <n v="0"/>
    <m/>
    <m/>
  </r>
  <r>
    <n v="2643"/>
    <x v="34"/>
    <s v="Day"/>
    <x v="1"/>
    <n v="2000716002"/>
    <n v="120"/>
    <n v="30"/>
    <n v="0"/>
    <s v="U15759"/>
    <s v="PSLV"/>
    <x v="79"/>
    <m/>
    <m/>
    <m/>
    <n v="0"/>
    <m/>
    <m/>
  </r>
  <r>
    <n v="2644"/>
    <x v="34"/>
    <s v="Night"/>
    <x v="0"/>
    <n v="2000715552"/>
    <n v="1610"/>
    <n v="180"/>
    <n v="0"/>
    <s v="U31065"/>
    <s v="L1193/94"/>
    <x v="104"/>
    <m/>
    <m/>
    <m/>
    <n v="0"/>
    <m/>
    <m/>
  </r>
  <r>
    <n v="2645"/>
    <x v="34"/>
    <s v="Night"/>
    <x v="0"/>
    <n v="2000715183"/>
    <n v="1480"/>
    <n v="420"/>
    <n v="0"/>
    <s v="U31065"/>
    <s v="L1172/73"/>
    <x v="83"/>
    <m/>
    <m/>
    <m/>
    <n v="0"/>
    <m/>
    <m/>
  </r>
  <r>
    <n v="2646"/>
    <x v="34"/>
    <s v="Night"/>
    <x v="0"/>
    <n v="2000715863"/>
    <n v="2400"/>
    <n v="80"/>
    <n v="0"/>
    <s v="U31065"/>
    <s v="L1144/47"/>
    <x v="59"/>
    <m/>
    <m/>
    <m/>
    <n v="0"/>
    <m/>
    <m/>
  </r>
  <r>
    <n v="2647"/>
    <x v="34"/>
    <s v="Night"/>
    <x v="0"/>
    <n v="2000716291"/>
    <n v="1260"/>
    <n v="765"/>
    <n v="0"/>
    <s v="U30119"/>
    <s v="L1188/89"/>
    <x v="109"/>
    <m/>
    <m/>
    <m/>
    <n v="0"/>
    <m/>
    <m/>
  </r>
  <r>
    <n v="2648"/>
    <x v="34"/>
    <s v="Night"/>
    <x v="0"/>
    <n v="2000716292"/>
    <n v="1000"/>
    <n v="45"/>
    <n v="0"/>
    <s v="U30119"/>
    <s v="L1188/89"/>
    <x v="109"/>
    <m/>
    <m/>
    <m/>
    <n v="0"/>
    <m/>
    <m/>
  </r>
  <r>
    <n v="2649"/>
    <x v="34"/>
    <s v="Night"/>
    <x v="0"/>
    <n v="2000715874"/>
    <n v="920"/>
    <n v="200"/>
    <n v="0"/>
    <s v="U30119"/>
    <s v="L1144/47"/>
    <x v="56"/>
    <m/>
    <m/>
    <m/>
    <n v="0"/>
    <m/>
    <m/>
  </r>
  <r>
    <n v="2650"/>
    <x v="34"/>
    <s v="Night"/>
    <x v="0"/>
    <n v="2000715872"/>
    <n v="1100"/>
    <n v="30"/>
    <n v="0"/>
    <s v="U30119"/>
    <s v="L1144/47"/>
    <x v="56"/>
    <m/>
    <m/>
    <m/>
    <n v="0"/>
    <m/>
    <m/>
  </r>
  <r>
    <n v="2651"/>
    <x v="34"/>
    <s v="Night"/>
    <x v="0"/>
    <n v="2000715863"/>
    <n v="2400"/>
    <n v="40"/>
    <n v="0"/>
    <s v="U27724"/>
    <s v="L1144/47"/>
    <x v="59"/>
    <m/>
    <m/>
    <m/>
    <n v="0"/>
    <m/>
    <m/>
  </r>
  <r>
    <n v="2652"/>
    <x v="34"/>
    <s v="Night"/>
    <x v="0"/>
    <n v="2000715083"/>
    <n v="2180"/>
    <n v="700"/>
    <n v="0"/>
    <s v="U27724"/>
    <s v="L1144/47"/>
    <x v="92"/>
    <m/>
    <m/>
    <m/>
    <n v="0"/>
    <m/>
    <m/>
  </r>
  <r>
    <n v="2653"/>
    <x v="34"/>
    <s v="Night"/>
    <x v="0"/>
    <n v="2000715862"/>
    <n v="2400"/>
    <n v="1200"/>
    <n v="0"/>
    <s v="U27724"/>
    <s v="L1144/47"/>
    <x v="13"/>
    <m/>
    <m/>
    <m/>
    <n v="0"/>
    <m/>
    <m/>
  </r>
  <r>
    <n v="2654"/>
    <x v="34"/>
    <s v="Night"/>
    <x v="0"/>
    <n v="2000715603"/>
    <n v="2704"/>
    <n v="900"/>
    <n v="0"/>
    <s v="U27724"/>
    <s v="L1144/47"/>
    <x v="239"/>
    <m/>
    <m/>
    <m/>
    <n v="0"/>
    <m/>
    <m/>
  </r>
  <r>
    <n v="2655"/>
    <x v="34"/>
    <s v="Night"/>
    <x v="0"/>
    <n v="2000715604"/>
    <n v="3996"/>
    <n v="400"/>
    <n v="0"/>
    <s v="U27724"/>
    <s v="L1174/75"/>
    <x v="66"/>
    <m/>
    <m/>
    <m/>
    <n v="0"/>
    <m/>
    <m/>
  </r>
  <r>
    <n v="2656"/>
    <x v="34"/>
    <s v="Night"/>
    <x v="0"/>
    <n v="2000715873"/>
    <n v="1500"/>
    <n v="80"/>
    <n v="0"/>
    <s v="U23987"/>
    <s v="L1144/47"/>
    <x v="1"/>
    <m/>
    <m/>
    <m/>
    <n v="0"/>
    <m/>
    <m/>
  </r>
  <r>
    <n v="2657"/>
    <x v="34"/>
    <s v="Night"/>
    <x v="0"/>
    <n v="2000716262"/>
    <n v="1050"/>
    <n v="420"/>
    <n v="0"/>
    <s v="U23987"/>
    <s v="L1077"/>
    <x v="2"/>
    <m/>
    <m/>
    <m/>
    <n v="0"/>
    <m/>
    <m/>
  </r>
  <r>
    <n v="2658"/>
    <x v="34"/>
    <s v="Night"/>
    <x v="0"/>
    <n v="2000715863"/>
    <n v="2400"/>
    <n v="120"/>
    <n v="0"/>
    <s v="U23987"/>
    <s v="L1144/47"/>
    <x v="59"/>
    <m/>
    <m/>
    <m/>
    <n v="0"/>
    <m/>
    <m/>
  </r>
  <r>
    <n v="2659"/>
    <x v="34"/>
    <s v="Night"/>
    <x v="0"/>
    <n v="2000715420"/>
    <n v="1600"/>
    <n v="300"/>
    <n v="0"/>
    <s v="U09749"/>
    <s v="L1077"/>
    <x v="10"/>
    <m/>
    <m/>
    <m/>
    <n v="0"/>
    <m/>
    <m/>
  </r>
  <r>
    <n v="2660"/>
    <x v="34"/>
    <s v="Night"/>
    <x v="0"/>
    <n v="2000715605"/>
    <n v="6600"/>
    <n v="600"/>
    <n v="0"/>
    <s v="U26613"/>
    <s v="L1112/13"/>
    <x v="75"/>
    <m/>
    <m/>
    <m/>
    <n v="0"/>
    <m/>
    <m/>
  </r>
  <r>
    <n v="2661"/>
    <x v="34"/>
    <s v="Night"/>
    <x v="0"/>
    <n v="2000715071"/>
    <n v="2300"/>
    <n v="1400"/>
    <n v="0"/>
    <s v="U26613"/>
    <s v="L1174/75"/>
    <x v="62"/>
    <m/>
    <m/>
    <m/>
    <n v="0"/>
    <m/>
    <m/>
  </r>
  <r>
    <n v="2662"/>
    <x v="34"/>
    <s v="Night"/>
    <x v="0"/>
    <n v="2000716661"/>
    <n v="648"/>
    <n v="647"/>
    <n v="0"/>
    <s v="U26613"/>
    <s v="L1151/52"/>
    <x v="167"/>
    <m/>
    <m/>
    <m/>
    <n v="0"/>
    <m/>
    <m/>
  </r>
  <r>
    <n v="2663"/>
    <x v="34"/>
    <s v="Night"/>
    <x v="0"/>
    <n v="2000715604"/>
    <n v="3996"/>
    <n v="400"/>
    <n v="0"/>
    <s v="U26613"/>
    <s v="L1174/75"/>
    <x v="66"/>
    <m/>
    <m/>
    <m/>
    <n v="0"/>
    <m/>
    <m/>
  </r>
  <r>
    <n v="2664"/>
    <x v="34"/>
    <s v="Night"/>
    <x v="0"/>
    <n v="2000715184"/>
    <n v="6352"/>
    <n v="1440"/>
    <n v="0"/>
    <s v="U09854"/>
    <s v="L1112/13"/>
    <x v="8"/>
    <m/>
    <m/>
    <m/>
    <n v="0"/>
    <m/>
    <m/>
  </r>
  <r>
    <n v="2665"/>
    <x v="34"/>
    <s v="Night"/>
    <x v="0"/>
    <n v="2000715604"/>
    <n v="3996"/>
    <n v="300"/>
    <n v="0"/>
    <s v="U09854"/>
    <s v="L1174/75"/>
    <x v="66"/>
    <m/>
    <m/>
    <m/>
    <n v="0"/>
    <m/>
    <m/>
  </r>
  <r>
    <n v="2666"/>
    <x v="34"/>
    <s v="Night"/>
    <x v="0"/>
    <n v="2000716655"/>
    <n v="1000"/>
    <n v="130"/>
    <n v="0"/>
    <s v="U36008"/>
    <s v="L1188/89"/>
    <x v="72"/>
    <m/>
    <m/>
    <m/>
    <n v="0"/>
    <m/>
    <m/>
  </r>
  <r>
    <n v="2667"/>
    <x v="34"/>
    <s v="Night"/>
    <x v="0"/>
    <n v="2000716461"/>
    <n v="320"/>
    <n v="270"/>
    <n v="0"/>
    <s v="U36008"/>
    <s v="L1188/89"/>
    <x v="60"/>
    <m/>
    <m/>
    <m/>
    <n v="0"/>
    <m/>
    <m/>
  </r>
  <r>
    <n v="2668"/>
    <x v="35"/>
    <s v="Day"/>
    <x v="0"/>
    <n v="2000716321"/>
    <n v="500"/>
    <n v="220"/>
    <n v="0"/>
    <s v="U32991"/>
    <s v="L1188/89"/>
    <x v="130"/>
    <m/>
    <m/>
    <m/>
    <n v="0"/>
    <m/>
    <m/>
  </r>
  <r>
    <n v="2669"/>
    <x v="35"/>
    <s v="Day"/>
    <x v="0"/>
    <n v="2000716458"/>
    <n v="220"/>
    <n v="80"/>
    <n v="0"/>
    <s v="U32991"/>
    <s v="L1188/89"/>
    <x v="43"/>
    <m/>
    <m/>
    <m/>
    <n v="0"/>
    <m/>
    <m/>
  </r>
  <r>
    <n v="2670"/>
    <x v="35"/>
    <s v="Day"/>
    <x v="0"/>
    <n v="2000715874"/>
    <n v="920"/>
    <n v="90"/>
    <n v="0"/>
    <s v="U32991"/>
    <s v="L1144/47"/>
    <x v="56"/>
    <m/>
    <m/>
    <m/>
    <n v="0"/>
    <m/>
    <m/>
  </r>
  <r>
    <n v="2671"/>
    <x v="35"/>
    <s v="Day"/>
    <x v="0"/>
    <n v="2000715715"/>
    <n v="1230"/>
    <n v="140"/>
    <n v="0"/>
    <s v="U32991"/>
    <s v="L1172/73"/>
    <x v="19"/>
    <m/>
    <m/>
    <m/>
    <n v="0"/>
    <m/>
    <m/>
  </r>
  <r>
    <n v="2672"/>
    <x v="35"/>
    <s v="Day"/>
    <x v="0"/>
    <n v="2000715552"/>
    <n v="1010"/>
    <n v="30"/>
    <n v="0"/>
    <s v="U32991"/>
    <s v="L1193/94"/>
    <x v="104"/>
    <m/>
    <m/>
    <m/>
    <n v="0"/>
    <m/>
    <m/>
  </r>
  <r>
    <n v="2673"/>
    <x v="35"/>
    <s v="Day"/>
    <x v="0"/>
    <n v="2000716434"/>
    <n v="690"/>
    <n v="130"/>
    <n v="0"/>
    <s v="U32991"/>
    <s v="L1193/94"/>
    <x v="192"/>
    <m/>
    <m/>
    <m/>
    <n v="0"/>
    <m/>
    <m/>
  </r>
  <r>
    <n v="2674"/>
    <x v="35"/>
    <s v="Day"/>
    <x v="0"/>
    <n v="2000715604"/>
    <n v="3996"/>
    <n v="900"/>
    <n v="0"/>
    <s v="U03968"/>
    <s v="L1174/75"/>
    <x v="66"/>
    <m/>
    <m/>
    <m/>
    <n v="0"/>
    <m/>
    <m/>
  </r>
  <r>
    <n v="2675"/>
    <x v="35"/>
    <s v="Day"/>
    <x v="0"/>
    <n v="2000715422"/>
    <n v="1600"/>
    <n v="640"/>
    <n v="0"/>
    <s v="U03968"/>
    <s v="L1077"/>
    <x v="6"/>
    <m/>
    <m/>
    <m/>
    <n v="0"/>
    <m/>
    <m/>
  </r>
  <r>
    <n v="2676"/>
    <x v="35"/>
    <s v="Day"/>
    <x v="0"/>
    <n v="2000716256"/>
    <n v="1050"/>
    <n v="120"/>
    <n v="0"/>
    <s v="U03968"/>
    <s v="L1077"/>
    <x v="36"/>
    <m/>
    <m/>
    <m/>
    <n v="0"/>
    <m/>
    <m/>
  </r>
  <r>
    <n v="2677"/>
    <x v="35"/>
    <s v="Day"/>
    <x v="0"/>
    <n v="2000716198"/>
    <n v="300"/>
    <n v="80"/>
    <n v="0"/>
    <s v="U03968"/>
    <s v="L1077"/>
    <x v="36"/>
    <m/>
    <m/>
    <m/>
    <n v="0"/>
    <m/>
    <m/>
  </r>
  <r>
    <n v="2678"/>
    <x v="35"/>
    <s v="Day"/>
    <x v="0"/>
    <n v="2000716196"/>
    <n v="300"/>
    <n v="100"/>
    <n v="0"/>
    <s v="U03968"/>
    <s v="L1077"/>
    <x v="33"/>
    <m/>
    <m/>
    <m/>
    <n v="0"/>
    <m/>
    <m/>
  </r>
  <r>
    <n v="2679"/>
    <x v="35"/>
    <s v="Day"/>
    <x v="0"/>
    <n v="2000715421"/>
    <n v="1600"/>
    <n v="200"/>
    <n v="0"/>
    <s v="U03968"/>
    <s v="L1077"/>
    <x v="33"/>
    <m/>
    <m/>
    <m/>
    <n v="0"/>
    <m/>
    <m/>
  </r>
  <r>
    <n v="2680"/>
    <x v="35"/>
    <s v="Day"/>
    <x v="0"/>
    <n v="2000715073"/>
    <n v="1410"/>
    <n v="200"/>
    <n v="0"/>
    <s v="U03968"/>
    <s v="L1174/75"/>
    <x v="62"/>
    <m/>
    <m/>
    <m/>
    <n v="0"/>
    <m/>
    <m/>
  </r>
  <r>
    <n v="2681"/>
    <x v="35"/>
    <s v="Day"/>
    <x v="0"/>
    <n v="2000714128"/>
    <n v="4210"/>
    <n v="240"/>
    <n v="0"/>
    <s v="U03968"/>
    <s v="T515"/>
    <x v="15"/>
    <m/>
    <m/>
    <m/>
    <n v="0"/>
    <m/>
    <m/>
  </r>
  <r>
    <n v="2682"/>
    <x v="35"/>
    <s v="Day"/>
    <x v="0"/>
    <n v="2000715860"/>
    <n v="2400"/>
    <n v="200"/>
    <n v="0"/>
    <s v="U03968"/>
    <s v="L1144/47"/>
    <x v="92"/>
    <m/>
    <m/>
    <m/>
    <n v="0"/>
    <m/>
    <m/>
  </r>
  <r>
    <n v="2683"/>
    <x v="35"/>
    <s v="Day"/>
    <x v="0"/>
    <n v="2000715423"/>
    <n v="1600"/>
    <n v="160"/>
    <n v="0"/>
    <s v="U03968"/>
    <s v="L1077"/>
    <x v="36"/>
    <m/>
    <m/>
    <m/>
    <n v="0"/>
    <m/>
    <m/>
  </r>
  <r>
    <n v="2684"/>
    <x v="35"/>
    <s v="Day"/>
    <x v="0"/>
    <n v="2000716262"/>
    <n v="1050"/>
    <n v="20"/>
    <n v="0"/>
    <s v="U30425"/>
    <s v="L1077"/>
    <x v="2"/>
    <m/>
    <m/>
    <m/>
    <n v="0"/>
    <m/>
    <m/>
  </r>
  <r>
    <n v="2685"/>
    <x v="35"/>
    <s v="Day"/>
    <x v="0"/>
    <n v="2000715863"/>
    <n v="2400"/>
    <n v="80"/>
    <n v="0"/>
    <s v="U30425"/>
    <s v="L1144/47"/>
    <x v="59"/>
    <m/>
    <m/>
    <m/>
    <n v="0"/>
    <m/>
    <m/>
  </r>
  <r>
    <n v="2686"/>
    <x v="35"/>
    <s v="Day"/>
    <x v="0"/>
    <n v="2000715668"/>
    <n v="1900"/>
    <n v="120"/>
    <n v="0"/>
    <s v="U30425"/>
    <s v="L1174/75"/>
    <x v="40"/>
    <m/>
    <m/>
    <m/>
    <n v="0"/>
    <m/>
    <m/>
  </r>
  <r>
    <n v="2687"/>
    <x v="35"/>
    <s v="Day"/>
    <x v="0"/>
    <n v="2000716276"/>
    <n v="800"/>
    <n v="80"/>
    <n v="0"/>
    <s v="U30425"/>
    <s v="L1174/75"/>
    <x v="3"/>
    <m/>
    <m/>
    <m/>
    <n v="0"/>
    <m/>
    <m/>
  </r>
  <r>
    <n v="2688"/>
    <x v="35"/>
    <s v="Day"/>
    <x v="0"/>
    <n v="2000716281"/>
    <n v="1100"/>
    <n v="80"/>
    <n v="0"/>
    <s v="U30425"/>
    <s v="L1174/75"/>
    <x v="3"/>
    <m/>
    <m/>
    <m/>
    <n v="0"/>
    <m/>
    <m/>
  </r>
  <r>
    <n v="2689"/>
    <x v="35"/>
    <s v="Day"/>
    <x v="0"/>
    <n v="2000716476"/>
    <n v="440"/>
    <n v="80"/>
    <n v="0"/>
    <s v="U30425"/>
    <s v="L1144/47"/>
    <x v="120"/>
    <m/>
    <m/>
    <m/>
    <n v="0"/>
    <m/>
    <m/>
  </r>
  <r>
    <n v="2690"/>
    <x v="35"/>
    <s v="Day"/>
    <x v="0"/>
    <n v="2000715074"/>
    <n v="1410"/>
    <n v="120"/>
    <n v="0"/>
    <s v="U30425"/>
    <s v="L1174/75"/>
    <x v="61"/>
    <m/>
    <m/>
    <m/>
    <n v="0"/>
    <m/>
    <m/>
  </r>
  <r>
    <n v="2691"/>
    <x v="35"/>
    <s v="Day"/>
    <x v="0"/>
    <n v="2000716654"/>
    <n v="1200"/>
    <n v="80"/>
    <n v="0"/>
    <s v="U30425"/>
    <s v="L1168/69"/>
    <x v="195"/>
    <m/>
    <m/>
    <m/>
    <n v="0"/>
    <m/>
    <m/>
  </r>
  <r>
    <n v="2692"/>
    <x v="35"/>
    <s v="Day"/>
    <x v="0"/>
    <n v="2000716461"/>
    <n v="320"/>
    <n v="40"/>
    <n v="0"/>
    <s v="U18660"/>
    <s v="L1188/89"/>
    <x v="60"/>
    <m/>
    <m/>
    <m/>
    <n v="0"/>
    <m/>
    <m/>
  </r>
  <r>
    <n v="2693"/>
    <x v="35"/>
    <s v="Day"/>
    <x v="0"/>
    <n v="2000716466"/>
    <n v="360"/>
    <n v="360"/>
    <n v="0"/>
    <s v="U18660"/>
    <s v="L1188/89"/>
    <x v="16"/>
    <m/>
    <m/>
    <m/>
    <n v="0"/>
    <m/>
    <m/>
  </r>
  <r>
    <n v="2694"/>
    <x v="35"/>
    <s v="Day"/>
    <x v="0"/>
    <n v="2000716457"/>
    <n v="280"/>
    <n v="40"/>
    <n v="0"/>
    <s v="U18660"/>
    <s v="L1188/89"/>
    <x v="16"/>
    <m/>
    <m/>
    <m/>
    <n v="0"/>
    <m/>
    <m/>
  </r>
  <r>
    <n v="2695"/>
    <x v="35"/>
    <s v="Day"/>
    <x v="0"/>
    <n v="2000716321"/>
    <n v="500"/>
    <n v="240"/>
    <n v="0"/>
    <s v="U18660"/>
    <s v="L1188/89"/>
    <x v="130"/>
    <m/>
    <m/>
    <m/>
    <n v="0"/>
    <m/>
    <m/>
  </r>
  <r>
    <n v="2696"/>
    <x v="35"/>
    <s v="Day"/>
    <x v="0"/>
    <n v="2000716292"/>
    <n v="1000"/>
    <n v="90"/>
    <n v="0"/>
    <s v="U18660"/>
    <s v="L1188/89"/>
    <x v="109"/>
    <m/>
    <m/>
    <m/>
    <n v="0"/>
    <m/>
    <m/>
  </r>
  <r>
    <n v="2697"/>
    <x v="35"/>
    <s v="Day"/>
    <x v="0"/>
    <n v="2000716462"/>
    <n v="150"/>
    <n v="20"/>
    <n v="0"/>
    <s v="U18660"/>
    <s v="L1188/89"/>
    <x v="17"/>
    <m/>
    <m/>
    <m/>
    <n v="0"/>
    <m/>
    <m/>
  </r>
  <r>
    <n v="2698"/>
    <x v="35"/>
    <s v="Day"/>
    <x v="0"/>
    <n v="2000716292"/>
    <n v="1000"/>
    <n v="775"/>
    <n v="0"/>
    <s v="U29686"/>
    <s v="L1188/89"/>
    <x v="109"/>
    <m/>
    <m/>
    <m/>
    <n v="0"/>
    <m/>
    <m/>
  </r>
  <r>
    <n v="2699"/>
    <x v="35"/>
    <s v="Day"/>
    <x v="0"/>
    <n v="2000716662"/>
    <n v="1000"/>
    <n v="55"/>
    <n v="0"/>
    <s v="U29686"/>
    <s v="L1188/89"/>
    <x v="109"/>
    <m/>
    <m/>
    <m/>
    <n v="0"/>
    <m/>
    <m/>
  </r>
  <r>
    <n v="2700"/>
    <x v="35"/>
    <s v="Day"/>
    <x v="0"/>
    <n v="2000716458"/>
    <n v="220"/>
    <n v="140"/>
    <n v="0"/>
    <s v="U05944"/>
    <s v="L1188/89"/>
    <x v="43"/>
    <m/>
    <m/>
    <m/>
    <n v="0"/>
    <m/>
    <m/>
  </r>
  <r>
    <n v="2701"/>
    <x v="35"/>
    <s v="Day"/>
    <x v="0"/>
    <n v="2000716707"/>
    <n v="300"/>
    <n v="160"/>
    <n v="0"/>
    <s v="U05944"/>
    <s v="L1188/89"/>
    <x v="60"/>
    <m/>
    <m/>
    <m/>
    <n v="0"/>
    <m/>
    <m/>
  </r>
  <r>
    <n v="2702"/>
    <x v="35"/>
    <s v="Day"/>
    <x v="0"/>
    <n v="2000716462"/>
    <n v="150"/>
    <n v="20"/>
    <n v="0"/>
    <s v="U05944"/>
    <s v="L1188/89"/>
    <x v="17"/>
    <m/>
    <m/>
    <m/>
    <n v="0"/>
    <m/>
    <m/>
  </r>
  <r>
    <n v="2703"/>
    <x v="35"/>
    <s v="Day"/>
    <x v="0"/>
    <n v="2000716455"/>
    <n v="1200"/>
    <n v="250"/>
    <n v="0"/>
    <s v="U36387"/>
    <s v="L1186"/>
    <x v="76"/>
    <m/>
    <m/>
    <m/>
    <n v="0"/>
    <m/>
    <m/>
  </r>
  <r>
    <n v="2704"/>
    <x v="35"/>
    <s v="Day"/>
    <x v="0"/>
    <n v="2000715606"/>
    <n v="3600"/>
    <n v="300"/>
    <n v="0"/>
    <s v="U36387"/>
    <s v="L1172/73"/>
    <x v="7"/>
    <m/>
    <m/>
    <m/>
    <n v="0"/>
    <m/>
    <m/>
  </r>
  <r>
    <n v="2705"/>
    <x v="35"/>
    <s v="Day"/>
    <x v="0"/>
    <n v="2000715760"/>
    <n v="440"/>
    <n v="80"/>
    <n v="0"/>
    <s v="U36073"/>
    <s v="L1144/47"/>
    <x v="57"/>
    <m/>
    <m/>
    <m/>
    <n v="0"/>
    <m/>
    <m/>
  </r>
  <r>
    <n v="2706"/>
    <x v="35"/>
    <s v="Day"/>
    <x v="0"/>
    <n v="2000715184"/>
    <n v="6352"/>
    <n v="920"/>
    <n v="0"/>
    <s v="U27723"/>
    <s v="L1112/13"/>
    <x v="8"/>
    <m/>
    <m/>
    <m/>
    <n v="0"/>
    <m/>
    <m/>
  </r>
  <r>
    <n v="2707"/>
    <x v="35"/>
    <s v="Day"/>
    <x v="0"/>
    <n v="2000715184"/>
    <n v="6352"/>
    <n v="120"/>
    <n v="0"/>
    <s v="U27723"/>
    <s v="L1112/13"/>
    <x v="8"/>
    <m/>
    <m/>
    <m/>
    <n v="0"/>
    <m/>
    <m/>
  </r>
  <r>
    <n v="2708"/>
    <x v="35"/>
    <s v="Day"/>
    <x v="0"/>
    <n v="2000716321"/>
    <n v="500"/>
    <n v="40"/>
    <n v="0"/>
    <s v="U27723"/>
    <s v="L1188/89"/>
    <x v="130"/>
    <m/>
    <m/>
    <m/>
    <n v="0"/>
    <m/>
    <m/>
  </r>
  <r>
    <n v="2709"/>
    <x v="35"/>
    <s v="Day"/>
    <x v="0"/>
    <n v="2000715760"/>
    <n v="440"/>
    <n v="60"/>
    <n v="0"/>
    <s v="U27723"/>
    <s v="L1144/47"/>
    <x v="57"/>
    <m/>
    <m/>
    <m/>
    <n v="0"/>
    <m/>
    <m/>
  </r>
  <r>
    <n v="2710"/>
    <x v="35"/>
    <s v="Day"/>
    <x v="0"/>
    <n v="2000715863"/>
    <n v="2400"/>
    <n v="40"/>
    <n v="0"/>
    <s v="U27687"/>
    <s v="L1144/47"/>
    <x v="59"/>
    <m/>
    <m/>
    <m/>
    <n v="0"/>
    <m/>
    <m/>
  </r>
  <r>
    <n v="2711"/>
    <x v="35"/>
    <s v="Day"/>
    <x v="0"/>
    <n v="2000716262"/>
    <n v="1050"/>
    <n v="140"/>
    <n v="0"/>
    <s v="U27687"/>
    <s v="L1077"/>
    <x v="2"/>
    <m/>
    <m/>
    <m/>
    <n v="0"/>
    <m/>
    <m/>
  </r>
  <r>
    <n v="2712"/>
    <x v="35"/>
    <s v="Day"/>
    <x v="0"/>
    <n v="2000716660"/>
    <n v="600"/>
    <n v="20"/>
    <n v="0"/>
    <s v="U27687"/>
    <s v="L1077"/>
    <x v="2"/>
    <m/>
    <m/>
    <m/>
    <n v="0"/>
    <m/>
    <m/>
  </r>
  <r>
    <n v="2713"/>
    <x v="35"/>
    <s v="Day"/>
    <x v="0"/>
    <n v="2000715219"/>
    <n v="3000"/>
    <n v="120"/>
    <n v="0"/>
    <s v="U27687"/>
    <s v="L1168/69"/>
    <x v="37"/>
    <m/>
    <m/>
    <m/>
    <n v="0"/>
    <m/>
    <m/>
  </r>
  <r>
    <n v="2714"/>
    <x v="35"/>
    <s v="Day"/>
    <x v="0"/>
    <n v="2000716292"/>
    <n v="1000"/>
    <n v="90"/>
    <n v="0"/>
    <s v="U27687"/>
    <s v="L1188/89"/>
    <x v="109"/>
    <m/>
    <m/>
    <m/>
    <n v="0"/>
    <m/>
    <m/>
  </r>
  <r>
    <n v="2715"/>
    <x v="35"/>
    <s v="Day"/>
    <x v="0"/>
    <n v="2000716662"/>
    <n v="1000"/>
    <n v="135"/>
    <n v="0"/>
    <s v="U27687"/>
    <s v="L1188/89"/>
    <x v="109"/>
    <m/>
    <m/>
    <m/>
    <n v="0"/>
    <m/>
    <m/>
  </r>
  <r>
    <n v="2716"/>
    <x v="35"/>
    <s v="Day"/>
    <x v="0"/>
    <n v="2000713862"/>
    <n v="2640"/>
    <n v="240"/>
    <n v="0"/>
    <s v="U24426"/>
    <s v="L1193/94"/>
    <x v="30"/>
    <m/>
    <m/>
    <m/>
    <n v="0"/>
    <m/>
    <m/>
  </r>
  <r>
    <n v="2717"/>
    <x v="35"/>
    <s v="Day"/>
    <x v="0"/>
    <n v="2000715710"/>
    <n v="1150"/>
    <n v="200"/>
    <n v="0"/>
    <s v="U24426"/>
    <s v="L1186"/>
    <x v="35"/>
    <m/>
    <m/>
    <m/>
    <n v="0"/>
    <m/>
    <m/>
  </r>
  <r>
    <n v="2718"/>
    <x v="35"/>
    <s v="Day"/>
    <x v="0"/>
    <n v="2000715915"/>
    <n v="6600"/>
    <n v="1200"/>
    <n v="0"/>
    <s v="U24426"/>
    <s v="L1112/13"/>
    <x v="75"/>
    <m/>
    <m/>
    <m/>
    <n v="0"/>
    <m/>
    <m/>
  </r>
  <r>
    <n v="2719"/>
    <x v="35"/>
    <s v="Day"/>
    <x v="0"/>
    <n v="2000715861"/>
    <n v="2400"/>
    <n v="150"/>
    <n v="0"/>
    <s v="U24426"/>
    <s v="L1144/47"/>
    <x v="77"/>
    <m/>
    <m/>
    <m/>
    <n v="0"/>
    <m/>
    <m/>
  </r>
  <r>
    <n v="2720"/>
    <x v="35"/>
    <s v="Day"/>
    <x v="1"/>
    <n v="2000716002"/>
    <n v="120"/>
    <n v="90"/>
    <n v="0"/>
    <s v="U15759"/>
    <s v="PSLV"/>
    <x v="79"/>
    <m/>
    <m/>
    <m/>
    <n v="0"/>
    <m/>
    <m/>
  </r>
  <r>
    <n v="2721"/>
    <x v="35"/>
    <s v="Day"/>
    <x v="1"/>
    <n v="2000716001"/>
    <n v="250"/>
    <n v="250"/>
    <n v="0"/>
    <s v="U15759"/>
    <s v="PSLV"/>
    <x v="49"/>
    <m/>
    <m/>
    <m/>
    <n v="0"/>
    <m/>
    <m/>
  </r>
  <r>
    <n v="2722"/>
    <x v="35"/>
    <s v="Day"/>
    <x v="1"/>
    <n v="2000714436"/>
    <n v="700"/>
    <n v="10"/>
    <n v="0"/>
    <s v="U15759"/>
    <s v="PSLV"/>
    <x v="49"/>
    <m/>
    <m/>
    <m/>
    <n v="0"/>
    <m/>
    <m/>
  </r>
  <r>
    <n v="2723"/>
    <x v="35"/>
    <s v="Day"/>
    <x v="1"/>
    <n v="2000715996"/>
    <n v="810"/>
    <n v="300"/>
    <n v="0"/>
    <s v="U15759"/>
    <s v="SHANKS"/>
    <x v="106"/>
    <m/>
    <m/>
    <m/>
    <n v="0"/>
    <m/>
    <m/>
  </r>
  <r>
    <n v="2724"/>
    <x v="35"/>
    <s v="Day"/>
    <x v="1"/>
    <n v="2000715659"/>
    <n v="1140"/>
    <n v="105"/>
    <n v="0"/>
    <s v="U15759"/>
    <s v="SHANKS"/>
    <x v="24"/>
    <m/>
    <m/>
    <m/>
    <n v="0"/>
    <m/>
    <m/>
  </r>
  <r>
    <n v="2725"/>
    <x v="35"/>
    <s v="Day"/>
    <x v="1"/>
    <n v="2000716005"/>
    <n v="430"/>
    <n v="320"/>
    <n v="0"/>
    <s v="U15759"/>
    <s v="PSHV"/>
    <x v="80"/>
    <m/>
    <m/>
    <m/>
    <n v="0"/>
    <m/>
    <m/>
  </r>
  <r>
    <n v="2726"/>
    <x v="35"/>
    <s v="Day"/>
    <x v="1"/>
    <n v="2000716426"/>
    <n v="800"/>
    <n v="440"/>
    <n v="0"/>
    <s v="U15759"/>
    <s v="SHANKS"/>
    <x v="67"/>
    <m/>
    <m/>
    <m/>
    <n v="0"/>
    <m/>
    <m/>
  </r>
  <r>
    <n v="2727"/>
    <x v="35"/>
    <s v="Day"/>
    <x v="1"/>
    <n v="2000716585"/>
    <n v="800"/>
    <n v="360"/>
    <n v="0"/>
    <s v="U15759"/>
    <s v="SHANKS"/>
    <x v="67"/>
    <m/>
    <m/>
    <m/>
    <n v="0"/>
    <m/>
    <m/>
  </r>
  <r>
    <n v="2728"/>
    <x v="35"/>
    <s v="Night"/>
    <x v="0"/>
    <n v="2000716462"/>
    <n v="150"/>
    <n v="40"/>
    <n v="0"/>
    <s v="U36008"/>
    <s v="L1188/89"/>
    <x v="17"/>
    <m/>
    <m/>
    <m/>
    <n v="0"/>
    <m/>
    <m/>
  </r>
  <r>
    <n v="2729"/>
    <x v="35"/>
    <s v="Night"/>
    <x v="0"/>
    <n v="2000716707"/>
    <n v="300"/>
    <n v="120"/>
    <n v="0"/>
    <s v="U36008"/>
    <s v="L1188/89"/>
    <x v="60"/>
    <m/>
    <m/>
    <m/>
    <n v="0"/>
    <m/>
    <m/>
  </r>
  <r>
    <n v="2730"/>
    <x v="35"/>
    <s v="Night"/>
    <x v="0"/>
    <n v="2000716704"/>
    <n v="280"/>
    <n v="160"/>
    <n v="0"/>
    <s v="U36008"/>
    <s v="L1188/89"/>
    <x v="95"/>
    <m/>
    <m/>
    <m/>
    <n v="0"/>
    <m/>
    <m/>
  </r>
  <r>
    <n v="2731"/>
    <x v="35"/>
    <s v="Night"/>
    <x v="0"/>
    <n v="2000716320"/>
    <n v="120"/>
    <n v="120"/>
    <n v="0"/>
    <s v="U36008"/>
    <s v="L1188/89"/>
    <x v="95"/>
    <m/>
    <m/>
    <m/>
    <n v="0"/>
    <m/>
    <m/>
  </r>
  <r>
    <n v="2732"/>
    <x v="35"/>
    <s v="Night"/>
    <x v="0"/>
    <n v="2000716662"/>
    <n v="1000"/>
    <n v="802"/>
    <n v="0"/>
    <s v="U23987"/>
    <s v="L1188/89"/>
    <x v="109"/>
    <m/>
    <m/>
    <m/>
    <n v="0"/>
    <m/>
    <m/>
  </r>
  <r>
    <n v="2733"/>
    <x v="35"/>
    <s v="Night"/>
    <x v="0"/>
    <n v="2000714534"/>
    <n v="856"/>
    <n v="6"/>
    <n v="0"/>
    <s v="U23987"/>
    <s v="L1209/10"/>
    <x v="68"/>
    <m/>
    <m/>
    <m/>
    <n v="0"/>
    <m/>
    <m/>
  </r>
  <r>
    <n v="2734"/>
    <x v="35"/>
    <s v="Night"/>
    <x v="0"/>
    <n v="2000708960"/>
    <n v="1300"/>
    <n v="1"/>
    <n v="0"/>
    <s v="U23987"/>
    <s v="L1209/10"/>
    <x v="68"/>
    <m/>
    <m/>
    <m/>
    <n v="0"/>
    <m/>
    <m/>
  </r>
  <r>
    <n v="2735"/>
    <x v="35"/>
    <s v="Night"/>
    <x v="0"/>
    <n v="2000716481"/>
    <n v="700"/>
    <n v="45"/>
    <n v="0"/>
    <s v="U23987"/>
    <s v="L1209/10"/>
    <x v="68"/>
    <m/>
    <m/>
    <m/>
    <n v="0"/>
    <m/>
    <m/>
  </r>
  <r>
    <n v="2736"/>
    <x v="35"/>
    <s v="Night"/>
    <x v="0"/>
    <n v="2000716707"/>
    <n v="300"/>
    <n v="15"/>
    <n v="0"/>
    <s v="U27724"/>
    <s v="L1188/89"/>
    <x v="60"/>
    <m/>
    <m/>
    <m/>
    <n v="0"/>
    <m/>
    <m/>
  </r>
  <r>
    <n v="2737"/>
    <x v="35"/>
    <s v="Night"/>
    <x v="0"/>
    <n v="2000716281"/>
    <n v="1100"/>
    <n v="135"/>
    <n v="0"/>
    <s v="U27724"/>
    <s v="L1174/75"/>
    <x v="3"/>
    <m/>
    <m/>
    <m/>
    <n v="0"/>
    <m/>
    <m/>
  </r>
  <r>
    <n v="2738"/>
    <x v="35"/>
    <s v="Night"/>
    <x v="0"/>
    <n v="2000715715"/>
    <n v="1230"/>
    <n v="90"/>
    <n v="0"/>
    <s v="U27724"/>
    <s v="L1172/73"/>
    <x v="19"/>
    <m/>
    <m/>
    <m/>
    <n v="0"/>
    <m/>
    <m/>
  </r>
  <r>
    <n v="2739"/>
    <x v="35"/>
    <s v="Night"/>
    <x v="0"/>
    <n v="2000715863"/>
    <n v="2400"/>
    <n v="200"/>
    <n v="0"/>
    <s v="U27724"/>
    <s v="L1144/47"/>
    <x v="59"/>
    <m/>
    <m/>
    <m/>
    <n v="0"/>
    <m/>
    <m/>
  </r>
  <r>
    <n v="2740"/>
    <x v="35"/>
    <s v="Night"/>
    <x v="0"/>
    <n v="2000715867"/>
    <n v="1600"/>
    <n v="289"/>
    <n v="0"/>
    <s v="U27724"/>
    <s v="L1144/47"/>
    <x v="59"/>
    <m/>
    <m/>
    <m/>
    <n v="0"/>
    <m/>
    <m/>
  </r>
  <r>
    <n v="2741"/>
    <x v="35"/>
    <s v="Night"/>
    <x v="0"/>
    <n v="2000715074"/>
    <n v="1410"/>
    <n v="150"/>
    <n v="0"/>
    <s v="U27724"/>
    <s v="L1174/75"/>
    <x v="61"/>
    <m/>
    <m/>
    <m/>
    <n v="0"/>
    <m/>
    <m/>
  </r>
  <r>
    <n v="2742"/>
    <x v="35"/>
    <s v="Night"/>
    <x v="0"/>
    <n v="2000716469"/>
    <n v="64"/>
    <n v="61"/>
    <n v="0"/>
    <s v="U27724"/>
    <s v="L1172/73"/>
    <x v="193"/>
    <m/>
    <m/>
    <m/>
    <n v="0"/>
    <m/>
    <m/>
  </r>
  <r>
    <n v="2743"/>
    <x v="35"/>
    <s v="Night"/>
    <x v="0"/>
    <n v="2000716253"/>
    <n v="1050"/>
    <n v="200"/>
    <n v="0"/>
    <s v="U26613"/>
    <s v="L1077"/>
    <x v="10"/>
    <m/>
    <m/>
    <m/>
    <n v="0"/>
    <m/>
    <m/>
  </r>
  <r>
    <n v="2744"/>
    <x v="35"/>
    <s v="Night"/>
    <x v="0"/>
    <n v="2000716193"/>
    <n v="300"/>
    <n v="100"/>
    <n v="0"/>
    <s v="U26613"/>
    <s v="L1077"/>
    <x v="10"/>
    <m/>
    <m/>
    <m/>
    <n v="0"/>
    <m/>
    <m/>
  </r>
  <r>
    <n v="2745"/>
    <x v="35"/>
    <s v="Night"/>
    <x v="0"/>
    <n v="2000715072"/>
    <n v="520"/>
    <n v="200"/>
    <n v="0"/>
    <s v="U26613"/>
    <s v="L1174/75"/>
    <x v="62"/>
    <m/>
    <m/>
    <m/>
    <n v="0"/>
    <m/>
    <m/>
  </r>
  <r>
    <n v="2746"/>
    <x v="35"/>
    <s v="Night"/>
    <x v="0"/>
    <n v="2000715605"/>
    <n v="6600"/>
    <n v="1200"/>
    <n v="0"/>
    <s v="U26613"/>
    <s v="L1112/13"/>
    <x v="75"/>
    <m/>
    <m/>
    <m/>
    <n v="0"/>
    <m/>
    <m/>
  </r>
  <r>
    <n v="2747"/>
    <x v="35"/>
    <s v="Night"/>
    <x v="0"/>
    <n v="2000715194"/>
    <n v="4200"/>
    <n v="240"/>
    <n v="0"/>
    <s v="U26613"/>
    <s v="T515"/>
    <x v="15"/>
    <m/>
    <m/>
    <m/>
    <n v="0"/>
    <m/>
    <m/>
  </r>
  <r>
    <n v="2748"/>
    <x v="35"/>
    <s v="Night"/>
    <x v="0"/>
    <n v="2000715606"/>
    <n v="3600"/>
    <n v="300"/>
    <n v="0"/>
    <s v="U26613"/>
    <s v="L1172/73"/>
    <x v="7"/>
    <m/>
    <m/>
    <m/>
    <n v="0"/>
    <m/>
    <m/>
  </r>
  <r>
    <n v="2749"/>
    <x v="35"/>
    <s v="Night"/>
    <x v="0"/>
    <n v="2000715861"/>
    <n v="2400"/>
    <n v="400"/>
    <n v="0"/>
    <s v="U26613"/>
    <s v="L1144/47"/>
    <x v="77"/>
    <m/>
    <m/>
    <m/>
    <n v="0"/>
    <m/>
    <m/>
  </r>
  <r>
    <n v="2750"/>
    <x v="35"/>
    <s v="Night"/>
    <x v="0"/>
    <n v="2000715866"/>
    <n v="1600"/>
    <n v="660"/>
    <n v="0"/>
    <s v="U26613"/>
    <s v="L1144/47"/>
    <x v="13"/>
    <m/>
    <m/>
    <m/>
    <n v="0"/>
    <m/>
    <m/>
  </r>
  <r>
    <n v="2751"/>
    <x v="35"/>
    <s v="Night"/>
    <x v="0"/>
    <n v="2000715873"/>
    <n v="1500"/>
    <n v="20"/>
    <n v="0"/>
    <s v="U09854"/>
    <s v="L1144/47"/>
    <x v="1"/>
    <m/>
    <m/>
    <m/>
    <n v="0"/>
    <m/>
    <m/>
  </r>
  <r>
    <n v="2752"/>
    <x v="35"/>
    <s v="Night"/>
    <x v="0"/>
    <n v="2000716841"/>
    <n v="190"/>
    <n v="188"/>
    <n v="0"/>
    <s v="U09854"/>
    <s v="L1105"/>
    <x v="126"/>
    <m/>
    <m/>
    <m/>
    <n v="0"/>
    <m/>
    <m/>
  </r>
  <r>
    <n v="2753"/>
    <x v="35"/>
    <s v="Night"/>
    <x v="0"/>
    <n v="2000716654"/>
    <n v="1200"/>
    <n v="80"/>
    <n v="0"/>
    <s v="U09854"/>
    <s v="L1168/69"/>
    <x v="195"/>
    <m/>
    <m/>
    <m/>
    <n v="0"/>
    <m/>
    <m/>
  </r>
  <r>
    <n v="2754"/>
    <x v="35"/>
    <s v="Night"/>
    <x v="0"/>
    <n v="2000716462"/>
    <n v="150"/>
    <n v="40"/>
    <n v="0"/>
    <s v="U09854"/>
    <s v="L1188/89"/>
    <x v="17"/>
    <m/>
    <m/>
    <m/>
    <n v="0"/>
    <m/>
    <m/>
  </r>
  <r>
    <n v="2755"/>
    <x v="35"/>
    <s v="Night"/>
    <x v="0"/>
    <n v="2000715074"/>
    <n v="1410"/>
    <n v="430"/>
    <n v="0"/>
    <s v="U09854"/>
    <s v="L117/75"/>
    <x v="61"/>
    <m/>
    <m/>
    <m/>
    <n v="0"/>
    <m/>
    <m/>
  </r>
  <r>
    <n v="2756"/>
    <x v="35"/>
    <s v="Night"/>
    <x v="0"/>
    <n v="2000716672"/>
    <n v="1500"/>
    <n v="140"/>
    <n v="0"/>
    <s v="U09854"/>
    <s v="L117/75"/>
    <x v="61"/>
    <m/>
    <m/>
    <m/>
    <n v="0"/>
    <m/>
    <m/>
  </r>
  <r>
    <n v="2757"/>
    <x v="35"/>
    <s v="Night"/>
    <x v="0"/>
    <n v="2000716434"/>
    <n v="690"/>
    <n v="311"/>
    <n v="0"/>
    <s v="U31065"/>
    <s v="L1193/94"/>
    <x v="192"/>
    <m/>
    <m/>
    <m/>
    <n v="0"/>
    <m/>
    <m/>
  </r>
  <r>
    <n v="2758"/>
    <x v="35"/>
    <s v="Night"/>
    <x v="0"/>
    <n v="2000716435"/>
    <n v="340"/>
    <n v="270"/>
    <n v="0"/>
    <s v="U31065"/>
    <s v="L1193/94"/>
    <x v="116"/>
    <m/>
    <m/>
    <m/>
    <n v="0"/>
    <m/>
    <m/>
  </r>
  <r>
    <n v="2759"/>
    <x v="35"/>
    <s v="Night"/>
    <x v="1"/>
    <n v="2000716582"/>
    <n v="350"/>
    <n v="160"/>
    <n v="0"/>
    <s v="U30119"/>
    <s v="PSLV"/>
    <x v="135"/>
    <m/>
    <m/>
    <m/>
    <n v="0"/>
    <m/>
    <m/>
  </r>
  <r>
    <n v="2760"/>
    <x v="35"/>
    <s v="Night"/>
    <x v="1"/>
    <n v="2000716004"/>
    <n v="200"/>
    <n v="100"/>
    <n v="0"/>
    <s v="U30119"/>
    <s v="PSLV"/>
    <x v="166"/>
    <m/>
    <m/>
    <m/>
    <n v="0"/>
    <m/>
    <m/>
  </r>
  <r>
    <n v="2761"/>
    <x v="35"/>
    <s v="Night"/>
    <x v="1"/>
    <n v="2000715996"/>
    <n v="810"/>
    <n v="330"/>
    <n v="0"/>
    <s v="U30119"/>
    <s v="SHANKS"/>
    <x v="106"/>
    <m/>
    <m/>
    <m/>
    <n v="0"/>
    <m/>
    <m/>
  </r>
  <r>
    <n v="2762"/>
    <x v="35"/>
    <s v="Night"/>
    <x v="1"/>
    <n v="2000716425"/>
    <n v="255"/>
    <n v="10"/>
    <n v="0"/>
    <s v="U30119"/>
    <s v="PSHV"/>
    <x v="26"/>
    <m/>
    <m/>
    <m/>
    <n v="0"/>
    <m/>
    <m/>
  </r>
  <r>
    <n v="2763"/>
    <x v="35"/>
    <s v="Night"/>
    <x v="1"/>
    <n v="2000716581"/>
    <n v="945"/>
    <n v="400"/>
    <n v="0"/>
    <s v="U30119"/>
    <s v="PSHV"/>
    <x v="26"/>
    <m/>
    <m/>
    <m/>
    <n v="0"/>
    <m/>
    <m/>
  </r>
  <r>
    <n v="2764"/>
    <x v="35"/>
    <s v="Night"/>
    <x v="1"/>
    <n v="2000716005"/>
    <n v="430"/>
    <n v="108"/>
    <n v="0"/>
    <s v="U30119"/>
    <s v="PSHV"/>
    <x v="80"/>
    <m/>
    <m/>
    <m/>
    <n v="0"/>
    <m/>
    <m/>
  </r>
  <r>
    <n v="2765"/>
    <x v="35"/>
    <s v="Night"/>
    <x v="1"/>
    <n v="2000717045"/>
    <n v="300"/>
    <n v="150"/>
    <n v="0"/>
    <s v="U30119"/>
    <s v="PSLV"/>
    <x v="153"/>
    <m/>
    <m/>
    <m/>
    <n v="0"/>
    <m/>
    <m/>
  </r>
  <r>
    <n v="2766"/>
    <x v="35"/>
    <s v="Night"/>
    <x v="1"/>
    <n v="2000716158"/>
    <n v="1000"/>
    <n v="280"/>
    <n v="0"/>
    <s v="U30119"/>
    <s v="SHANKS"/>
    <x v="67"/>
    <m/>
    <m/>
    <m/>
    <n v="0"/>
    <m/>
    <m/>
  </r>
  <r>
    <n v="2767"/>
    <x v="35"/>
    <s v="Night"/>
    <x v="1"/>
    <n v="2000716585"/>
    <n v="800"/>
    <n v="433"/>
    <n v="0"/>
    <s v="U30119"/>
    <s v="SHANKS"/>
    <x v="67"/>
    <m/>
    <m/>
    <m/>
    <n v="0"/>
    <m/>
    <m/>
  </r>
  <r>
    <n v="2768"/>
    <x v="36"/>
    <s v="Day"/>
    <x v="0"/>
    <n v="2000716435"/>
    <n v="340"/>
    <n v="66"/>
    <n v="0"/>
    <s v="U32991"/>
    <s v="L1193/94"/>
    <x v="116"/>
    <m/>
    <m/>
    <m/>
    <n v="0"/>
    <m/>
    <m/>
  </r>
  <r>
    <n v="2769"/>
    <x v="36"/>
    <s v="Day"/>
    <x v="0"/>
    <n v="2000714219"/>
    <n v="800"/>
    <n v="110"/>
    <n v="1"/>
    <s v="U32991"/>
    <s v="L1193/94"/>
    <x v="21"/>
    <s v="Phồng bản mạch "/>
    <m/>
    <s v="PCB"/>
    <n v="1"/>
    <s v="\\vn-file\QC Department\4.OQC\00. OQC Performance\03. Images\01. NG\20210309-NG-1320714219.jpg"/>
    <s v="\\vn-file\QC Department\4.OQC\00. OQC Performance\03. Images\02. OK\20210309-OK-1320714219.jpg"/>
  </r>
  <r>
    <n v="2770"/>
    <x v="36"/>
    <s v="Day"/>
    <x v="0"/>
    <n v="2000716759"/>
    <n v="400"/>
    <n v="80"/>
    <n v="0"/>
    <s v="U32991"/>
    <s v="L1193/94"/>
    <x v="21"/>
    <m/>
    <m/>
    <m/>
    <n v="0"/>
    <m/>
    <m/>
  </r>
  <r>
    <n v="2771"/>
    <x v="36"/>
    <s v="Day"/>
    <x v="0"/>
    <n v="2000716427"/>
    <n v="500"/>
    <n v="260"/>
    <n v="0"/>
    <s v="U32991"/>
    <s v="L1193/94"/>
    <x v="116"/>
    <m/>
    <m/>
    <m/>
    <n v="0"/>
    <m/>
    <m/>
  </r>
  <r>
    <n v="2772"/>
    <x v="36"/>
    <s v="Day"/>
    <x v="0"/>
    <n v="2000715385"/>
    <n v="1344"/>
    <n v="120"/>
    <n v="0"/>
    <s v="U27723"/>
    <s v="L1128/29"/>
    <x v="11"/>
    <m/>
    <m/>
    <m/>
    <n v="0"/>
    <m/>
    <m/>
  </r>
  <r>
    <n v="2773"/>
    <x v="36"/>
    <s v="Day"/>
    <x v="0"/>
    <n v="2000715387"/>
    <n v="2912"/>
    <n v="440"/>
    <n v="0"/>
    <s v="U27723"/>
    <s v="L1128/29"/>
    <x v="11"/>
    <m/>
    <m/>
    <m/>
    <n v="0"/>
    <m/>
    <m/>
  </r>
  <r>
    <n v="2774"/>
    <x v="36"/>
    <s v="Day"/>
    <x v="0"/>
    <n v="2000716654"/>
    <n v="1200"/>
    <n v="120"/>
    <n v="0"/>
    <s v="U27723"/>
    <s v="L1168/69"/>
    <x v="195"/>
    <m/>
    <m/>
    <m/>
    <n v="0"/>
    <m/>
    <m/>
  </r>
  <r>
    <n v="2775"/>
    <x v="36"/>
    <s v="Day"/>
    <x v="0"/>
    <n v="2000716655"/>
    <n v="1000"/>
    <n v="80"/>
    <n v="0"/>
    <s v="U27723"/>
    <s v="L1188/89"/>
    <x v="72"/>
    <m/>
    <m/>
    <m/>
    <n v="0"/>
    <m/>
    <m/>
  </r>
  <r>
    <n v="2776"/>
    <x v="36"/>
    <s v="Day"/>
    <x v="0"/>
    <n v="2000715387"/>
    <n v="2912"/>
    <n v="200"/>
    <n v="0"/>
    <s v="U27723"/>
    <s v="L1128/29"/>
    <x v="11"/>
    <m/>
    <m/>
    <m/>
    <n v="0"/>
    <m/>
    <m/>
  </r>
  <r>
    <n v="2777"/>
    <x v="36"/>
    <s v="Day"/>
    <x v="0"/>
    <n v="2000716704"/>
    <n v="280"/>
    <n v="119"/>
    <n v="0"/>
    <s v="U18660"/>
    <s v="L1188/89"/>
    <x v="95"/>
    <m/>
    <m/>
    <m/>
    <n v="0"/>
    <m/>
    <m/>
  </r>
  <r>
    <n v="2778"/>
    <x v="36"/>
    <s v="Day"/>
    <x v="0"/>
    <n v="2000716655"/>
    <n v="1000"/>
    <n v="516"/>
    <n v="0"/>
    <s v="U18660"/>
    <s v="L1188/89"/>
    <x v="95"/>
    <m/>
    <m/>
    <m/>
    <n v="0"/>
    <m/>
    <m/>
  </r>
  <r>
    <n v="2779"/>
    <x v="36"/>
    <s v="Day"/>
    <x v="0"/>
    <n v="2000716673"/>
    <n v="280"/>
    <n v="220"/>
    <n v="0"/>
    <s v="U18660"/>
    <s v="L1188/89"/>
    <x v="72"/>
    <m/>
    <m/>
    <m/>
    <n v="0"/>
    <m/>
    <m/>
  </r>
  <r>
    <n v="2780"/>
    <x v="36"/>
    <s v="Day"/>
    <x v="0"/>
    <n v="2000715711"/>
    <n v="1150"/>
    <n v="280"/>
    <n v="0"/>
    <s v="U27687"/>
    <s v="L1186"/>
    <x v="4"/>
    <m/>
    <m/>
    <m/>
    <n v="0"/>
    <m/>
    <m/>
  </r>
  <r>
    <n v="2781"/>
    <x v="36"/>
    <s v="Day"/>
    <x v="0"/>
    <n v="2000716655"/>
    <n v="1000"/>
    <n v="120"/>
    <n v="0"/>
    <s v="U27687"/>
    <s v="L1188/89"/>
    <x v="72"/>
    <m/>
    <m/>
    <m/>
    <n v="0"/>
    <m/>
    <m/>
  </r>
  <r>
    <n v="2782"/>
    <x v="36"/>
    <s v="Day"/>
    <x v="0"/>
    <n v="2000715552"/>
    <n v="1010"/>
    <n v="30"/>
    <n v="0"/>
    <s v="U27687"/>
    <s v="L1193/94"/>
    <x v="104"/>
    <m/>
    <m/>
    <m/>
    <n v="0"/>
    <m/>
    <m/>
  </r>
  <r>
    <n v="2783"/>
    <x v="36"/>
    <s v="Day"/>
    <x v="0"/>
    <n v="2000716705"/>
    <n v="960"/>
    <n v="80"/>
    <n v="0"/>
    <s v="U27687"/>
    <s v="L1188/89"/>
    <x v="130"/>
    <m/>
    <m/>
    <m/>
    <n v="0"/>
    <m/>
    <m/>
  </r>
  <r>
    <n v="2784"/>
    <x v="36"/>
    <s v="Day"/>
    <x v="0"/>
    <n v="2000716457"/>
    <n v="280"/>
    <n v="120"/>
    <n v="0"/>
    <s v="U27687"/>
    <s v="L1188/89"/>
    <x v="16"/>
    <m/>
    <m/>
    <m/>
    <n v="0"/>
    <m/>
    <m/>
  </r>
  <r>
    <n v="2785"/>
    <x v="36"/>
    <s v="Day"/>
    <x v="0"/>
    <n v="2000716708"/>
    <n v="40"/>
    <n v="40"/>
    <n v="0"/>
    <s v="U05944"/>
    <s v="L1188/89"/>
    <x v="183"/>
    <m/>
    <m/>
    <m/>
    <n v="0"/>
    <m/>
    <m/>
  </r>
  <r>
    <n v="2786"/>
    <x v="36"/>
    <s v="Day"/>
    <x v="0"/>
    <n v="2000716459"/>
    <n v="40"/>
    <n v="40"/>
    <n v="0"/>
    <s v="U05944"/>
    <s v="L1188/89"/>
    <x v="122"/>
    <m/>
    <m/>
    <m/>
    <n v="0"/>
    <m/>
    <m/>
  </r>
  <r>
    <n v="2787"/>
    <x v="36"/>
    <s v="Day"/>
    <x v="0"/>
    <n v="2000716664"/>
    <n v="130"/>
    <n v="43"/>
    <n v="0"/>
    <s v="U05944"/>
    <s v="L1188/89"/>
    <x v="178"/>
    <m/>
    <m/>
    <m/>
    <n v="0"/>
    <m/>
    <m/>
  </r>
  <r>
    <n v="2788"/>
    <x v="36"/>
    <s v="Day"/>
    <x v="0"/>
    <n v="2000716316"/>
    <n v="400"/>
    <n v="7"/>
    <n v="0"/>
    <s v="U05944"/>
    <s v="L1188/89"/>
    <x v="43"/>
    <m/>
    <m/>
    <m/>
    <n v="0"/>
    <m/>
    <m/>
  </r>
  <r>
    <n v="2789"/>
    <x v="36"/>
    <s v="Day"/>
    <x v="0"/>
    <n v="2000716481"/>
    <n v="700"/>
    <n v="537"/>
    <n v="0"/>
    <s v="U29686"/>
    <s v="L1209/10"/>
    <x v="196"/>
    <m/>
    <m/>
    <m/>
    <n v="0"/>
    <m/>
    <m/>
  </r>
  <r>
    <n v="2790"/>
    <x v="36"/>
    <s v="Day"/>
    <x v="0"/>
    <n v="2000716713"/>
    <n v="1000"/>
    <n v="225"/>
    <n v="0"/>
    <s v="U29686"/>
    <s v="L1188/89"/>
    <x v="109"/>
    <m/>
    <m/>
    <m/>
    <n v="0"/>
    <m/>
    <m/>
  </r>
  <r>
    <n v="2791"/>
    <x v="36"/>
    <s v="Day"/>
    <x v="0"/>
    <n v="2000715711"/>
    <n v="1150"/>
    <n v="80"/>
    <n v="0"/>
    <s v="U30425"/>
    <s v="L1186"/>
    <x v="4"/>
    <m/>
    <m/>
    <m/>
    <n v="0"/>
    <m/>
    <m/>
  </r>
  <r>
    <n v="2792"/>
    <x v="36"/>
    <s v="Day"/>
    <x v="0"/>
    <n v="2000716473"/>
    <n v="1000"/>
    <n v="80"/>
    <n v="0"/>
    <s v="U30425"/>
    <s v="L1174/75"/>
    <x v="171"/>
    <m/>
    <m/>
    <m/>
    <n v="0"/>
    <m/>
    <m/>
  </r>
  <r>
    <n v="2793"/>
    <x v="36"/>
    <s v="Day"/>
    <x v="0"/>
    <n v="2000716772"/>
    <n v="380"/>
    <n v="80"/>
    <n v="0"/>
    <s v="U30425"/>
    <s v="T541"/>
    <x v="94"/>
    <m/>
    <m/>
    <m/>
    <n v="0"/>
    <m/>
    <m/>
  </r>
  <r>
    <n v="2794"/>
    <x v="36"/>
    <s v="Day"/>
    <x v="0"/>
    <n v="2000716746"/>
    <n v="570"/>
    <n v="80"/>
    <n v="0"/>
    <s v="U30425"/>
    <s v="L1172/73"/>
    <x v="19"/>
    <m/>
    <m/>
    <m/>
    <n v="0"/>
    <m/>
    <m/>
  </r>
  <r>
    <n v="2795"/>
    <x v="36"/>
    <s v="Day"/>
    <x v="0"/>
    <n v="2000716773"/>
    <n v="500"/>
    <n v="80"/>
    <n v="0"/>
    <s v="U30425"/>
    <s v="L1144/47"/>
    <x v="57"/>
    <m/>
    <m/>
    <m/>
    <n v="0"/>
    <m/>
    <m/>
  </r>
  <r>
    <n v="2796"/>
    <x v="36"/>
    <s v="Day"/>
    <x v="0"/>
    <n v="2000715867"/>
    <n v="1600"/>
    <n v="120"/>
    <n v="0"/>
    <s v="U30425"/>
    <s v="L1144/47"/>
    <x v="59"/>
    <m/>
    <m/>
    <m/>
    <n v="0"/>
    <m/>
    <m/>
  </r>
  <r>
    <n v="2797"/>
    <x v="36"/>
    <s v="Day"/>
    <x v="0"/>
    <n v="2000716789"/>
    <n v="380"/>
    <n v="80"/>
    <n v="0"/>
    <s v="U30425"/>
    <s v="L1186"/>
    <x v="38"/>
    <m/>
    <m/>
    <m/>
    <n v="0"/>
    <m/>
    <m/>
  </r>
  <r>
    <n v="2798"/>
    <x v="36"/>
    <s v="Day"/>
    <x v="0"/>
    <n v="2000716774"/>
    <n v="320"/>
    <n v="40"/>
    <n v="0"/>
    <s v="U30425"/>
    <s v="L1144/47"/>
    <x v="71"/>
    <m/>
    <m/>
    <m/>
    <n v="0"/>
    <m/>
    <m/>
  </r>
  <r>
    <n v="2799"/>
    <x v="36"/>
    <s v="Day"/>
    <x v="0"/>
    <n v="2000715606"/>
    <n v="3600"/>
    <n v="300"/>
    <n v="0"/>
    <s v="U24426"/>
    <s v="L1172/73"/>
    <x v="7"/>
    <m/>
    <m/>
    <m/>
    <n v="0"/>
    <m/>
    <m/>
  </r>
  <r>
    <n v="2800"/>
    <x v="36"/>
    <s v="Day"/>
    <x v="0"/>
    <n v="2000715914"/>
    <n v="3904"/>
    <n v="1104"/>
    <n v="0"/>
    <s v="U24426"/>
    <s v="L1193/94"/>
    <x v="119"/>
    <m/>
    <m/>
    <m/>
    <n v="0"/>
    <m/>
    <m/>
  </r>
  <r>
    <n v="2801"/>
    <x v="36"/>
    <s v="Day"/>
    <x v="0"/>
    <n v="2000715709"/>
    <n v="1150"/>
    <n v="400"/>
    <n v="0"/>
    <s v="U24426"/>
    <s v="L1186"/>
    <x v="32"/>
    <m/>
    <m/>
    <m/>
    <n v="0"/>
    <m/>
    <m/>
  </r>
  <r>
    <n v="2802"/>
    <x v="36"/>
    <s v="Day"/>
    <x v="0"/>
    <n v="2000715861"/>
    <n v="2400"/>
    <n v="400"/>
    <n v="0"/>
    <s v="U24426"/>
    <s v="L1144/47"/>
    <x v="77"/>
    <m/>
    <m/>
    <m/>
    <n v="0"/>
    <m/>
    <m/>
  </r>
  <r>
    <n v="2803"/>
    <x v="36"/>
    <s v="Day"/>
    <x v="0"/>
    <n v="2000716455"/>
    <n v="1200"/>
    <n v="600"/>
    <n v="0"/>
    <s v="U30840"/>
    <s v="L1186"/>
    <x v="76"/>
    <m/>
    <m/>
    <m/>
    <n v="0"/>
    <m/>
    <m/>
  </r>
  <r>
    <n v="2804"/>
    <x v="36"/>
    <s v="Day"/>
    <x v="0"/>
    <n v="2000716670"/>
    <n v="1792"/>
    <n v="900"/>
    <n v="0"/>
    <s v="U03968"/>
    <s v="L1105"/>
    <x v="174"/>
    <m/>
    <m/>
    <m/>
    <n v="0"/>
    <m/>
    <m/>
  </r>
  <r>
    <n v="2805"/>
    <x v="36"/>
    <s v="Day"/>
    <x v="0"/>
    <n v="2000715864"/>
    <n v="1600"/>
    <n v="200"/>
    <n v="0"/>
    <s v="U03968"/>
    <s v="L1144/47"/>
    <x v="92"/>
    <m/>
    <m/>
    <m/>
    <n v="0"/>
    <m/>
    <m/>
  </r>
  <r>
    <n v="2806"/>
    <x v="36"/>
    <s v="Day"/>
    <x v="0"/>
    <n v="2000716821"/>
    <n v="1200"/>
    <n v="100"/>
    <n v="1"/>
    <s v="U03968"/>
    <s v="L1186"/>
    <x v="34"/>
    <s v="Kênh linh kiện "/>
    <m/>
    <s v="PS770"/>
    <n v="1"/>
    <s v="\\vn-file\QC Department\4.OQC\00. OQC Performance\03. Images\01. NG\20210309-NG-1245716821.jpg"/>
    <m/>
  </r>
  <r>
    <n v="2807"/>
    <x v="36"/>
    <s v="Day"/>
    <x v="0"/>
    <n v="2000715866"/>
    <n v="1600"/>
    <n v="940"/>
    <n v="0"/>
    <s v="U03968"/>
    <s v="L1144/47"/>
    <x v="13"/>
    <m/>
    <m/>
    <m/>
    <n v="0"/>
    <m/>
    <m/>
  </r>
  <r>
    <n v="2808"/>
    <x v="36"/>
    <s v="Day"/>
    <x v="0"/>
    <n v="2000715667"/>
    <n v="1900"/>
    <n v="200"/>
    <n v="0"/>
    <s v="U03968"/>
    <s v="L1174/75"/>
    <x v="62"/>
    <m/>
    <m/>
    <m/>
    <n v="0"/>
    <m/>
    <m/>
  </r>
  <r>
    <n v="2809"/>
    <x v="36"/>
    <s v="Day"/>
    <x v="0"/>
    <n v="2000715865"/>
    <n v="1600"/>
    <n v="150"/>
    <n v="0"/>
    <s v="U03968"/>
    <s v="L1144/47"/>
    <x v="77"/>
    <m/>
    <m/>
    <m/>
    <n v="0"/>
    <m/>
    <m/>
  </r>
  <r>
    <n v="2810"/>
    <x v="36"/>
    <s v="Day"/>
    <x v="0"/>
    <n v="2000716823"/>
    <n v="1200"/>
    <n v="150"/>
    <n v="0"/>
    <s v="U03968"/>
    <s v="L1186"/>
    <x v="35"/>
    <m/>
    <m/>
    <m/>
    <n v="0"/>
    <m/>
    <m/>
  </r>
  <r>
    <n v="2811"/>
    <x v="36"/>
    <s v="Day"/>
    <x v="0"/>
    <n v="2000716261"/>
    <n v="1050"/>
    <n v="160"/>
    <n v="0"/>
    <s v="U03968"/>
    <s v="L1077"/>
    <x v="36"/>
    <m/>
    <m/>
    <m/>
    <n v="0"/>
    <m/>
    <m/>
  </r>
  <r>
    <n v="2812"/>
    <x v="36"/>
    <s v="Day"/>
    <x v="0"/>
    <n v="2000716463"/>
    <n v="1004"/>
    <n v="100"/>
    <n v="0"/>
    <s v="U03968"/>
    <s v="L1186"/>
    <x v="76"/>
    <m/>
    <m/>
    <m/>
    <n v="0"/>
    <m/>
    <m/>
  </r>
  <r>
    <n v="2813"/>
    <x v="36"/>
    <s v="Day"/>
    <x v="0"/>
    <n v="2000715915"/>
    <n v="6600"/>
    <n v="450"/>
    <n v="0"/>
    <s v="U03968"/>
    <s v="L1112/13"/>
    <x v="75"/>
    <m/>
    <m/>
    <m/>
    <n v="0"/>
    <m/>
    <m/>
  </r>
  <r>
    <n v="2814"/>
    <x v="36"/>
    <s v="Day"/>
    <x v="0"/>
    <n v="2000715605"/>
    <n v="6600"/>
    <n v="2400"/>
    <n v="0"/>
    <s v="U36387"/>
    <s v="L1112/13"/>
    <x v="75"/>
    <m/>
    <m/>
    <m/>
    <n v="0"/>
    <m/>
    <m/>
  </r>
  <r>
    <n v="2815"/>
    <x v="36"/>
    <s v="Day"/>
    <x v="0"/>
    <n v="2000715915"/>
    <n v="6600"/>
    <n v="450"/>
    <n v="0"/>
    <s v="U36387"/>
    <s v="L1112/13"/>
    <x v="75"/>
    <m/>
    <m/>
    <m/>
    <n v="0"/>
    <m/>
    <m/>
  </r>
  <r>
    <n v="2816"/>
    <x v="36"/>
    <s v="Day"/>
    <x v="1"/>
    <n v="2000716587"/>
    <n v="80"/>
    <n v="80"/>
    <n v="0"/>
    <s v="U15759"/>
    <s v="PSLV"/>
    <x v="29"/>
    <m/>
    <m/>
    <m/>
    <n v="0"/>
    <m/>
    <m/>
  </r>
  <r>
    <n v="2817"/>
    <x v="36"/>
    <s v="Day"/>
    <x v="1"/>
    <n v="2000716584"/>
    <n v="80"/>
    <n v="80"/>
    <n v="0"/>
    <s v="U15759"/>
    <s v="FLORA"/>
    <x v="28"/>
    <m/>
    <m/>
    <m/>
    <n v="0"/>
    <m/>
    <m/>
  </r>
  <r>
    <n v="2818"/>
    <x v="36"/>
    <s v="Day"/>
    <x v="1"/>
    <n v="2000716868"/>
    <n v="400"/>
    <n v="120"/>
    <n v="0"/>
    <s v="U15759"/>
    <s v="FLORA"/>
    <x v="28"/>
    <m/>
    <m/>
    <m/>
    <n v="0"/>
    <m/>
    <m/>
  </r>
  <r>
    <n v="2819"/>
    <x v="36"/>
    <s v="Day"/>
    <x v="1"/>
    <n v="2000713074"/>
    <n v="660"/>
    <n v="30"/>
    <n v="0"/>
    <s v="U15759"/>
    <s v="SHANKS"/>
    <x v="22"/>
    <m/>
    <m/>
    <m/>
    <n v="0"/>
    <m/>
    <m/>
  </r>
  <r>
    <n v="2820"/>
    <x v="36"/>
    <s v="Day"/>
    <x v="1"/>
    <n v="2000715655"/>
    <n v="501"/>
    <n v="278"/>
    <n v="0"/>
    <s v="U15759"/>
    <s v="SHANKS"/>
    <x v="22"/>
    <m/>
    <m/>
    <m/>
    <n v="0"/>
    <m/>
    <m/>
  </r>
  <r>
    <n v="2821"/>
    <x v="36"/>
    <s v="Day"/>
    <x v="1"/>
    <n v="2000717045"/>
    <n v="300"/>
    <n v="49"/>
    <n v="0"/>
    <s v="U15759"/>
    <s v="PSLV"/>
    <x v="153"/>
    <m/>
    <m/>
    <m/>
    <n v="0"/>
    <m/>
    <m/>
  </r>
  <r>
    <n v="2822"/>
    <x v="36"/>
    <s v="Day"/>
    <x v="1"/>
    <n v="2000716864"/>
    <n v="80"/>
    <n v="30"/>
    <n v="0"/>
    <s v="U15759"/>
    <s v="PSLV"/>
    <x v="82"/>
    <m/>
    <m/>
    <m/>
    <n v="0"/>
    <m/>
    <m/>
  </r>
  <r>
    <n v="2823"/>
    <x v="36"/>
    <s v="Day"/>
    <x v="1"/>
    <n v="2000716582"/>
    <n v="350"/>
    <n v="80"/>
    <n v="0"/>
    <s v="U15759"/>
    <s v="PSLV"/>
    <x v="135"/>
    <m/>
    <m/>
    <m/>
    <n v="0"/>
    <m/>
    <m/>
  </r>
  <r>
    <n v="2824"/>
    <x v="36"/>
    <s v="Day"/>
    <x v="1"/>
    <n v="2000715659"/>
    <n v="1140"/>
    <n v="175"/>
    <n v="0"/>
    <s v="U15759"/>
    <s v="SHANKS"/>
    <x v="24"/>
    <m/>
    <m/>
    <m/>
    <n v="0"/>
    <m/>
    <m/>
  </r>
  <r>
    <n v="2825"/>
    <x v="36"/>
    <s v="Day"/>
    <x v="1"/>
    <n v="2000715986"/>
    <n v="10"/>
    <n v="10"/>
    <n v="0"/>
    <s v="U15759"/>
    <s v="PSHV"/>
    <x v="50"/>
    <m/>
    <m/>
    <m/>
    <n v="0"/>
    <m/>
    <m/>
  </r>
  <r>
    <n v="2826"/>
    <x v="36"/>
    <s v="Night"/>
    <x v="0"/>
    <n v="2000716673"/>
    <n v="280"/>
    <n v="13"/>
    <n v="0"/>
    <s v="U09854"/>
    <s v="L1188/89"/>
    <x v="72"/>
    <m/>
    <m/>
    <m/>
    <n v="0"/>
    <m/>
    <m/>
  </r>
  <r>
    <n v="2827"/>
    <x v="36"/>
    <s v="Night"/>
    <x v="0"/>
    <n v="2000715715"/>
    <n v="1230"/>
    <n v="120"/>
    <n v="0"/>
    <s v="U09854"/>
    <s v="L1172/73"/>
    <x v="19"/>
    <m/>
    <m/>
    <m/>
    <n v="0"/>
    <m/>
    <m/>
  </r>
  <r>
    <n v="2828"/>
    <x v="36"/>
    <s v="Night"/>
    <x v="0"/>
    <n v="2000716705"/>
    <n v="960"/>
    <n v="39"/>
    <n v="0"/>
    <s v="U09854"/>
    <s v="L1188/89"/>
    <x v="130"/>
    <m/>
    <m/>
    <m/>
    <n v="0"/>
    <m/>
    <m/>
  </r>
  <r>
    <n v="2829"/>
    <x v="36"/>
    <s v="Night"/>
    <x v="0"/>
    <n v="2000716740"/>
    <n v="1200"/>
    <n v="80"/>
    <n v="0"/>
    <s v="U09854"/>
    <s v="L1168/69"/>
    <x v="48"/>
    <m/>
    <m/>
    <m/>
    <n v="0"/>
    <m/>
    <m/>
  </r>
  <r>
    <n v="2830"/>
    <x v="36"/>
    <s v="Night"/>
    <x v="0"/>
    <n v="2000716806"/>
    <n v="2000"/>
    <n v="80"/>
    <n v="0"/>
    <s v="U09854"/>
    <s v="L1174/75"/>
    <x v="61"/>
    <m/>
    <m/>
    <m/>
    <n v="0"/>
    <m/>
    <m/>
  </r>
  <r>
    <n v="2831"/>
    <x v="36"/>
    <s v="Night"/>
    <x v="0"/>
    <n v="2000716807"/>
    <n v="800"/>
    <n v="80"/>
    <n v="0"/>
    <s v="U09854"/>
    <s v="L1174/75"/>
    <x v="3"/>
    <m/>
    <m/>
    <m/>
    <n v="0"/>
    <m/>
    <m/>
  </r>
  <r>
    <n v="2832"/>
    <x v="36"/>
    <s v="Night"/>
    <x v="0"/>
    <n v="2000716790"/>
    <n v="800"/>
    <n v="80"/>
    <n v="0"/>
    <s v="U09854"/>
    <s v="L1144/47"/>
    <x v="56"/>
    <m/>
    <m/>
    <m/>
    <n v="0"/>
    <m/>
    <m/>
  </r>
  <r>
    <n v="2833"/>
    <x v="36"/>
    <s v="Night"/>
    <x v="0"/>
    <n v="2000716811"/>
    <n v="540"/>
    <n v="40"/>
    <n v="0"/>
    <s v="U09854"/>
    <s v="L1174/75"/>
    <x v="171"/>
    <m/>
    <m/>
    <m/>
    <n v="0"/>
    <m/>
    <m/>
  </r>
  <r>
    <n v="2834"/>
    <x v="36"/>
    <s v="Night"/>
    <x v="0"/>
    <n v="2000716824"/>
    <n v="1200"/>
    <n v="80"/>
    <n v="0"/>
    <s v="U09854"/>
    <s v="L1186"/>
    <x v="4"/>
    <m/>
    <m/>
    <m/>
    <n v="0"/>
    <m/>
    <m/>
  </r>
  <r>
    <n v="2835"/>
    <x v="36"/>
    <s v="Night"/>
    <x v="0"/>
    <n v="2000715386"/>
    <n v="4400"/>
    <n v="200"/>
    <n v="0"/>
    <s v="U09854"/>
    <s v="L1112/13"/>
    <x v="8"/>
    <m/>
    <m/>
    <m/>
    <n v="0"/>
    <m/>
    <m/>
  </r>
  <r>
    <n v="2836"/>
    <x v="36"/>
    <s v="Night"/>
    <x v="0"/>
    <n v="2000715386"/>
    <n v="1900"/>
    <n v="60"/>
    <n v="0"/>
    <s v="U09854"/>
    <s v="L1172/73"/>
    <x v="18"/>
    <m/>
    <m/>
    <m/>
    <n v="0"/>
    <m/>
    <m/>
  </r>
  <r>
    <n v="2837"/>
    <x v="36"/>
    <s v="Night"/>
    <x v="0"/>
    <n v="2000716302"/>
    <n v="720"/>
    <n v="60"/>
    <n v="0"/>
    <s v="U09854"/>
    <s v="L1172/73"/>
    <x v="20"/>
    <m/>
    <m/>
    <m/>
    <n v="0"/>
    <m/>
    <m/>
  </r>
  <r>
    <n v="2838"/>
    <x v="36"/>
    <s v="Night"/>
    <x v="0"/>
    <n v="2000716259"/>
    <n v="1050"/>
    <n v="200"/>
    <n v="0"/>
    <s v="U26613"/>
    <s v="L1077"/>
    <x v="33"/>
    <m/>
    <m/>
    <m/>
    <n v="0"/>
    <m/>
    <m/>
  </r>
  <r>
    <n v="2839"/>
    <x v="36"/>
    <s v="Night"/>
    <x v="0"/>
    <n v="2000716254"/>
    <n v="1050"/>
    <n v="150"/>
    <n v="0"/>
    <s v="U26613"/>
    <s v="L1077"/>
    <x v="33"/>
    <m/>
    <m/>
    <m/>
    <n v="0"/>
    <m/>
    <m/>
  </r>
  <r>
    <n v="2840"/>
    <x v="36"/>
    <s v="Night"/>
    <x v="0"/>
    <n v="2000715915"/>
    <n v="6600"/>
    <n v="300"/>
    <n v="0"/>
    <s v="U26613"/>
    <s v="L1112/13"/>
    <x v="7"/>
    <m/>
    <m/>
    <m/>
    <n v="0"/>
    <m/>
    <m/>
  </r>
  <r>
    <n v="2841"/>
    <x v="36"/>
    <s v="Night"/>
    <x v="0"/>
    <n v="2000716728"/>
    <n v="3200"/>
    <n v="400"/>
    <n v="0"/>
    <s v="U26613"/>
    <s v="L1193/94"/>
    <x v="119"/>
    <m/>
    <m/>
    <m/>
    <n v="0"/>
    <m/>
    <m/>
  </r>
  <r>
    <n v="2842"/>
    <x v="36"/>
    <s v="Night"/>
    <x v="0"/>
    <n v="2000716455"/>
    <n v="1200"/>
    <n v="300"/>
    <n v="0"/>
    <s v="U26613"/>
    <s v="L1186"/>
    <x v="76"/>
    <m/>
    <m/>
    <m/>
    <n v="0"/>
    <m/>
    <m/>
  </r>
  <r>
    <n v="2843"/>
    <x v="36"/>
    <s v="Night"/>
    <x v="0"/>
    <n v="2000716839"/>
    <n v="190"/>
    <n v="50"/>
    <n v="0"/>
    <s v="U26613"/>
    <s v="L1105"/>
    <x v="150"/>
    <m/>
    <m/>
    <m/>
    <n v="0"/>
    <m/>
    <m/>
  </r>
  <r>
    <n v="2844"/>
    <x v="36"/>
    <s v="Night"/>
    <x v="0"/>
    <n v="2000715702"/>
    <n v="470"/>
    <n v="200"/>
    <n v="0"/>
    <s v="U26613"/>
    <s v="L1174/75"/>
    <x v="62"/>
    <m/>
    <m/>
    <m/>
    <n v="0"/>
    <m/>
    <m/>
  </r>
  <r>
    <n v="2845"/>
    <x v="36"/>
    <s v="Night"/>
    <x v="0"/>
    <n v="2000715085"/>
    <n v="2180"/>
    <n v="150"/>
    <n v="0"/>
    <s v="U26613"/>
    <s v="L1144/47"/>
    <x v="13"/>
    <m/>
    <m/>
    <m/>
    <n v="0"/>
    <m/>
    <m/>
  </r>
  <r>
    <n v="2846"/>
    <x v="36"/>
    <s v="Night"/>
    <x v="0"/>
    <n v="2000716838"/>
    <n v="190"/>
    <n v="20"/>
    <n v="0"/>
    <s v="U26613"/>
    <s v="L1105"/>
    <x v="149"/>
    <m/>
    <m/>
    <m/>
    <n v="0"/>
    <m/>
    <m/>
  </r>
  <r>
    <n v="2847"/>
    <x v="36"/>
    <s v="Night"/>
    <x v="0"/>
    <n v="2000716142"/>
    <n v="554"/>
    <n v="300"/>
    <n v="0"/>
    <s v="U26613"/>
    <s v="T575SP"/>
    <x v="201"/>
    <m/>
    <m/>
    <m/>
    <n v="0"/>
    <m/>
    <m/>
  </r>
  <r>
    <n v="2848"/>
    <x v="36"/>
    <s v="Night"/>
    <x v="0"/>
    <n v="2000715703"/>
    <n v="1000"/>
    <n v="200"/>
    <n v="0"/>
    <s v="U26613"/>
    <s v="L1174/75"/>
    <x v="62"/>
    <m/>
    <m/>
    <m/>
    <n v="0"/>
    <m/>
    <m/>
  </r>
  <r>
    <n v="2849"/>
    <x v="36"/>
    <s v="Night"/>
    <x v="0"/>
    <n v="2000716664"/>
    <n v="130"/>
    <n v="80"/>
    <n v="0"/>
    <s v="U27724"/>
    <s v="L1188/89"/>
    <x v="43"/>
    <m/>
    <m/>
    <m/>
    <n v="0"/>
    <m/>
    <m/>
  </r>
  <r>
    <n v="2850"/>
    <x v="36"/>
    <s v="Night"/>
    <x v="0"/>
    <n v="2000716457"/>
    <n v="280"/>
    <n v="120"/>
    <n v="0"/>
    <s v="U27724"/>
    <s v="L1188/89"/>
    <x v="16"/>
    <m/>
    <m/>
    <m/>
    <n v="0"/>
    <m/>
    <m/>
  </r>
  <r>
    <n v="2851"/>
    <x v="36"/>
    <s v="Night"/>
    <x v="0"/>
    <n v="2000715387"/>
    <n v="2912"/>
    <n v="320"/>
    <n v="0"/>
    <s v="U27724"/>
    <s v="L1128/29"/>
    <x v="11"/>
    <m/>
    <m/>
    <m/>
    <n v="0"/>
    <m/>
    <m/>
  </r>
  <r>
    <n v="2852"/>
    <x v="36"/>
    <s v="Night"/>
    <x v="0"/>
    <n v="2000714727"/>
    <n v="850"/>
    <n v="90"/>
    <n v="0"/>
    <s v="U27724"/>
    <s v="L1170/71"/>
    <x v="45"/>
    <m/>
    <m/>
    <m/>
    <n v="0"/>
    <m/>
    <m/>
  </r>
  <r>
    <n v="2853"/>
    <x v="36"/>
    <s v="Night"/>
    <x v="0"/>
    <n v="2000716319"/>
    <n v="300"/>
    <n v="40"/>
    <n v="0"/>
    <s v="U27724"/>
    <s v="L1188/89"/>
    <x v="17"/>
    <m/>
    <m/>
    <m/>
    <n v="0"/>
    <m/>
    <m/>
  </r>
  <r>
    <n v="2854"/>
    <x v="36"/>
    <s v="Night"/>
    <x v="0"/>
    <n v="2000715863"/>
    <n v="2400"/>
    <n v="120"/>
    <n v="0"/>
    <s v="U27724"/>
    <s v="L1144/47"/>
    <x v="59"/>
    <m/>
    <m/>
    <m/>
    <n v="0"/>
    <m/>
    <m/>
  </r>
  <r>
    <n v="2855"/>
    <x v="36"/>
    <s v="Night"/>
    <x v="0"/>
    <n v="2000717475"/>
    <n v="160"/>
    <n v="40"/>
    <n v="0"/>
    <s v="U27724"/>
    <s v="L1188/89"/>
    <x v="194"/>
    <m/>
    <m/>
    <m/>
    <n v="0"/>
    <m/>
    <m/>
  </r>
  <r>
    <n v="2856"/>
    <x v="36"/>
    <s v="Night"/>
    <x v="0"/>
    <n v="2000715873"/>
    <n v="1500"/>
    <n v="116"/>
    <n v="0"/>
    <s v="U27724"/>
    <s v="L1144/47"/>
    <x v="1"/>
    <m/>
    <m/>
    <m/>
    <n v="0"/>
    <m/>
    <m/>
  </r>
  <r>
    <n v="2857"/>
    <x v="36"/>
    <s v="Night"/>
    <x v="0"/>
    <n v="2000716473"/>
    <n v="1000"/>
    <n v="40"/>
    <n v="0"/>
    <s v="U27724"/>
    <s v="L1174/75"/>
    <x v="171"/>
    <m/>
    <m/>
    <m/>
    <n v="0"/>
    <m/>
    <m/>
  </r>
  <r>
    <n v="2858"/>
    <x v="36"/>
    <s v="Night"/>
    <x v="0"/>
    <n v="2000716713"/>
    <n v="1000"/>
    <n v="775"/>
    <n v="0"/>
    <s v="U23987"/>
    <s v="L1188/89"/>
    <x v="109"/>
    <m/>
    <m/>
    <m/>
    <n v="0"/>
    <m/>
    <m/>
  </r>
  <r>
    <n v="2859"/>
    <x v="36"/>
    <s v="Night"/>
    <x v="0"/>
    <n v="2000716714"/>
    <n v="2000"/>
    <n v="319"/>
    <n v="0"/>
    <s v="U23987"/>
    <s v="L1188/89"/>
    <x v="109"/>
    <m/>
    <m/>
    <m/>
    <n v="0"/>
    <m/>
    <m/>
  </r>
  <r>
    <n v="2860"/>
    <x v="36"/>
    <s v="Night"/>
    <x v="0"/>
    <n v="2000716427"/>
    <n v="500"/>
    <n v="240"/>
    <n v="1"/>
    <s v="U31065"/>
    <s v="L1193/94"/>
    <x v="116"/>
    <s v="Kênh linh kiện "/>
    <m/>
    <s v="TB201"/>
    <n v="1"/>
    <s v="\\vn-file\QC Department\4.OQC\00. OQC Performance\03. Images\01. NG\20210309-NG-2244716427.jpg"/>
    <s v="\\vn-file\QC Department\4.OQC\00. OQC Performance\03. Images\02. OK\20210309-OK-2244716427.jpg"/>
  </r>
  <r>
    <n v="2861"/>
    <x v="36"/>
    <s v="Night"/>
    <x v="0"/>
    <n v="2000716760"/>
    <n v="300"/>
    <n v="300"/>
    <n v="0"/>
    <s v="U31065"/>
    <s v="L1193/94"/>
    <x v="116"/>
    <m/>
    <m/>
    <m/>
    <n v="0"/>
    <m/>
    <m/>
  </r>
  <r>
    <n v="2862"/>
    <x v="36"/>
    <s v="Night"/>
    <x v="0"/>
    <n v="2000716759"/>
    <n v="400"/>
    <n v="180"/>
    <n v="0"/>
    <s v="U31065"/>
    <s v="L1193/94"/>
    <x v="21"/>
    <m/>
    <m/>
    <m/>
    <n v="0"/>
    <m/>
    <m/>
  </r>
  <r>
    <n v="2863"/>
    <x v="36"/>
    <s v="Night"/>
    <x v="0"/>
    <n v="2000716673"/>
    <n v="280"/>
    <n v="20"/>
    <n v="0"/>
    <s v="U36008"/>
    <s v="L1188/89"/>
    <x v="72"/>
    <m/>
    <m/>
    <m/>
    <n v="0"/>
    <m/>
    <m/>
  </r>
  <r>
    <n v="2864"/>
    <x v="36"/>
    <s v="Night"/>
    <x v="0"/>
    <n v="2000716705"/>
    <n v="960"/>
    <n v="280"/>
    <n v="0"/>
    <s v="U36008"/>
    <s v="L1188/89"/>
    <x v="130"/>
    <m/>
    <m/>
    <m/>
    <n v="0"/>
    <m/>
    <m/>
  </r>
  <r>
    <n v="2865"/>
    <x v="36"/>
    <s v="Night"/>
    <x v="0"/>
    <n v="2000717475"/>
    <n v="160"/>
    <n v="120"/>
    <n v="0"/>
    <s v="U36008"/>
    <s v="L1188/89"/>
    <x v="194"/>
    <m/>
    <m/>
    <m/>
    <n v="0"/>
    <m/>
    <m/>
  </r>
  <r>
    <n v="2866"/>
    <x v="36"/>
    <s v="Night"/>
    <x v="0"/>
    <n v="2000716319"/>
    <n v="300"/>
    <n v="40"/>
    <n v="0"/>
    <s v="U36008"/>
    <s v="L1188/89"/>
    <x v="17"/>
    <m/>
    <m/>
    <m/>
    <n v="0"/>
    <m/>
    <m/>
  </r>
  <r>
    <n v="2867"/>
    <x v="36"/>
    <s v="Night"/>
    <x v="1"/>
    <n v="2000716868"/>
    <n v="400"/>
    <n v="250"/>
    <n v="0"/>
    <s v="U30119"/>
    <s v="FLORA"/>
    <x v="28"/>
    <m/>
    <m/>
    <m/>
    <n v="0"/>
    <m/>
    <m/>
  </r>
  <r>
    <n v="2868"/>
    <x v="36"/>
    <s v="Night"/>
    <x v="1"/>
    <n v="2000717046"/>
    <n v="300"/>
    <n v="180"/>
    <n v="0"/>
    <s v="U30119"/>
    <s v="PSLV"/>
    <x v="153"/>
    <m/>
    <m/>
    <m/>
    <n v="0"/>
    <m/>
    <m/>
  </r>
  <r>
    <n v="2869"/>
    <x v="36"/>
    <s v="Night"/>
    <x v="1"/>
    <n v="2000715659"/>
    <n v="1140"/>
    <n v="140"/>
    <n v="0"/>
    <s v="U30119"/>
    <s v="SHANKS"/>
    <x v="24"/>
    <m/>
    <m/>
    <m/>
    <n v="0"/>
    <m/>
    <m/>
  </r>
  <r>
    <n v="2870"/>
    <x v="36"/>
    <s v="Night"/>
    <x v="1"/>
    <n v="2000716582"/>
    <n v="350"/>
    <n v="80"/>
    <n v="0"/>
    <s v="U30119"/>
    <s v="PSLV"/>
    <x v="135"/>
    <m/>
    <m/>
    <m/>
    <n v="0"/>
    <m/>
    <m/>
  </r>
  <r>
    <n v="2871"/>
    <x v="36"/>
    <s v="Night"/>
    <x v="1"/>
    <n v="2000716865"/>
    <n v="389"/>
    <n v="100"/>
    <n v="0"/>
    <s v="U30119"/>
    <s v="PSHV"/>
    <x v="26"/>
    <m/>
    <m/>
    <m/>
    <n v="0"/>
    <m/>
    <m/>
  </r>
  <r>
    <n v="2872"/>
    <x v="36"/>
    <s v="Night"/>
    <x v="1"/>
    <n v="2000716869"/>
    <n v="800"/>
    <n v="180"/>
    <n v="0"/>
    <s v="U30119"/>
    <s v="SHANKS"/>
    <x v="67"/>
    <m/>
    <m/>
    <m/>
    <n v="0"/>
    <m/>
    <m/>
  </r>
  <r>
    <n v="2873"/>
    <x v="37"/>
    <s v="Day"/>
    <x v="0"/>
    <n v="2000716759"/>
    <n v="400"/>
    <n v="40"/>
    <n v="0"/>
    <s v="U32991"/>
    <s v="L1193/94"/>
    <x v="21"/>
    <m/>
    <m/>
    <m/>
    <n v="0"/>
    <m/>
    <m/>
  </r>
  <r>
    <n v="2874"/>
    <x v="37"/>
    <s v="Day"/>
    <x v="0"/>
    <n v="2000714219"/>
    <n v="800"/>
    <n v="32"/>
    <n v="0"/>
    <s v="U32991"/>
    <s v="L1193/94"/>
    <x v="21"/>
    <m/>
    <m/>
    <m/>
    <n v="0"/>
    <m/>
    <m/>
  </r>
  <r>
    <n v="2875"/>
    <x v="37"/>
    <s v="Day"/>
    <x v="0"/>
    <n v="2000716434"/>
    <n v="690"/>
    <n v="180"/>
    <n v="0"/>
    <s v="U32991"/>
    <s v="L1193/94"/>
    <x v="192"/>
    <m/>
    <m/>
    <m/>
    <n v="0"/>
    <m/>
    <m/>
  </r>
  <r>
    <n v="2876"/>
    <x v="37"/>
    <s v="Day"/>
    <x v="0"/>
    <n v="2000716762"/>
    <n v="290"/>
    <n v="257"/>
    <n v="0"/>
    <s v="U32991"/>
    <s v="L1193/94"/>
    <x v="123"/>
    <m/>
    <m/>
    <m/>
    <n v="0"/>
    <m/>
    <m/>
  </r>
  <r>
    <n v="2877"/>
    <x v="37"/>
    <s v="Day"/>
    <x v="0"/>
    <n v="2000716654"/>
    <n v="1200"/>
    <n v="60"/>
    <n v="0"/>
    <s v="U05944"/>
    <s v="L1168/69"/>
    <x v="195"/>
    <m/>
    <m/>
    <m/>
    <n v="0"/>
    <m/>
    <m/>
  </r>
  <r>
    <n v="2878"/>
    <x v="37"/>
    <s v="Day"/>
    <x v="0"/>
    <n v="2000717186"/>
    <n v="400"/>
    <n v="80"/>
    <n v="0"/>
    <s v="U05944"/>
    <s v="L1188/89"/>
    <x v="130"/>
    <m/>
    <m/>
    <m/>
    <n v="0"/>
    <m/>
    <m/>
  </r>
  <r>
    <n v="2879"/>
    <x v="37"/>
    <s v="Day"/>
    <x v="0"/>
    <n v="2000716840"/>
    <n v="190"/>
    <n v="20"/>
    <n v="0"/>
    <s v="U03968"/>
    <s v="L1105"/>
    <x v="151"/>
    <m/>
    <m/>
    <m/>
    <n v="0"/>
    <m/>
    <m/>
  </r>
  <r>
    <n v="2880"/>
    <x v="37"/>
    <s v="Day"/>
    <x v="0"/>
    <n v="2000713862"/>
    <n v="2640"/>
    <n v="240"/>
    <n v="0"/>
    <s v="U03968"/>
    <s v="L1193/94"/>
    <x v="30"/>
    <m/>
    <m/>
    <m/>
    <n v="0"/>
    <m/>
    <m/>
  </r>
  <r>
    <n v="2881"/>
    <x v="37"/>
    <s v="Day"/>
    <x v="0"/>
    <n v="2000716822"/>
    <n v="1200"/>
    <n v="150"/>
    <n v="0"/>
    <s v="U03968"/>
    <s v="L1186"/>
    <x v="32"/>
    <m/>
    <m/>
    <m/>
    <n v="0"/>
    <m/>
    <m/>
  </r>
  <r>
    <n v="2882"/>
    <x v="37"/>
    <s v="Day"/>
    <x v="0"/>
    <n v="2000716142"/>
    <n v="554"/>
    <n v="254"/>
    <n v="0"/>
    <s v="U03968"/>
    <s v="T575"/>
    <x v="201"/>
    <m/>
    <m/>
    <m/>
    <n v="0"/>
    <m/>
    <m/>
  </r>
  <r>
    <n v="2883"/>
    <x v="37"/>
    <s v="Day"/>
    <x v="0"/>
    <n v="2000715860"/>
    <n v="2400"/>
    <n v="800"/>
    <n v="0"/>
    <s v="U03968"/>
    <s v="L1144/47"/>
    <x v="92"/>
    <m/>
    <m/>
    <m/>
    <n v="0"/>
    <m/>
    <m/>
  </r>
  <r>
    <n v="2884"/>
    <x v="37"/>
    <s v="Day"/>
    <x v="0"/>
    <n v="2000716275"/>
    <n v="800"/>
    <n v="200"/>
    <n v="0"/>
    <s v="U03968"/>
    <s v="L1174/75"/>
    <x v="62"/>
    <m/>
    <m/>
    <m/>
    <n v="0"/>
    <m/>
    <m/>
  </r>
  <r>
    <n v="2885"/>
    <x v="37"/>
    <s v="Day"/>
    <x v="0"/>
    <n v="2000716730"/>
    <n v="7800"/>
    <n v="300"/>
    <n v="0"/>
    <s v="U03968"/>
    <s v="L1112/13"/>
    <x v="75"/>
    <m/>
    <m/>
    <m/>
    <n v="0"/>
    <m/>
    <m/>
  </r>
  <r>
    <n v="2886"/>
    <x v="37"/>
    <s v="Day"/>
    <x v="0"/>
    <n v="2000716728"/>
    <n v="3200"/>
    <n v="800"/>
    <n v="0"/>
    <s v="U03968"/>
    <s v="L1193/94"/>
    <x v="119"/>
    <m/>
    <m/>
    <m/>
    <n v="0"/>
    <m/>
    <m/>
  </r>
  <r>
    <n v="2887"/>
    <x v="37"/>
    <s v="Day"/>
    <x v="0"/>
    <n v="2000716727"/>
    <n v="1800"/>
    <n v="130"/>
    <n v="0"/>
    <s v="U03968"/>
    <s v="L1172/73"/>
    <x v="7"/>
    <m/>
    <m/>
    <m/>
    <n v="0"/>
    <m/>
    <m/>
  </r>
  <r>
    <n v="2888"/>
    <x v="37"/>
    <s v="Day"/>
    <x v="0"/>
    <n v="2000715606"/>
    <n v="3600"/>
    <n v="900"/>
    <n v="0"/>
    <s v="U36387"/>
    <s v="L1172/73"/>
    <x v="7"/>
    <m/>
    <m/>
    <m/>
    <n v="0"/>
    <m/>
    <m/>
  </r>
  <r>
    <n v="2889"/>
    <x v="37"/>
    <s v="Day"/>
    <x v="0"/>
    <n v="2000714684"/>
    <n v="3600"/>
    <n v="300"/>
    <n v="0"/>
    <s v="U36387"/>
    <s v="L1172/73"/>
    <x v="7"/>
    <m/>
    <m/>
    <m/>
    <n v="0"/>
    <m/>
    <m/>
  </r>
  <r>
    <n v="2890"/>
    <x v="37"/>
    <s v="Day"/>
    <x v="0"/>
    <n v="2000715605"/>
    <n v="6600"/>
    <n v="1200"/>
    <n v="0"/>
    <s v="U36387"/>
    <s v="L1112/13"/>
    <x v="75"/>
    <m/>
    <m/>
    <m/>
    <n v="0"/>
    <m/>
    <m/>
  </r>
  <r>
    <n v="2891"/>
    <x v="37"/>
    <s v="Day"/>
    <x v="0"/>
    <n v="2000715915"/>
    <n v="6600"/>
    <n v="300"/>
    <n v="0"/>
    <s v="U36387"/>
    <s v="L1112/13"/>
    <x v="75"/>
    <m/>
    <m/>
    <m/>
    <n v="0"/>
    <m/>
    <m/>
  </r>
  <r>
    <n v="2892"/>
    <x v="37"/>
    <s v="Day"/>
    <x v="0"/>
    <n v="2000716319"/>
    <n v="300"/>
    <n v="40"/>
    <n v="0"/>
    <s v="U29686"/>
    <s v="L1188/89"/>
    <x v="17"/>
    <m/>
    <m/>
    <m/>
    <n v="0"/>
    <m/>
    <m/>
  </r>
  <r>
    <n v="2893"/>
    <x v="37"/>
    <s v="Day"/>
    <x v="0"/>
    <n v="2000716706"/>
    <n v="440"/>
    <n v="80"/>
    <n v="0"/>
    <s v="U29686"/>
    <s v="L1188/89"/>
    <x v="73"/>
    <m/>
    <m/>
    <m/>
    <n v="0"/>
    <m/>
    <m/>
  </r>
  <r>
    <n v="2894"/>
    <x v="37"/>
    <s v="Day"/>
    <x v="0"/>
    <n v="2000717187"/>
    <n v="280"/>
    <n v="280"/>
    <n v="0"/>
    <s v="U29686"/>
    <s v="L1188/89"/>
    <x v="73"/>
    <m/>
    <m/>
    <m/>
    <n v="0"/>
    <m/>
    <m/>
  </r>
  <r>
    <n v="2895"/>
    <x v="37"/>
    <s v="Day"/>
    <x v="0"/>
    <n v="2000717451"/>
    <n v="747"/>
    <n v="280"/>
    <n v="0"/>
    <s v="U29686"/>
    <s v="L1188/89"/>
    <x v="43"/>
    <m/>
    <m/>
    <m/>
    <n v="0"/>
    <m/>
    <m/>
  </r>
  <r>
    <n v="2896"/>
    <x v="37"/>
    <s v="Day"/>
    <x v="0"/>
    <n v="2000716811"/>
    <n v="540"/>
    <n v="40"/>
    <n v="0"/>
    <s v="U30425"/>
    <s v="L1174/75"/>
    <x v="171"/>
    <m/>
    <m/>
    <m/>
    <n v="0"/>
    <m/>
    <m/>
  </r>
  <r>
    <n v="2897"/>
    <x v="37"/>
    <s v="Day"/>
    <x v="0"/>
    <n v="2000716302"/>
    <n v="720"/>
    <n v="30"/>
    <n v="0"/>
    <s v="U30425"/>
    <s v="L1172/73"/>
    <x v="20"/>
    <m/>
    <m/>
    <m/>
    <n v="0"/>
    <m/>
    <m/>
  </r>
  <r>
    <n v="2898"/>
    <x v="37"/>
    <s v="Day"/>
    <x v="0"/>
    <n v="2000716791"/>
    <n v="1180"/>
    <n v="80"/>
    <n v="0"/>
    <s v="U30425"/>
    <s v="L1144/47"/>
    <x v="5"/>
    <m/>
    <m/>
    <m/>
    <n v="0"/>
    <m/>
    <m/>
  </r>
  <r>
    <n v="2899"/>
    <x v="37"/>
    <s v="Day"/>
    <x v="0"/>
    <n v="2000716806"/>
    <n v="2000"/>
    <n v="80"/>
    <n v="0"/>
    <s v="U30425"/>
    <s v="L1174/75"/>
    <x v="61"/>
    <m/>
    <m/>
    <m/>
    <n v="0"/>
    <m/>
    <m/>
  </r>
  <r>
    <n v="2900"/>
    <x v="37"/>
    <s v="Day"/>
    <x v="0"/>
    <n v="2000716828"/>
    <n v="800"/>
    <n v="80"/>
    <n v="0"/>
    <s v="U30425"/>
    <s v="L1144/47"/>
    <x v="59"/>
    <m/>
    <m/>
    <m/>
    <n v="0"/>
    <m/>
    <m/>
  </r>
  <r>
    <n v="2901"/>
    <x v="37"/>
    <s v="Day"/>
    <x v="0"/>
    <n v="2000716741"/>
    <n v="3990"/>
    <n v="120"/>
    <n v="0"/>
    <s v="U30425"/>
    <s v="L1168/69"/>
    <x v="37"/>
    <m/>
    <m/>
    <m/>
    <n v="0"/>
    <m/>
    <m/>
  </r>
  <r>
    <n v="2902"/>
    <x v="37"/>
    <s v="Day"/>
    <x v="0"/>
    <n v="2000716774"/>
    <n v="320"/>
    <n v="40"/>
    <n v="0"/>
    <s v="U30425"/>
    <s v="L1144/47"/>
    <x v="71"/>
    <m/>
    <m/>
    <m/>
    <n v="0"/>
    <m/>
    <m/>
  </r>
  <r>
    <n v="2903"/>
    <x v="37"/>
    <s v="Day"/>
    <x v="0"/>
    <n v="2000716750"/>
    <n v="900"/>
    <n v="80"/>
    <n v="0"/>
    <s v="U30425"/>
    <s v="L1172/73"/>
    <x v="83"/>
    <m/>
    <m/>
    <m/>
    <n v="0"/>
    <m/>
    <m/>
  </r>
  <r>
    <n v="2904"/>
    <x v="37"/>
    <s v="Day"/>
    <x v="0"/>
    <n v="2000716793"/>
    <n v="100"/>
    <n v="20"/>
    <n v="0"/>
    <s v="U30425"/>
    <s v="T541"/>
    <x v="5"/>
    <m/>
    <m/>
    <m/>
    <n v="0"/>
    <m/>
    <m/>
  </r>
  <r>
    <n v="2905"/>
    <x v="37"/>
    <s v="Day"/>
    <x v="0"/>
    <n v="2000716793"/>
    <n v="770"/>
    <n v="80"/>
    <n v="0"/>
    <s v="U30425"/>
    <s v="L1144/47"/>
    <x v="5"/>
    <m/>
    <m/>
    <m/>
    <n v="0"/>
    <m/>
    <m/>
  </r>
  <r>
    <n v="2906"/>
    <x v="37"/>
    <s v="Day"/>
    <x v="0"/>
    <n v="2000716775"/>
    <n v="120"/>
    <n v="20"/>
    <n v="0"/>
    <s v="U30425"/>
    <s v="T541"/>
    <x v="188"/>
    <m/>
    <m/>
    <m/>
    <n v="0"/>
    <m/>
    <m/>
  </r>
  <r>
    <n v="2907"/>
    <x v="37"/>
    <s v="Day"/>
    <x v="0"/>
    <n v="2000716268"/>
    <n v="60"/>
    <n v="20"/>
    <n v="0"/>
    <s v="U30425"/>
    <s v="L1144/47"/>
    <x v="88"/>
    <m/>
    <m/>
    <m/>
    <n v="0"/>
    <m/>
    <m/>
  </r>
  <r>
    <n v="2908"/>
    <x v="37"/>
    <s v="Day"/>
    <x v="0"/>
    <n v="2000716319"/>
    <n v="300"/>
    <n v="40"/>
    <n v="0"/>
    <s v="U27723"/>
    <s v="L1188/89"/>
    <x v="17"/>
    <m/>
    <m/>
    <m/>
    <n v="0"/>
    <m/>
    <m/>
  </r>
  <r>
    <n v="2909"/>
    <x v="37"/>
    <s v="Day"/>
    <x v="0"/>
    <n v="2000717186"/>
    <n v="400"/>
    <n v="277"/>
    <n v="0"/>
    <s v="U27723"/>
    <s v="L1188/89"/>
    <x v="130"/>
    <m/>
    <m/>
    <m/>
    <n v="0"/>
    <m/>
    <m/>
  </r>
  <r>
    <n v="2910"/>
    <x v="37"/>
    <s v="Day"/>
    <x v="0"/>
    <n v="2000716655"/>
    <n v="1000"/>
    <n v="34"/>
    <n v="0"/>
    <s v="U27723"/>
    <s v="L1188/89"/>
    <x v="72"/>
    <m/>
    <m/>
    <m/>
    <n v="0"/>
    <m/>
    <m/>
  </r>
  <r>
    <n v="2911"/>
    <x v="37"/>
    <s v="Day"/>
    <x v="0"/>
    <n v="2000716705"/>
    <n v="960"/>
    <n v="80"/>
    <n v="0"/>
    <s v="U27723"/>
    <s v="L1188/89"/>
    <x v="130"/>
    <m/>
    <m/>
    <m/>
    <n v="0"/>
    <m/>
    <m/>
  </r>
  <r>
    <n v="2912"/>
    <x v="37"/>
    <s v="Day"/>
    <x v="0"/>
    <n v="2000716706"/>
    <n v="440"/>
    <n v="118"/>
    <n v="0"/>
    <s v="U27723"/>
    <s v="L1188/89"/>
    <x v="73"/>
    <m/>
    <m/>
    <m/>
    <n v="0"/>
    <m/>
    <m/>
  </r>
  <r>
    <n v="2913"/>
    <x v="37"/>
    <s v="Day"/>
    <x v="0"/>
    <n v="2000716706"/>
    <n v="440"/>
    <n v="80"/>
    <n v="0"/>
    <s v="U27723"/>
    <s v="L1188/89"/>
    <x v="73"/>
    <m/>
    <m/>
    <m/>
    <n v="0"/>
    <m/>
    <m/>
  </r>
  <r>
    <n v="2914"/>
    <x v="37"/>
    <s v="Day"/>
    <x v="0"/>
    <n v="2000717186"/>
    <n v="400"/>
    <n v="40"/>
    <n v="0"/>
    <s v="U27723"/>
    <s v="L1188/89"/>
    <x v="130"/>
    <m/>
    <m/>
    <m/>
    <n v="0"/>
    <m/>
    <m/>
  </r>
  <r>
    <n v="2915"/>
    <x v="37"/>
    <s v="Day"/>
    <x v="0"/>
    <n v="2000715922"/>
    <n v="3000"/>
    <n v="120"/>
    <n v="0"/>
    <s v="U27723"/>
    <s v="L1168/69"/>
    <x v="37"/>
    <m/>
    <m/>
    <m/>
    <n v="0"/>
    <m/>
    <m/>
  </r>
  <r>
    <n v="2916"/>
    <x v="37"/>
    <s v="Day"/>
    <x v="0"/>
    <n v="2000714120"/>
    <n v="1030"/>
    <n v="1"/>
    <n v="0"/>
    <s v="U27687"/>
    <s v="L1170/71"/>
    <x v="59"/>
    <m/>
    <m/>
    <m/>
    <n v="0"/>
    <m/>
    <m/>
  </r>
  <r>
    <n v="2917"/>
    <x v="37"/>
    <s v="Day"/>
    <x v="0"/>
    <n v="2000717021"/>
    <n v="400"/>
    <n v="45"/>
    <n v="0"/>
    <s v="U27687"/>
    <s v="L1170/71"/>
    <x v="117"/>
    <m/>
    <m/>
    <m/>
    <n v="0"/>
    <m/>
    <m/>
  </r>
  <r>
    <n v="2918"/>
    <x v="37"/>
    <s v="Day"/>
    <x v="0"/>
    <n v="2000716434"/>
    <n v="690"/>
    <n v="60"/>
    <n v="0"/>
    <s v="U27687"/>
    <s v="L1193/94"/>
    <x v="192"/>
    <m/>
    <m/>
    <m/>
    <n v="0"/>
    <m/>
    <m/>
  </r>
  <r>
    <n v="2919"/>
    <x v="37"/>
    <s v="Day"/>
    <x v="0"/>
    <n v="2000716759"/>
    <n v="400"/>
    <n v="30"/>
    <n v="0"/>
    <s v="U27687"/>
    <s v="L1193/94"/>
    <x v="21"/>
    <m/>
    <m/>
    <m/>
    <n v="0"/>
    <m/>
    <m/>
  </r>
  <r>
    <n v="2920"/>
    <x v="37"/>
    <s v="Day"/>
    <x v="0"/>
    <n v="2000716706"/>
    <n v="440"/>
    <n v="160"/>
    <n v="0"/>
    <s v="U27687"/>
    <s v="L1188/89"/>
    <x v="73"/>
    <m/>
    <m/>
    <m/>
    <n v="0"/>
    <m/>
    <m/>
  </r>
  <r>
    <n v="2921"/>
    <x v="37"/>
    <s v="Day"/>
    <x v="0"/>
    <n v="2000715552"/>
    <n v="1010"/>
    <n v="180"/>
    <n v="0"/>
    <s v="U27687"/>
    <s v="L1193/94"/>
    <x v="104"/>
    <m/>
    <m/>
    <m/>
    <n v="0"/>
    <m/>
    <m/>
  </r>
  <r>
    <n v="2922"/>
    <x v="37"/>
    <s v="Day"/>
    <x v="0"/>
    <n v="2000716714"/>
    <n v="2000"/>
    <n v="15"/>
    <n v="0"/>
    <s v="U27687"/>
    <s v="L1188/89"/>
    <x v="109"/>
    <m/>
    <m/>
    <m/>
    <n v="0"/>
    <m/>
    <m/>
  </r>
  <r>
    <n v="2923"/>
    <x v="37"/>
    <s v="Day"/>
    <x v="0"/>
    <n v="2000716714"/>
    <n v="2000"/>
    <n v="585"/>
    <n v="0"/>
    <s v="U18660"/>
    <s v="L1188/89"/>
    <x v="109"/>
    <m/>
    <m/>
    <m/>
    <n v="0"/>
    <m/>
    <m/>
  </r>
  <r>
    <n v="2924"/>
    <x v="37"/>
    <s v="Day"/>
    <x v="0"/>
    <n v="2000717021"/>
    <n v="400"/>
    <n v="354"/>
    <n v="0"/>
    <s v="U18660"/>
    <s v="L1170/71"/>
    <x v="117"/>
    <m/>
    <m/>
    <m/>
    <n v="0"/>
    <m/>
    <m/>
  </r>
  <r>
    <n v="2925"/>
    <x v="37"/>
    <s v="Day"/>
    <x v="0"/>
    <n v="2000714699"/>
    <n v="1000"/>
    <n v="30"/>
    <n v="0"/>
    <s v="U18660"/>
    <s v="L1172/73"/>
    <x v="18"/>
    <m/>
    <m/>
    <m/>
    <n v="0"/>
    <m/>
    <m/>
  </r>
  <r>
    <n v="2926"/>
    <x v="37"/>
    <s v="Day"/>
    <x v="1"/>
    <n v="2000716582"/>
    <n v="350"/>
    <n v="30"/>
    <n v="0"/>
    <s v="U15759"/>
    <s v="PSLV"/>
    <x v="135"/>
    <m/>
    <m/>
    <m/>
    <n v="0"/>
    <m/>
    <m/>
  </r>
  <r>
    <n v="2927"/>
    <x v="37"/>
    <s v="Day"/>
    <x v="1"/>
    <n v="2000716868"/>
    <n v="400"/>
    <n v="24"/>
    <n v="0"/>
    <s v="U15759"/>
    <s v="FLORA"/>
    <x v="28"/>
    <m/>
    <m/>
    <m/>
    <n v="0"/>
    <m/>
    <m/>
  </r>
  <r>
    <n v="2928"/>
    <x v="37"/>
    <s v="Day"/>
    <x v="1"/>
    <n v="2000715658"/>
    <n v="400"/>
    <n v="230"/>
    <n v="0"/>
    <s v="U15759"/>
    <s v="FLORA"/>
    <x v="180"/>
    <m/>
    <m/>
    <m/>
    <n v="0"/>
    <m/>
    <m/>
  </r>
  <r>
    <n v="2929"/>
    <x v="37"/>
    <s v="Day"/>
    <x v="1"/>
    <n v="2000715660"/>
    <n v="400"/>
    <n v="400"/>
    <n v="0"/>
    <s v="U15759"/>
    <s v="PSLV"/>
    <x v="29"/>
    <m/>
    <m/>
    <m/>
    <n v="0"/>
    <m/>
    <m/>
  </r>
  <r>
    <n v="2930"/>
    <x v="37"/>
    <s v="Day"/>
    <x v="1"/>
    <n v="2000717031"/>
    <n v="800"/>
    <n v="180"/>
    <n v="0"/>
    <s v="U15759"/>
    <s v="SHANKS"/>
    <x v="67"/>
    <m/>
    <m/>
    <m/>
    <n v="0"/>
    <m/>
    <m/>
  </r>
  <r>
    <n v="2931"/>
    <x v="37"/>
    <s v="Day"/>
    <x v="1"/>
    <n v="2000717316"/>
    <n v="800"/>
    <n v="180"/>
    <n v="0"/>
    <s v="U15759"/>
    <s v="SHANKS"/>
    <x v="67"/>
    <m/>
    <m/>
    <m/>
    <n v="0"/>
    <m/>
    <m/>
  </r>
  <r>
    <n v="2932"/>
    <x v="37"/>
    <s v="Day"/>
    <x v="1"/>
    <n v="2000717029"/>
    <n v="500"/>
    <n v="100"/>
    <n v="0"/>
    <s v="U15759"/>
    <s v="PSHV"/>
    <x v="25"/>
    <m/>
    <m/>
    <m/>
    <n v="0"/>
    <m/>
    <m/>
  </r>
  <r>
    <n v="2933"/>
    <x v="37"/>
    <s v="Day"/>
    <x v="1"/>
    <n v="2000716583"/>
    <n v="370"/>
    <n v="80"/>
    <n v="0"/>
    <s v="U15759"/>
    <s v="PSHV"/>
    <x v="50"/>
    <m/>
    <m/>
    <m/>
    <n v="0"/>
    <m/>
    <m/>
  </r>
  <r>
    <n v="2934"/>
    <x v="37"/>
    <s v="Night"/>
    <x v="0"/>
    <n v="2000716762"/>
    <n v="290"/>
    <n v="30"/>
    <n v="0"/>
    <s v="U31065"/>
    <s v="L1193/94"/>
    <x v="123"/>
    <m/>
    <m/>
    <m/>
    <n v="0"/>
    <m/>
    <m/>
  </r>
  <r>
    <n v="2935"/>
    <x v="37"/>
    <s v="Night"/>
    <x v="0"/>
    <n v="2000716763"/>
    <n v="720"/>
    <n v="486"/>
    <n v="0"/>
    <s v="U31065"/>
    <s v="L1193/94"/>
    <x v="192"/>
    <m/>
    <m/>
    <m/>
    <n v="0"/>
    <m/>
    <m/>
  </r>
  <r>
    <n v="2936"/>
    <x v="37"/>
    <s v="Night"/>
    <x v="0"/>
    <n v="2000714219"/>
    <n v="800"/>
    <n v="60"/>
    <n v="0"/>
    <s v="U31065"/>
    <s v="L1193/94"/>
    <x v="21"/>
    <m/>
    <m/>
    <m/>
    <n v="0"/>
    <m/>
    <m/>
  </r>
  <r>
    <n v="2937"/>
    <x v="37"/>
    <s v="Night"/>
    <x v="0"/>
    <n v="2000716759"/>
    <n v="400"/>
    <n v="60"/>
    <n v="0"/>
    <s v="U31065"/>
    <s v="L1193/94"/>
    <x v="21"/>
    <m/>
    <m/>
    <m/>
    <n v="0"/>
    <m/>
    <m/>
  </r>
  <r>
    <n v="2938"/>
    <x v="37"/>
    <s v="Night"/>
    <x v="0"/>
    <n v="2000717186"/>
    <n v="400"/>
    <n v="40"/>
    <n v="0"/>
    <s v="U36008"/>
    <s v="L1188/89"/>
    <x v="130"/>
    <m/>
    <m/>
    <m/>
    <n v="0"/>
    <m/>
    <m/>
  </r>
  <r>
    <n v="2939"/>
    <x v="37"/>
    <s v="Night"/>
    <x v="0"/>
    <n v="2000716705"/>
    <n v="960"/>
    <n v="440"/>
    <n v="0"/>
    <s v="U36008"/>
    <s v="L1188/89"/>
    <x v="130"/>
    <m/>
    <m/>
    <m/>
    <n v="0"/>
    <m/>
    <m/>
  </r>
  <r>
    <n v="2940"/>
    <x v="37"/>
    <s v="Night"/>
    <x v="0"/>
    <n v="2000717453"/>
    <n v="1072"/>
    <n v="40"/>
    <n v="0"/>
    <s v="U36008"/>
    <s v="L1188/89"/>
    <x v="16"/>
    <m/>
    <m/>
    <m/>
    <n v="0"/>
    <m/>
    <m/>
  </r>
  <r>
    <n v="2941"/>
    <x v="37"/>
    <s v="Night"/>
    <x v="0"/>
    <n v="2000715915"/>
    <n v="6600"/>
    <n v="450"/>
    <n v="0"/>
    <s v="U26613"/>
    <s v="L1112/13"/>
    <x v="75"/>
    <m/>
    <m/>
    <m/>
    <n v="0"/>
    <m/>
    <m/>
  </r>
  <r>
    <n v="2942"/>
    <x v="37"/>
    <s v="Night"/>
    <x v="0"/>
    <n v="2000713862"/>
    <n v="2640"/>
    <n v="240"/>
    <n v="0"/>
    <s v="U26613"/>
    <s v="L1193/94"/>
    <x v="30"/>
    <m/>
    <m/>
    <m/>
    <n v="0"/>
    <m/>
    <m/>
  </r>
  <r>
    <n v="2943"/>
    <x v="37"/>
    <s v="Night"/>
    <x v="0"/>
    <n v="2000716728"/>
    <n v="3200"/>
    <n v="1600"/>
    <n v="0"/>
    <s v="U26613"/>
    <s v="L1193/94"/>
    <x v="119"/>
    <m/>
    <m/>
    <m/>
    <n v="0"/>
    <m/>
    <m/>
  </r>
  <r>
    <n v="2944"/>
    <x v="37"/>
    <s v="Night"/>
    <x v="0"/>
    <n v="2000716273"/>
    <n v="800"/>
    <n v="150"/>
    <n v="0"/>
    <s v="U26613"/>
    <s v="L1144/47"/>
    <x v="77"/>
    <m/>
    <m/>
    <m/>
    <n v="0"/>
    <m/>
    <m/>
  </r>
  <r>
    <n v="2945"/>
    <x v="37"/>
    <s v="Night"/>
    <x v="0"/>
    <n v="2000716278"/>
    <n v="1200"/>
    <n v="150"/>
    <n v="0"/>
    <s v="U26613"/>
    <s v="L1144/47"/>
    <x v="77"/>
    <m/>
    <m/>
    <m/>
    <n v="0"/>
    <m/>
    <m/>
  </r>
  <r>
    <n v="2946"/>
    <x v="37"/>
    <s v="Night"/>
    <x v="0"/>
    <n v="2000716472"/>
    <n v="1000"/>
    <n v="200"/>
    <n v="0"/>
    <s v="U26613"/>
    <s v="L1174/75"/>
    <x v="62"/>
    <m/>
    <m/>
    <m/>
    <n v="0"/>
    <m/>
    <m/>
  </r>
  <r>
    <n v="2947"/>
    <x v="37"/>
    <s v="Night"/>
    <x v="0"/>
    <n v="2000716280"/>
    <n v="1100"/>
    <n v="200"/>
    <n v="0"/>
    <s v="U26613"/>
    <s v="L1174/75"/>
    <x v="62"/>
    <m/>
    <m/>
    <m/>
    <n v="0"/>
    <m/>
    <m/>
  </r>
  <r>
    <n v="2948"/>
    <x v="37"/>
    <s v="Night"/>
    <x v="0"/>
    <n v="2000716714"/>
    <n v="2000"/>
    <n v="975"/>
    <n v="0"/>
    <s v="U23987"/>
    <s v="L1188/89"/>
    <x v="109"/>
    <m/>
    <m/>
    <m/>
    <n v="0"/>
    <m/>
    <m/>
  </r>
  <r>
    <n v="2949"/>
    <x v="37"/>
    <s v="Night"/>
    <x v="0"/>
    <n v="2000716319"/>
    <n v="300"/>
    <n v="60"/>
    <n v="0"/>
    <s v="U27724"/>
    <s v="L1188/89"/>
    <x v="17"/>
    <m/>
    <m/>
    <m/>
    <n v="0"/>
    <m/>
    <m/>
  </r>
  <r>
    <n v="2950"/>
    <x v="37"/>
    <s v="Night"/>
    <x v="0"/>
    <n v="2000716462"/>
    <n v="150"/>
    <n v="29"/>
    <n v="0"/>
    <s v="U27724"/>
    <s v="L1188/89"/>
    <x v="17"/>
    <m/>
    <m/>
    <m/>
    <n v="0"/>
    <m/>
    <m/>
  </r>
  <r>
    <n v="2951"/>
    <x v="37"/>
    <s v="Night"/>
    <x v="0"/>
    <n v="2000716847"/>
    <n v="320"/>
    <n v="318"/>
    <n v="0"/>
    <s v="U27724"/>
    <s v="L1188/89"/>
    <x v="136"/>
    <m/>
    <m/>
    <m/>
    <n v="0"/>
    <m/>
    <m/>
  </r>
  <r>
    <n v="2952"/>
    <x v="37"/>
    <s v="Night"/>
    <x v="0"/>
    <n v="2000717584"/>
    <n v="160"/>
    <n v="161"/>
    <n v="0"/>
    <s v="U27724"/>
    <s v="L1188/89"/>
    <x v="72"/>
    <m/>
    <m/>
    <m/>
    <n v="0"/>
    <m/>
    <m/>
  </r>
  <r>
    <n v="2953"/>
    <x v="37"/>
    <s v="Night"/>
    <x v="0"/>
    <n v="2000717453"/>
    <n v="1072"/>
    <n v="160"/>
    <n v="0"/>
    <s v="U27724"/>
    <s v="L1188/89"/>
    <x v="16"/>
    <m/>
    <m/>
    <m/>
    <n v="0"/>
    <m/>
    <m/>
  </r>
  <r>
    <n v="2954"/>
    <x v="37"/>
    <s v="Night"/>
    <x v="0"/>
    <n v="2000716832"/>
    <n v="1200"/>
    <n v="80"/>
    <n v="0"/>
    <s v="U09854"/>
    <s v="L1144/47"/>
    <x v="59"/>
    <m/>
    <m/>
    <m/>
    <n v="0"/>
    <m/>
    <m/>
  </r>
  <r>
    <n v="2955"/>
    <x v="37"/>
    <s v="Night"/>
    <x v="0"/>
    <n v="2000717144"/>
    <n v="800"/>
    <n v="40"/>
    <n v="0"/>
    <s v="U09854"/>
    <s v="L1144/47"/>
    <x v="59"/>
    <m/>
    <m/>
    <m/>
    <n v="0"/>
    <m/>
    <m/>
  </r>
  <r>
    <n v="2956"/>
    <x v="37"/>
    <s v="Night"/>
    <x v="0"/>
    <n v="2000716660"/>
    <n v="600"/>
    <n v="60"/>
    <n v="0"/>
    <s v="U09854"/>
    <s v="L1077"/>
    <x v="2"/>
    <m/>
    <m/>
    <m/>
    <n v="0"/>
    <m/>
    <m/>
  </r>
  <r>
    <n v="2957"/>
    <x v="37"/>
    <s v="Night"/>
    <x v="0"/>
    <n v="2000716669"/>
    <n v="500"/>
    <n v="80"/>
    <n v="0"/>
    <s v="U09854"/>
    <s v="L1077"/>
    <x v="2"/>
    <m/>
    <m/>
    <m/>
    <n v="0"/>
    <m/>
    <m/>
  </r>
  <r>
    <n v="2958"/>
    <x v="37"/>
    <s v="Night"/>
    <x v="0"/>
    <n v="2000715360"/>
    <n v="1900"/>
    <n v="70"/>
    <n v="0"/>
    <s v="U09854"/>
    <s v="L1172/73"/>
    <x v="18"/>
    <m/>
    <m/>
    <m/>
    <n v="0"/>
    <m/>
    <m/>
  </r>
  <r>
    <n v="2959"/>
    <x v="37"/>
    <s v="Night"/>
    <x v="0"/>
    <n v="2000716792"/>
    <n v="1580"/>
    <n v="130"/>
    <n v="0"/>
    <s v="U09854"/>
    <s v="L1144/47"/>
    <x v="56"/>
    <m/>
    <m/>
    <m/>
    <n v="0"/>
    <m/>
    <m/>
  </r>
  <r>
    <n v="2960"/>
    <x v="37"/>
    <s v="Night"/>
    <x v="0"/>
    <n v="2000715640"/>
    <n v="5008"/>
    <n v="200"/>
    <n v="0"/>
    <s v="U09854"/>
    <s v="L1112/13"/>
    <x v="8"/>
    <m/>
    <m/>
    <m/>
    <n v="0"/>
    <m/>
    <m/>
  </r>
  <r>
    <n v="2961"/>
    <x v="37"/>
    <s v="Night"/>
    <x v="0"/>
    <n v="2000716809"/>
    <n v="2000"/>
    <n v="130"/>
    <n v="0"/>
    <s v="U09854"/>
    <s v="L1174/75"/>
    <x v="61"/>
    <m/>
    <m/>
    <m/>
    <n v="0"/>
    <m/>
    <m/>
  </r>
  <r>
    <n v="2962"/>
    <x v="37"/>
    <s v="Night"/>
    <x v="0"/>
    <n v="2000716741"/>
    <n v="3990"/>
    <n v="120"/>
    <n v="0"/>
    <s v="U09854"/>
    <s v="L1168/69"/>
    <x v="37"/>
    <m/>
    <m/>
    <m/>
    <n v="0"/>
    <m/>
    <m/>
  </r>
  <r>
    <n v="2963"/>
    <x v="37"/>
    <s v="Night"/>
    <x v="1"/>
    <n v="2000716583"/>
    <n v="370"/>
    <n v="80"/>
    <n v="0"/>
    <s v="U30119"/>
    <s v="PSHV"/>
    <x v="50"/>
    <m/>
    <m/>
    <m/>
    <n v="0"/>
    <m/>
    <m/>
  </r>
  <r>
    <n v="2964"/>
    <x v="37"/>
    <s v="Night"/>
    <x v="1"/>
    <n v="2000715658"/>
    <n v="400"/>
    <n v="150"/>
    <n v="0"/>
    <s v="U30119"/>
    <s v="FLORA"/>
    <x v="180"/>
    <m/>
    <m/>
    <m/>
    <n v="0"/>
    <m/>
    <m/>
  </r>
  <r>
    <n v="2965"/>
    <x v="37"/>
    <s v="Night"/>
    <x v="1"/>
    <n v="2000715373"/>
    <n v="700"/>
    <n v="175"/>
    <n v="0"/>
    <s v="U30119"/>
    <s v="SHANKS"/>
    <x v="81"/>
    <m/>
    <m/>
    <m/>
    <n v="0"/>
    <m/>
    <m/>
  </r>
  <r>
    <n v="2966"/>
    <x v="37"/>
    <s v="Night"/>
    <x v="1"/>
    <n v="2000717297"/>
    <n v="540"/>
    <n v="192"/>
    <n v="0"/>
    <s v="U30119"/>
    <s v="FRANKY"/>
    <x v="51"/>
    <m/>
    <m/>
    <m/>
    <n v="0"/>
    <m/>
    <m/>
  </r>
  <r>
    <n v="2967"/>
    <x v="37"/>
    <s v="Night"/>
    <x v="1"/>
    <n v="2000716586"/>
    <n v="270"/>
    <n v="270"/>
    <n v="0"/>
    <s v="U30119"/>
    <s v="BORUTO"/>
    <x v="111"/>
    <m/>
    <m/>
    <m/>
    <n v="0"/>
    <m/>
    <m/>
  </r>
  <r>
    <n v="2968"/>
    <x v="37"/>
    <s v="Night"/>
    <x v="1"/>
    <n v="2000717313"/>
    <n v="500"/>
    <n v="80"/>
    <n v="0"/>
    <s v="U30119"/>
    <s v="PSHV"/>
    <x v="25"/>
    <m/>
    <m/>
    <m/>
    <n v="0"/>
    <m/>
    <m/>
  </r>
  <r>
    <n v="2969"/>
    <x v="37"/>
    <s v="Night"/>
    <x v="1"/>
    <n v="2000717032"/>
    <n v="630"/>
    <n v="360"/>
    <n v="0"/>
    <s v="U30119"/>
    <s v="BORUTO"/>
    <x v="107"/>
    <m/>
    <m/>
    <m/>
    <n v="0"/>
    <m/>
    <m/>
  </r>
  <r>
    <n v="2970"/>
    <x v="38"/>
    <s v="Day"/>
    <x v="0"/>
    <n v="2000717453"/>
    <n v="1072"/>
    <n v="320"/>
    <n v="0"/>
    <s v="U29868"/>
    <s v="L1188/89"/>
    <x v="16"/>
    <m/>
    <m/>
    <m/>
    <n v="0"/>
    <m/>
    <m/>
  </r>
  <r>
    <n v="2971"/>
    <x v="38"/>
    <s v="Day"/>
    <x v="0"/>
    <n v="2000717451"/>
    <n v="747"/>
    <n v="277"/>
    <n v="0"/>
    <s v="U29868"/>
    <s v="L1188/89"/>
    <x v="43"/>
    <m/>
    <m/>
    <m/>
    <n v="0"/>
    <m/>
    <m/>
  </r>
  <r>
    <n v="2972"/>
    <x v="38"/>
    <s v="Day"/>
    <x v="0"/>
    <n v="2000717477"/>
    <n v="280"/>
    <n v="40"/>
    <n v="0"/>
    <s v="U29868"/>
    <s v="L1188/89"/>
    <x v="73"/>
    <m/>
    <m/>
    <m/>
    <n v="0"/>
    <m/>
    <m/>
  </r>
  <r>
    <n v="2973"/>
    <x v="38"/>
    <s v="Day"/>
    <x v="0"/>
    <n v="2000717144"/>
    <n v="800"/>
    <n v="40"/>
    <n v="0"/>
    <s v="U30425"/>
    <s v="L1144/47"/>
    <x v="59"/>
    <m/>
    <m/>
    <m/>
    <n v="0"/>
    <m/>
    <m/>
  </r>
  <r>
    <n v="2974"/>
    <x v="38"/>
    <s v="Day"/>
    <x v="0"/>
    <n v="2000716810"/>
    <n v="200"/>
    <n v="20"/>
    <n v="0"/>
    <s v="U30425"/>
    <s v="L1174/75"/>
    <x v="3"/>
    <m/>
    <m/>
    <m/>
    <n v="0"/>
    <m/>
    <m/>
  </r>
  <r>
    <n v="2975"/>
    <x v="38"/>
    <s v="Day"/>
    <x v="0"/>
    <n v="2000717057"/>
    <n v="640"/>
    <n v="80"/>
    <n v="0"/>
    <s v="U30425"/>
    <s v="L1144/47"/>
    <x v="57"/>
    <m/>
    <m/>
    <m/>
    <n v="0"/>
    <m/>
    <m/>
  </r>
  <r>
    <n v="2976"/>
    <x v="38"/>
    <s v="Day"/>
    <x v="0"/>
    <n v="2000716742"/>
    <n v="1200"/>
    <n v="80"/>
    <n v="0"/>
    <s v="U30425"/>
    <s v="L1168/69"/>
    <x v="48"/>
    <m/>
    <m/>
    <m/>
    <n v="0"/>
    <m/>
    <m/>
  </r>
  <r>
    <n v="2977"/>
    <x v="38"/>
    <s v="Day"/>
    <x v="0"/>
    <n v="2000717192"/>
    <n v="510"/>
    <n v="90"/>
    <n v="0"/>
    <s v="U30425"/>
    <s v="L1172/73"/>
    <x v="20"/>
    <m/>
    <m/>
    <m/>
    <n v="0"/>
    <m/>
    <m/>
  </r>
  <r>
    <n v="2978"/>
    <x v="38"/>
    <s v="Day"/>
    <x v="0"/>
    <n v="2000717140"/>
    <n v="1050"/>
    <n v="80"/>
    <n v="0"/>
    <s v="U30425"/>
    <s v="L1186"/>
    <x v="4"/>
    <m/>
    <m/>
    <m/>
    <n v="0"/>
    <m/>
    <m/>
  </r>
  <r>
    <n v="2979"/>
    <x v="38"/>
    <s v="Day"/>
    <x v="0"/>
    <n v="2000717058"/>
    <n v="500"/>
    <n v="80"/>
    <n v="0"/>
    <s v="U30425"/>
    <s v="L1144/47"/>
    <x v="71"/>
    <m/>
    <m/>
    <m/>
    <n v="0"/>
    <m/>
    <m/>
  </r>
  <r>
    <n v="2980"/>
    <x v="38"/>
    <s v="Day"/>
    <x v="0"/>
    <n v="2000717051"/>
    <n v="980"/>
    <n v="100"/>
    <n v="0"/>
    <s v="U30425"/>
    <s v="L1144/47"/>
    <x v="101"/>
    <m/>
    <m/>
    <m/>
    <n v="0"/>
    <m/>
    <m/>
  </r>
  <r>
    <n v="2981"/>
    <x v="38"/>
    <s v="Day"/>
    <x v="0"/>
    <n v="2000717269"/>
    <n v="2800"/>
    <n v="80"/>
    <n v="0"/>
    <s v="U30425"/>
    <s v="L1174/75"/>
    <x v="3"/>
    <m/>
    <m/>
    <m/>
    <n v="0"/>
    <m/>
    <m/>
  </r>
  <r>
    <n v="2982"/>
    <x v="38"/>
    <s v="Day"/>
    <x v="0"/>
    <n v="2000717243"/>
    <n v="600"/>
    <n v="40"/>
    <n v="0"/>
    <s v="U30425"/>
    <s v="L1168/69"/>
    <x v="48"/>
    <m/>
    <m/>
    <m/>
    <n v="0"/>
    <m/>
    <m/>
  </r>
  <r>
    <n v="2983"/>
    <x v="38"/>
    <s v="Day"/>
    <x v="0"/>
    <n v="2000716274"/>
    <n v="800"/>
    <n v="150"/>
    <n v="0"/>
    <s v="U36387"/>
    <s v="L1144/47"/>
    <x v="13"/>
    <m/>
    <m/>
    <m/>
    <n v="0"/>
    <m/>
    <m/>
  </r>
  <r>
    <n v="2984"/>
    <x v="38"/>
    <s v="Day"/>
    <x v="0"/>
    <n v="2000716272"/>
    <n v="800"/>
    <n v="100"/>
    <n v="0"/>
    <s v="U36387"/>
    <s v="L1144/47"/>
    <x v="92"/>
    <m/>
    <m/>
    <m/>
    <n v="0"/>
    <m/>
    <m/>
  </r>
  <r>
    <n v="2985"/>
    <x v="38"/>
    <s v="Day"/>
    <x v="0"/>
    <n v="2000716728"/>
    <n v="3200"/>
    <n v="400"/>
    <n v="0"/>
    <s v="U36387"/>
    <s v="L1193/94"/>
    <x v="119"/>
    <m/>
    <m/>
    <m/>
    <n v="0"/>
    <m/>
    <m/>
  </r>
  <r>
    <n v="2986"/>
    <x v="38"/>
    <s v="Day"/>
    <x v="0"/>
    <n v="2000716334"/>
    <n v="600"/>
    <n v="100"/>
    <n v="0"/>
    <s v="U36387"/>
    <s v="L1182"/>
    <x v="124"/>
    <m/>
    <m/>
    <m/>
    <n v="0"/>
    <m/>
    <m/>
  </r>
  <r>
    <n v="2987"/>
    <x v="38"/>
    <s v="Day"/>
    <x v="0"/>
    <n v="2000716454"/>
    <n v="760"/>
    <n v="100"/>
    <n v="0"/>
    <s v="U36387"/>
    <s v="L1182"/>
    <x v="124"/>
    <m/>
    <m/>
    <m/>
    <n v="0"/>
    <m/>
    <m/>
  </r>
  <r>
    <n v="2988"/>
    <x v="38"/>
    <s v="Day"/>
    <x v="0"/>
    <n v="2000715193"/>
    <n v="1680"/>
    <n v="380"/>
    <n v="0"/>
    <s v="U36387"/>
    <s v="L1193/94"/>
    <x v="30"/>
    <m/>
    <m/>
    <m/>
    <n v="0"/>
    <m/>
    <m/>
  </r>
  <r>
    <n v="2989"/>
    <x v="38"/>
    <s v="Day"/>
    <x v="0"/>
    <n v="2000716732"/>
    <n v="3000"/>
    <n v="200"/>
    <n v="0"/>
    <s v="U03968"/>
    <s v="L1174/75"/>
    <x v="66"/>
    <m/>
    <m/>
    <m/>
    <n v="0"/>
    <m/>
    <m/>
  </r>
  <r>
    <n v="2990"/>
    <x v="38"/>
    <s v="Day"/>
    <x v="0"/>
    <n v="2000716277"/>
    <n v="1200"/>
    <n v="200"/>
    <n v="0"/>
    <s v="U03968"/>
    <s v="L1144/47"/>
    <x v="92"/>
    <m/>
    <m/>
    <m/>
    <n v="0"/>
    <m/>
    <m/>
  </r>
  <r>
    <n v="2991"/>
    <x v="38"/>
    <s v="Day"/>
    <x v="0"/>
    <n v="2000716255"/>
    <n v="1050"/>
    <n v="120"/>
    <n v="0"/>
    <s v="U03968"/>
    <s v="L1077"/>
    <x v="6"/>
    <m/>
    <m/>
    <m/>
    <n v="0"/>
    <m/>
    <m/>
  </r>
  <r>
    <n v="2992"/>
    <x v="38"/>
    <s v="Day"/>
    <x v="0"/>
    <n v="2000716197"/>
    <n v="300"/>
    <n v="80"/>
    <n v="0"/>
    <s v="U03968"/>
    <s v="L1077"/>
    <x v="6"/>
    <m/>
    <m/>
    <m/>
    <n v="0"/>
    <m/>
    <m/>
  </r>
  <r>
    <n v="2993"/>
    <x v="38"/>
    <s v="Day"/>
    <x v="0"/>
    <n v="2000716729"/>
    <n v="4200"/>
    <n v="240"/>
    <n v="0"/>
    <s v="U03968"/>
    <s v="T515"/>
    <x v="15"/>
    <m/>
    <m/>
    <m/>
    <n v="0"/>
    <m/>
    <m/>
  </r>
  <r>
    <n v="2994"/>
    <x v="38"/>
    <s v="Day"/>
    <x v="0"/>
    <n v="2000716726"/>
    <n v="1660"/>
    <n v="720"/>
    <n v="0"/>
    <s v="U03968"/>
    <s v="L1151/52"/>
    <x v="185"/>
    <m/>
    <m/>
    <m/>
    <n v="0"/>
    <m/>
    <m/>
  </r>
  <r>
    <n v="2995"/>
    <x v="38"/>
    <s v="Day"/>
    <x v="0"/>
    <n v="2000716825"/>
    <n v="800"/>
    <n v="200"/>
    <n v="0"/>
    <s v="U03968"/>
    <s v="L1144/47"/>
    <x v="92"/>
    <m/>
    <m/>
    <m/>
    <n v="0"/>
    <m/>
    <m/>
  </r>
  <r>
    <n v="2996"/>
    <x v="38"/>
    <s v="Day"/>
    <x v="0"/>
    <n v="2000716279"/>
    <n v="1200"/>
    <n v="150"/>
    <n v="0"/>
    <s v="U03968"/>
    <s v="L1144/47"/>
    <x v="13"/>
    <m/>
    <m/>
    <m/>
    <n v="0"/>
    <m/>
    <m/>
  </r>
  <r>
    <n v="2997"/>
    <x v="38"/>
    <s v="Day"/>
    <x v="0"/>
    <n v="2000717451"/>
    <n v="747"/>
    <n v="187"/>
    <n v="0"/>
    <s v="U05944"/>
    <s v="L1188/89"/>
    <x v="43"/>
    <m/>
    <m/>
    <m/>
    <n v="0"/>
    <m/>
    <m/>
  </r>
  <r>
    <n v="2998"/>
    <x v="38"/>
    <s v="Day"/>
    <x v="0"/>
    <n v="2000716313"/>
    <n v="310"/>
    <n v="15"/>
    <n v="0"/>
    <s v="U05944"/>
    <s v="L1188/89"/>
    <x v="60"/>
    <m/>
    <m/>
    <m/>
    <n v="0"/>
    <m/>
    <m/>
  </r>
  <r>
    <n v="2999"/>
    <x v="38"/>
    <s v="Day"/>
    <x v="0"/>
    <n v="2000717453"/>
    <n v="1072"/>
    <n v="10"/>
    <n v="0"/>
    <s v="U05944"/>
    <s v="L1188/89"/>
    <x v="16"/>
    <m/>
    <m/>
    <m/>
    <n v="0"/>
    <m/>
    <m/>
  </r>
  <r>
    <n v="3000"/>
    <x v="38"/>
    <s v="Day"/>
    <x v="0"/>
    <n v="2000717453"/>
    <n v="1072"/>
    <n v="373"/>
    <n v="0"/>
    <s v="U27723"/>
    <s v="L1188/89"/>
    <x v="16"/>
    <m/>
    <m/>
    <m/>
    <n v="0"/>
    <m/>
    <m/>
  </r>
  <r>
    <n v="3001"/>
    <x v="38"/>
    <s v="Day"/>
    <x v="0"/>
    <n v="2000717477"/>
    <n v="280"/>
    <n v="160"/>
    <n v="0"/>
    <s v="U27723"/>
    <s v="L1188/89"/>
    <x v="73"/>
    <m/>
    <m/>
    <m/>
    <n v="0"/>
    <m/>
    <m/>
  </r>
  <r>
    <n v="3002"/>
    <x v="38"/>
    <s v="Day"/>
    <x v="0"/>
    <n v="2000717477"/>
    <n v="280"/>
    <n v="79"/>
    <n v="0"/>
    <s v="U27723"/>
    <s v="L1188/89"/>
    <x v="73"/>
    <m/>
    <m/>
    <m/>
    <n v="0"/>
    <m/>
    <m/>
  </r>
  <r>
    <n v="3003"/>
    <x v="38"/>
    <s v="Day"/>
    <x v="0"/>
    <n v="2000717478"/>
    <n v="40"/>
    <n v="40"/>
    <n v="0"/>
    <s v="U27723"/>
    <s v="L1188/89"/>
    <x v="60"/>
    <m/>
    <m/>
    <m/>
    <n v="0"/>
    <m/>
    <m/>
  </r>
  <r>
    <n v="3004"/>
    <x v="38"/>
    <s v="Day"/>
    <x v="0"/>
    <n v="2000712666"/>
    <n v="280"/>
    <n v="6"/>
    <n v="0"/>
    <s v="U27723"/>
    <s v="L1188/89"/>
    <x v="17"/>
    <m/>
    <m/>
    <m/>
    <n v="0"/>
    <m/>
    <m/>
  </r>
  <r>
    <n v="3005"/>
    <x v="38"/>
    <s v="Day"/>
    <x v="0"/>
    <n v="2000717140"/>
    <n v="1050"/>
    <n v="40"/>
    <n v="0"/>
    <s v="U27723"/>
    <s v="L1186"/>
    <x v="4"/>
    <m/>
    <m/>
    <m/>
    <n v="0"/>
    <m/>
    <m/>
  </r>
  <r>
    <n v="3006"/>
    <x v="38"/>
    <s v="Day"/>
    <x v="0"/>
    <n v="2000717453"/>
    <n v="1072"/>
    <n v="160"/>
    <n v="0"/>
    <s v="U27687"/>
    <s v="L1188/89"/>
    <x v="16"/>
    <m/>
    <m/>
    <m/>
    <n v="0"/>
    <m/>
    <m/>
  </r>
  <r>
    <n v="3007"/>
    <x v="38"/>
    <s v="Day"/>
    <x v="0"/>
    <n v="2000716749"/>
    <n v="400"/>
    <n v="400"/>
    <n v="0"/>
    <s v="U27687"/>
    <s v="L1172/73"/>
    <x v="240"/>
    <m/>
    <m/>
    <m/>
    <n v="0"/>
    <m/>
    <m/>
  </r>
  <r>
    <n v="3008"/>
    <x v="38"/>
    <s v="Day"/>
    <x v="0"/>
    <n v="2000716761"/>
    <n v="180"/>
    <n v="176"/>
    <n v="0"/>
    <s v="U32991"/>
    <s v="L1193/94"/>
    <x v="21"/>
    <m/>
    <m/>
    <m/>
    <n v="0"/>
    <m/>
    <m/>
  </r>
  <r>
    <n v="3009"/>
    <x v="38"/>
    <s v="Day"/>
    <x v="0"/>
    <n v="2000715189"/>
    <n v="1300"/>
    <n v="144"/>
    <n v="1"/>
    <s v="U32991"/>
    <s v="L1193/94"/>
    <x v="146"/>
    <s v="Lật linh kiện "/>
    <m/>
    <s v="ZD202"/>
    <n v="1"/>
    <s v="\\vn-file\QC Department\4.OQC\00. OQC Performance\03. Images\01. NG\20210311-NG-1300715189.jpg"/>
    <s v="\\vn-file\QC Department\4.OQC\00. OQC Performance\03. Images\02. OK\20210311-OK-1300715189.jpg"/>
  </r>
  <r>
    <n v="3010"/>
    <x v="38"/>
    <s v="Day"/>
    <x v="0"/>
    <n v="2000715552"/>
    <n v="1010"/>
    <n v="150"/>
    <n v="0"/>
    <s v="U32991"/>
    <s v="L1193/94"/>
    <x v="104"/>
    <m/>
    <m/>
    <m/>
    <n v="0"/>
    <m/>
    <m/>
  </r>
  <r>
    <n v="3011"/>
    <x v="38"/>
    <s v="Day"/>
    <x v="0"/>
    <n v="2000716763"/>
    <n v="720"/>
    <n v="50"/>
    <n v="0"/>
    <s v="U32991"/>
    <s v="L1193/94"/>
    <x v="192"/>
    <m/>
    <m/>
    <m/>
    <n v="0"/>
    <m/>
    <m/>
  </r>
  <r>
    <n v="3012"/>
    <x v="38"/>
    <s v="Day"/>
    <x v="0"/>
    <n v="2000714533"/>
    <n v="139"/>
    <n v="3"/>
    <n v="0"/>
    <s v="U18660"/>
    <s v="L1209/10"/>
    <x v="69"/>
    <m/>
    <m/>
    <m/>
    <n v="0"/>
    <m/>
    <m/>
  </r>
  <r>
    <n v="3013"/>
    <x v="38"/>
    <s v="Day"/>
    <x v="0"/>
    <n v="2000716714"/>
    <n v="2000"/>
    <n v="101"/>
    <n v="0"/>
    <s v="U18660"/>
    <s v="L1188/89"/>
    <x v="109"/>
    <m/>
    <m/>
    <m/>
    <n v="0"/>
    <m/>
    <m/>
  </r>
  <r>
    <n v="3014"/>
    <x v="38"/>
    <s v="Day"/>
    <x v="0"/>
    <n v="2000717258"/>
    <n v="580"/>
    <n v="330"/>
    <n v="0"/>
    <s v="U18660"/>
    <s v="L1193/94"/>
    <x v="116"/>
    <m/>
    <m/>
    <m/>
    <n v="0"/>
    <m/>
    <m/>
  </r>
  <r>
    <n v="3015"/>
    <x v="38"/>
    <s v="Day"/>
    <x v="0"/>
    <n v="2000715552"/>
    <n v="1010"/>
    <n v="120"/>
    <n v="0"/>
    <s v="U18660"/>
    <s v="L1193/94"/>
    <x v="104"/>
    <m/>
    <m/>
    <m/>
    <n v="0"/>
    <m/>
    <m/>
  </r>
  <r>
    <n v="3016"/>
    <x v="38"/>
    <s v="Day"/>
    <x v="1"/>
    <n v="2000712455"/>
    <n v="330"/>
    <n v="2"/>
    <n v="0"/>
    <s v="U15759"/>
    <s v="PSLV"/>
    <x v="128"/>
    <m/>
    <m/>
    <m/>
    <n v="0"/>
    <m/>
    <m/>
  </r>
  <r>
    <n v="3017"/>
    <x v="38"/>
    <s v="Day"/>
    <x v="1"/>
    <n v="2000717700"/>
    <n v="800"/>
    <n v="180"/>
    <n v="0"/>
    <s v="U15759"/>
    <s v="SHANKS"/>
    <x v="67"/>
    <m/>
    <m/>
    <m/>
    <n v="0"/>
    <m/>
    <m/>
  </r>
  <r>
    <n v="3018"/>
    <x v="38"/>
    <s v="Day"/>
    <x v="1"/>
    <n v="2000717322"/>
    <n v="710"/>
    <n v="140"/>
    <n v="0"/>
    <s v="U15759"/>
    <s v="SHANKS"/>
    <x v="187"/>
    <m/>
    <m/>
    <m/>
    <n v="0"/>
    <m/>
    <m/>
  </r>
  <r>
    <n v="3019"/>
    <x v="38"/>
    <s v="Day"/>
    <x v="1"/>
    <n v="2000717698"/>
    <n v="500"/>
    <n v="10"/>
    <n v="0"/>
    <s v="U15759"/>
    <s v="PSHV"/>
    <x v="25"/>
    <m/>
    <m/>
    <m/>
    <n v="0"/>
    <m/>
    <m/>
  </r>
  <r>
    <n v="3020"/>
    <x v="38"/>
    <s v="Day"/>
    <x v="1"/>
    <n v="2000717315"/>
    <n v="326"/>
    <n v="50"/>
    <n v="0"/>
    <s v="U15759"/>
    <s v="PSLV"/>
    <x v="91"/>
    <m/>
    <m/>
    <m/>
    <n v="0"/>
    <m/>
    <m/>
  </r>
  <r>
    <n v="3021"/>
    <x v="38"/>
    <s v="Day"/>
    <x v="1"/>
    <n v="2000717032"/>
    <n v="630"/>
    <n v="90"/>
    <n v="0"/>
    <s v="U15759"/>
    <s v="BORUTO"/>
    <x v="107"/>
    <m/>
    <m/>
    <m/>
    <n v="0"/>
    <m/>
    <m/>
  </r>
  <r>
    <n v="3022"/>
    <x v="38"/>
    <s v="Day"/>
    <x v="1"/>
    <n v="2000716583"/>
    <n v="370"/>
    <n v="210"/>
    <n v="0"/>
    <s v="U15759"/>
    <s v="PSHV"/>
    <x v="50"/>
    <m/>
    <m/>
    <m/>
    <n v="0"/>
    <m/>
    <m/>
  </r>
  <r>
    <n v="3023"/>
    <x v="38"/>
    <s v="Day"/>
    <x v="1"/>
    <n v="2000717030"/>
    <n v="380"/>
    <n v="190"/>
    <n v="0"/>
    <s v="U15759"/>
    <s v="PSHV"/>
    <x v="50"/>
    <m/>
    <m/>
    <m/>
    <n v="0"/>
    <m/>
    <m/>
  </r>
  <r>
    <n v="3024"/>
    <x v="38"/>
    <s v="Day"/>
    <x v="1"/>
    <n v="2000717297"/>
    <n v="540"/>
    <n v="96"/>
    <n v="0"/>
    <s v="U15759"/>
    <s v="FRANKY"/>
    <x v="51"/>
    <m/>
    <m/>
    <m/>
    <n v="0"/>
    <m/>
    <m/>
  </r>
  <r>
    <n v="3025"/>
    <x v="38"/>
    <s v="Day"/>
    <x v="1"/>
    <n v="2000715373"/>
    <n v="700"/>
    <n v="105"/>
    <n v="0"/>
    <s v="U15759"/>
    <s v="FRANKY"/>
    <x v="81"/>
    <m/>
    <m/>
    <m/>
    <n v="0"/>
    <m/>
    <m/>
  </r>
  <r>
    <n v="3026"/>
    <x v="38"/>
    <s v="Day"/>
    <x v="1"/>
    <n v="2000716870"/>
    <n v="400"/>
    <n v="390"/>
    <n v="0"/>
    <s v="U15759"/>
    <s v="PSLV"/>
    <x v="29"/>
    <m/>
    <m/>
    <m/>
    <n v="0"/>
    <m/>
    <m/>
  </r>
  <r>
    <n v="3027"/>
    <x v="38"/>
    <s v="Night"/>
    <x v="1"/>
    <n v="2000717315"/>
    <n v="326"/>
    <n v="270"/>
    <n v="0"/>
    <s v="U30119"/>
    <s v="PSLV"/>
    <x v="91"/>
    <m/>
    <m/>
    <m/>
    <n v="0"/>
    <m/>
    <m/>
  </r>
  <r>
    <n v="3028"/>
    <x v="38"/>
    <s v="Night"/>
    <x v="1"/>
    <n v="2000717696"/>
    <n v="180"/>
    <n v="90"/>
    <n v="0"/>
    <s v="U30119"/>
    <s v="SHANKS"/>
    <x v="147"/>
    <m/>
    <m/>
    <m/>
    <n v="0"/>
    <m/>
    <m/>
  </r>
  <r>
    <n v="3029"/>
    <x v="38"/>
    <s v="Night"/>
    <x v="1"/>
    <n v="2000717032"/>
    <n v="630"/>
    <n v="180"/>
    <n v="0"/>
    <s v="U30119"/>
    <s v="BORUTO"/>
    <x v="107"/>
    <m/>
    <m/>
    <m/>
    <n v="0"/>
    <m/>
    <m/>
  </r>
  <r>
    <n v="3030"/>
    <x v="38"/>
    <s v="Night"/>
    <x v="1"/>
    <n v="2000717314"/>
    <n v="190"/>
    <n v="60"/>
    <n v="0"/>
    <s v="U30119"/>
    <s v="PSLV"/>
    <x v="186"/>
    <m/>
    <m/>
    <m/>
    <n v="0"/>
    <m/>
    <m/>
  </r>
  <r>
    <n v="3031"/>
    <x v="38"/>
    <s v="Night"/>
    <x v="1"/>
    <n v="2000717030"/>
    <n v="380"/>
    <n v="190"/>
    <n v="0"/>
    <s v="U30119"/>
    <s v="PSHV"/>
    <x v="50"/>
    <m/>
    <m/>
    <m/>
    <n v="0"/>
    <m/>
    <m/>
  </r>
  <r>
    <n v="3032"/>
    <x v="38"/>
    <s v="Night"/>
    <x v="1"/>
    <n v="2000717694"/>
    <n v="10"/>
    <n v="10"/>
    <n v="0"/>
    <s v="U30119"/>
    <s v="PSLV"/>
    <x v="53"/>
    <m/>
    <m/>
    <m/>
    <n v="0"/>
    <m/>
    <m/>
  </r>
  <r>
    <n v="3033"/>
    <x v="38"/>
    <s v="Night"/>
    <x v="1"/>
    <n v="2000717700"/>
    <n v="800"/>
    <n v="150"/>
    <n v="0"/>
    <s v="U30119"/>
    <s v="SHANKS"/>
    <x v="67"/>
    <m/>
    <m/>
    <m/>
    <n v="0"/>
    <m/>
    <m/>
  </r>
  <r>
    <n v="3034"/>
    <x v="38"/>
    <s v="Night"/>
    <x v="1"/>
    <n v="2000717699"/>
    <n v="300"/>
    <n v="100"/>
    <n v="0"/>
    <s v="U30119"/>
    <s v="PSLV"/>
    <x v="166"/>
    <m/>
    <m/>
    <m/>
    <n v="0"/>
    <m/>
    <m/>
  </r>
  <r>
    <n v="3035"/>
    <x v="38"/>
    <s v="Night"/>
    <x v="1"/>
    <n v="2000717321"/>
    <n v="250"/>
    <n v="60"/>
    <n v="0"/>
    <s v="U30119"/>
    <s v="PSLV"/>
    <x v="128"/>
    <m/>
    <m/>
    <m/>
    <n v="0"/>
    <m/>
    <m/>
  </r>
  <r>
    <n v="3036"/>
    <x v="38"/>
    <s v="Night"/>
    <x v="1"/>
    <n v="2000717322"/>
    <n v="710"/>
    <n v="140"/>
    <n v="0"/>
    <s v="U30119"/>
    <s v="SHANKS"/>
    <x v="187"/>
    <m/>
    <m/>
    <m/>
    <n v="0"/>
    <m/>
    <m/>
  </r>
  <r>
    <n v="3037"/>
    <x v="38"/>
    <s v="Night"/>
    <x v="0"/>
    <n v="2000717486"/>
    <n v="360"/>
    <n v="45"/>
    <n v="0"/>
    <s v="U23987"/>
    <s v="L1209/10"/>
    <x v="241"/>
    <m/>
    <m/>
    <m/>
    <n v="0"/>
    <m/>
    <m/>
  </r>
  <r>
    <n v="3038"/>
    <x v="38"/>
    <s v="Night"/>
    <x v="0"/>
    <n v="2000717434"/>
    <n v="990"/>
    <n v="60"/>
    <n v="0"/>
    <s v="U23987"/>
    <s v="L1172/73"/>
    <x v="99"/>
    <m/>
    <m/>
    <m/>
    <n v="0"/>
    <m/>
    <m/>
  </r>
  <r>
    <n v="3039"/>
    <x v="38"/>
    <s v="Night"/>
    <x v="0"/>
    <n v="2000717252"/>
    <n v="130"/>
    <n v="20"/>
    <n v="0"/>
    <s v="U23987"/>
    <s v="L1105"/>
    <x v="126"/>
    <m/>
    <m/>
    <m/>
    <n v="0"/>
    <m/>
    <m/>
  </r>
  <r>
    <n v="3040"/>
    <x v="38"/>
    <s v="Night"/>
    <x v="0"/>
    <n v="2000717505"/>
    <n v="1300"/>
    <n v="120"/>
    <n v="0"/>
    <s v="U23987"/>
    <s v="L1144/47"/>
    <x v="59"/>
    <m/>
    <m/>
    <m/>
    <n v="0"/>
    <m/>
    <m/>
  </r>
  <r>
    <n v="3041"/>
    <x v="38"/>
    <s v="Night"/>
    <x v="0"/>
    <n v="2000717144"/>
    <n v="800"/>
    <n v="20"/>
    <n v="0"/>
    <s v="U23987"/>
    <s v="L1144/47"/>
    <x v="59"/>
    <m/>
    <m/>
    <m/>
    <n v="0"/>
    <m/>
    <m/>
  </r>
  <r>
    <n v="3042"/>
    <x v="38"/>
    <s v="Night"/>
    <x v="0"/>
    <n v="2000717243"/>
    <n v="600"/>
    <n v="40"/>
    <n v="0"/>
    <s v="U23987"/>
    <s v="L1168/69"/>
    <x v="48"/>
    <m/>
    <m/>
    <m/>
    <n v="0"/>
    <m/>
    <m/>
  </r>
  <r>
    <n v="3043"/>
    <x v="38"/>
    <s v="Night"/>
    <x v="0"/>
    <n v="2000716743"/>
    <n v="3996"/>
    <n v="210"/>
    <n v="0"/>
    <s v="U23987"/>
    <s v="L1168/69"/>
    <x v="37"/>
    <m/>
    <m/>
    <m/>
    <n v="0"/>
    <m/>
    <m/>
  </r>
  <r>
    <n v="3044"/>
    <x v="38"/>
    <s v="Night"/>
    <x v="0"/>
    <n v="2000716749"/>
    <n v="400"/>
    <n v="3"/>
    <n v="0"/>
    <s v="U27724"/>
    <s v="L1172/73"/>
    <x v="103"/>
    <m/>
    <m/>
    <m/>
    <n v="0"/>
    <m/>
    <m/>
  </r>
  <r>
    <n v="3045"/>
    <x v="38"/>
    <s v="Night"/>
    <x v="0"/>
    <n v="2000717138"/>
    <n v="1050"/>
    <n v="100"/>
    <n v="0"/>
    <s v="U27724"/>
    <s v="L1186"/>
    <x v="32"/>
    <m/>
    <m/>
    <m/>
    <n v="0"/>
    <m/>
    <m/>
  </r>
  <r>
    <n v="3046"/>
    <x v="38"/>
    <s v="Night"/>
    <x v="0"/>
    <n v="2000717256"/>
    <n v="1600"/>
    <n v="1200"/>
    <n v="0"/>
    <s v="U27724"/>
    <s v="L1193/94"/>
    <x v="119"/>
    <m/>
    <m/>
    <m/>
    <n v="0"/>
    <m/>
    <m/>
  </r>
  <r>
    <n v="3047"/>
    <x v="38"/>
    <s v="Night"/>
    <x v="0"/>
    <n v="2000713138"/>
    <n v="446"/>
    <n v="5"/>
    <n v="0"/>
    <s v="U27724"/>
    <s v="L1188/89"/>
    <x v="0"/>
    <m/>
    <m/>
    <m/>
    <n v="0"/>
    <m/>
    <m/>
  </r>
  <r>
    <n v="3048"/>
    <x v="38"/>
    <s v="Night"/>
    <x v="0"/>
    <n v="2000716664"/>
    <n v="30"/>
    <n v="3"/>
    <n v="0"/>
    <s v="U27724"/>
    <s v="L1188/89"/>
    <x v="43"/>
    <m/>
    <m/>
    <m/>
    <n v="0"/>
    <m/>
    <m/>
  </r>
  <r>
    <n v="3049"/>
    <x v="38"/>
    <s v="Night"/>
    <x v="0"/>
    <n v="2000696787"/>
    <n v="440"/>
    <n v="6"/>
    <n v="0"/>
    <s v="U27724"/>
    <s v="L1188/89"/>
    <x v="136"/>
    <m/>
    <m/>
    <m/>
    <n v="0"/>
    <m/>
    <m/>
  </r>
  <r>
    <n v="3050"/>
    <x v="38"/>
    <s v="Night"/>
    <x v="0"/>
    <n v="2000714543"/>
    <n v="240"/>
    <n v="2"/>
    <n v="0"/>
    <s v="U27724"/>
    <s v="L1188/89"/>
    <x v="122"/>
    <m/>
    <m/>
    <m/>
    <n v="0"/>
    <m/>
    <m/>
  </r>
  <r>
    <n v="3051"/>
    <x v="38"/>
    <s v="Night"/>
    <x v="0"/>
    <n v="2000717644"/>
    <n v="793"/>
    <n v="240"/>
    <n v="0"/>
    <s v="U27724"/>
    <s v="L1188/89"/>
    <x v="17"/>
    <m/>
    <m/>
    <m/>
    <n v="0"/>
    <m/>
    <m/>
  </r>
  <r>
    <n v="3052"/>
    <x v="38"/>
    <s v="Night"/>
    <x v="0"/>
    <n v="2000717242"/>
    <n v="636"/>
    <n v="80"/>
    <n v="0"/>
    <s v="U27724"/>
    <s v="L1168/69"/>
    <x v="93"/>
    <m/>
    <m/>
    <m/>
    <n v="0"/>
    <m/>
    <m/>
  </r>
  <r>
    <n v="3053"/>
    <x v="38"/>
    <s v="Night"/>
    <x v="0"/>
    <n v="2000717052"/>
    <n v="700"/>
    <n v="80"/>
    <n v="0"/>
    <s v="U27724"/>
    <s v="L1144/47"/>
    <x v="120"/>
    <m/>
    <m/>
    <m/>
    <n v="0"/>
    <m/>
    <m/>
  </r>
  <r>
    <n v="3054"/>
    <x v="38"/>
    <s v="Night"/>
    <x v="0"/>
    <n v="2000717434"/>
    <n v="990"/>
    <n v="30"/>
    <n v="0"/>
    <s v="U27724"/>
    <s v="L1172/73"/>
    <x v="99"/>
    <m/>
    <m/>
    <m/>
    <n v="0"/>
    <m/>
    <m/>
  </r>
  <r>
    <n v="3055"/>
    <x v="38"/>
    <s v="Night"/>
    <x v="0"/>
    <n v="2000717453"/>
    <n v="1072"/>
    <n v="15"/>
    <n v="0"/>
    <s v="U36008"/>
    <s v="L1188/89"/>
    <x v="16"/>
    <m/>
    <m/>
    <m/>
    <n v="0"/>
    <m/>
    <m/>
  </r>
  <r>
    <n v="3056"/>
    <x v="38"/>
    <s v="Night"/>
    <x v="0"/>
    <n v="2000717644"/>
    <n v="793"/>
    <n v="80"/>
    <n v="0"/>
    <s v="U36008"/>
    <s v="L1188/89"/>
    <x v="17"/>
    <m/>
    <m/>
    <m/>
    <n v="0"/>
    <m/>
    <m/>
  </r>
  <r>
    <n v="3057"/>
    <x v="38"/>
    <s v="Night"/>
    <x v="0"/>
    <n v="2000717476"/>
    <n v="360"/>
    <n v="360"/>
    <n v="0"/>
    <s v="U36008"/>
    <s v="L1188/89"/>
    <x v="130"/>
    <m/>
    <m/>
    <m/>
    <n v="0"/>
    <m/>
    <m/>
  </r>
  <r>
    <n v="3058"/>
    <x v="38"/>
    <s v="Night"/>
    <x v="0"/>
    <n v="2000717479"/>
    <n v="200"/>
    <n v="80"/>
    <n v="0"/>
    <s v="U36008"/>
    <s v="L1188/89"/>
    <x v="95"/>
    <m/>
    <m/>
    <m/>
    <n v="0"/>
    <m/>
    <m/>
  </r>
  <r>
    <n v="3059"/>
    <x v="38"/>
    <s v="Night"/>
    <x v="0"/>
    <n v="2000716258"/>
    <n v="1050"/>
    <n v="100"/>
    <n v="0"/>
    <s v="U09749"/>
    <s v="L1077"/>
    <x v="10"/>
    <m/>
    <m/>
    <m/>
    <n v="0"/>
    <m/>
    <m/>
  </r>
  <r>
    <n v="3060"/>
    <x v="38"/>
    <s v="Night"/>
    <x v="0"/>
    <n v="2000717250"/>
    <n v="130"/>
    <n v="50"/>
    <n v="0"/>
    <s v="U09749"/>
    <s v="L1105"/>
    <x v="150"/>
    <m/>
    <m/>
    <m/>
    <n v="0"/>
    <m/>
    <m/>
  </r>
  <r>
    <n v="3061"/>
    <x v="38"/>
    <s v="Night"/>
    <x v="0"/>
    <n v="2000716829"/>
    <n v="1200"/>
    <n v="200"/>
    <n v="0"/>
    <s v="U09749"/>
    <s v="L1144/47"/>
    <x v="92"/>
    <m/>
    <m/>
    <m/>
    <n v="0"/>
    <m/>
    <m/>
  </r>
  <r>
    <n v="3062"/>
    <x v="38"/>
    <s v="Night"/>
    <x v="0"/>
    <n v="2000716763"/>
    <n v="720"/>
    <n v="10"/>
    <n v="0"/>
    <s v="U31065"/>
    <s v="L1193/94"/>
    <x v="192"/>
    <m/>
    <m/>
    <m/>
    <n v="0"/>
    <m/>
    <m/>
  </r>
  <r>
    <n v="3063"/>
    <x v="38"/>
    <s v="Night"/>
    <x v="0"/>
    <n v="2000717258"/>
    <n v="580"/>
    <n v="247"/>
    <n v="0"/>
    <s v="U31065"/>
    <s v="L1193/94"/>
    <x v="116"/>
    <m/>
    <m/>
    <m/>
    <n v="0"/>
    <m/>
    <m/>
  </r>
  <r>
    <n v="3064"/>
    <x v="38"/>
    <s v="Night"/>
    <x v="0"/>
    <n v="2000717257"/>
    <n v="800"/>
    <n v="150"/>
    <n v="0"/>
    <s v="U31065"/>
    <s v="L1193/94"/>
    <x v="104"/>
    <m/>
    <m/>
    <m/>
    <n v="0"/>
    <m/>
    <m/>
  </r>
  <r>
    <n v="3065"/>
    <x v="38"/>
    <s v="Night"/>
    <x v="0"/>
    <n v="2000713551"/>
    <n v="206"/>
    <n v="5"/>
    <n v="0"/>
    <s v="U31065"/>
    <s v="L1151/52"/>
    <x v="154"/>
    <m/>
    <m/>
    <m/>
    <n v="0"/>
    <m/>
    <m/>
  </r>
  <r>
    <n v="3066"/>
    <x v="38"/>
    <s v="Night"/>
    <x v="0"/>
    <n v="2000717489"/>
    <n v="70"/>
    <n v="45"/>
    <n v="0"/>
    <s v="U31065"/>
    <s v="L1151/52"/>
    <x v="154"/>
    <m/>
    <m/>
    <m/>
    <n v="0"/>
    <m/>
    <m/>
  </r>
  <r>
    <n v="3067"/>
    <x v="38"/>
    <s v="Night"/>
    <x v="0"/>
    <n v="2000717269"/>
    <n v="2800"/>
    <n v="40"/>
    <n v="0"/>
    <s v="U09854"/>
    <s v="L1174/75"/>
    <x v="3"/>
    <m/>
    <m/>
    <m/>
    <n v="0"/>
    <m/>
    <m/>
  </r>
  <r>
    <n v="3068"/>
    <x v="38"/>
    <s v="Night"/>
    <x v="0"/>
    <n v="2000717257"/>
    <n v="800"/>
    <n v="165"/>
    <n v="1"/>
    <s v="U09854"/>
    <s v="L1193/94"/>
    <x v="104"/>
    <s v="Dài chân "/>
    <m/>
    <s v="C312"/>
    <n v="1"/>
    <s v="\\vn-file\QC Department\4.OQC\00. OQC Performance\03. Images\01. NG\20210311-NG-0435717257.jpg"/>
    <s v="\\vn-file\QC Department\4.OQC\00. OQC Performance\03. Images\02. OK\20210311-OK-0435717257.jpg"/>
  </r>
  <r>
    <n v="3069"/>
    <x v="38"/>
    <s v="Night"/>
    <x v="0"/>
    <n v="2000715551"/>
    <n v="90"/>
    <n v="8"/>
    <n v="0"/>
    <s v="U09854"/>
    <s v="L1193/94"/>
    <x v="123"/>
    <m/>
    <m/>
    <m/>
    <n v="0"/>
    <m/>
    <m/>
  </r>
  <r>
    <n v="3070"/>
    <x v="38"/>
    <s v="Night"/>
    <x v="0"/>
    <n v="2000716657"/>
    <n v="600"/>
    <n v="200"/>
    <n v="0"/>
    <s v="U26613"/>
    <s v="L1077"/>
    <x v="33"/>
    <m/>
    <m/>
    <m/>
    <n v="0"/>
    <m/>
    <m/>
  </r>
  <r>
    <n v="3071"/>
    <x v="38"/>
    <s v="Night"/>
    <x v="0"/>
    <n v="2000717487"/>
    <n v="7830"/>
    <n v="300"/>
    <n v="0"/>
    <s v="U26613"/>
    <s v="L1112/13"/>
    <x v="75"/>
    <m/>
    <m/>
    <m/>
    <n v="0"/>
    <m/>
    <m/>
  </r>
  <r>
    <n v="3072"/>
    <x v="38"/>
    <s v="Night"/>
    <x v="0"/>
    <n v="2000717255"/>
    <n v="3609"/>
    <n v="300"/>
    <n v="0"/>
    <s v="U26613"/>
    <s v="L1172/73"/>
    <x v="7"/>
    <m/>
    <m/>
    <m/>
    <n v="0"/>
    <m/>
    <m/>
  </r>
  <r>
    <n v="3073"/>
    <x v="38"/>
    <s v="Night"/>
    <x v="0"/>
    <n v="2000717137"/>
    <n v="1050"/>
    <n v="200"/>
    <n v="0"/>
    <s v="U26613"/>
    <s v="L1186"/>
    <x v="34"/>
    <m/>
    <m/>
    <m/>
    <n v="0"/>
    <m/>
    <m/>
  </r>
  <r>
    <n v="3074"/>
    <x v="38"/>
    <s v="Night"/>
    <x v="0"/>
    <n v="2000716668"/>
    <n v="500"/>
    <n v="160"/>
    <n v="0"/>
    <s v="U26613"/>
    <s v="L1077"/>
    <x v="36"/>
    <m/>
    <m/>
    <m/>
    <n v="0"/>
    <m/>
    <m/>
  </r>
  <r>
    <n v="3075"/>
    <x v="38"/>
    <s v="Night"/>
    <x v="0"/>
    <n v="2000716659"/>
    <n v="600"/>
    <n v="160"/>
    <n v="0"/>
    <s v="U26613"/>
    <s v="L1077"/>
    <x v="36"/>
    <m/>
    <m/>
    <m/>
    <n v="0"/>
    <m/>
    <m/>
  </r>
  <r>
    <n v="3076"/>
    <x v="38"/>
    <s v="Night"/>
    <x v="0"/>
    <n v="2000717267"/>
    <n v="2800"/>
    <n v="200"/>
    <n v="0"/>
    <s v="U26613"/>
    <s v="L1174/75"/>
    <x v="62"/>
    <m/>
    <m/>
    <m/>
    <n v="0"/>
    <m/>
    <m/>
  </r>
  <r>
    <n v="3077"/>
    <x v="38"/>
    <s v="Night"/>
    <x v="0"/>
    <n v="2000716671"/>
    <n v="1500"/>
    <n v="200"/>
    <n v="0"/>
    <s v="U26613"/>
    <s v="L1174/75"/>
    <x v="62"/>
    <m/>
    <m/>
    <m/>
    <n v="0"/>
    <m/>
    <m/>
  </r>
  <r>
    <n v="3078"/>
    <x v="38"/>
    <s v="Night"/>
    <x v="0"/>
    <n v="2000717139"/>
    <n v="1050"/>
    <n v="150"/>
    <n v="0"/>
    <s v="U26613"/>
    <s v="L1186"/>
    <x v="35"/>
    <m/>
    <m/>
    <m/>
    <n v="0"/>
    <m/>
    <m/>
  </r>
  <r>
    <n v="3079"/>
    <x v="38"/>
    <s v="Night"/>
    <x v="0"/>
    <n v="2000717251"/>
    <n v="130"/>
    <n v="60"/>
    <n v="0"/>
    <s v="U26613"/>
    <s v="L1105"/>
    <x v="151"/>
    <m/>
    <m/>
    <m/>
    <n v="0"/>
    <m/>
    <m/>
  </r>
  <r>
    <n v="3080"/>
    <x v="38"/>
    <s v="Night"/>
    <x v="0"/>
    <n v="2000717249"/>
    <n v="130"/>
    <n v="40"/>
    <n v="0"/>
    <s v="U26613"/>
    <s v="L1105"/>
    <x v="149"/>
    <m/>
    <m/>
    <m/>
    <n v="0"/>
    <m/>
    <m/>
  </r>
  <r>
    <n v="3081"/>
    <x v="38"/>
    <s v="Night"/>
    <x v="0"/>
    <n v="2000717253"/>
    <n v="1224"/>
    <n v="660"/>
    <n v="0"/>
    <s v="U26613"/>
    <s v="L1151/52"/>
    <x v="167"/>
    <m/>
    <m/>
    <m/>
    <n v="0"/>
    <m/>
    <m/>
  </r>
  <r>
    <n v="3082"/>
    <x v="38"/>
    <s v="Night"/>
    <x v="0"/>
    <n v="2000716666"/>
    <n v="500"/>
    <n v="1"/>
    <n v="1"/>
    <s v="U26613"/>
    <s v="L1077"/>
    <x v="33"/>
    <s v="Thiếu số lượng "/>
    <m/>
    <m/>
    <n v="1"/>
    <s v="\\vn-file\QC Department\4.OQC\00. OQC Performance\03. Images\01. NG\20210311-NG-2114716666.jpg"/>
    <m/>
  </r>
  <r>
    <n v="3083"/>
    <x v="39"/>
    <s v="Day"/>
    <x v="0"/>
    <n v="2000717751"/>
    <n v="700"/>
    <n v="80"/>
    <n v="0"/>
    <s v="U30425"/>
    <s v="L1144/47"/>
    <x v="242"/>
    <m/>
    <m/>
    <m/>
    <n v="0"/>
    <m/>
    <m/>
  </r>
  <r>
    <n v="3084"/>
    <x v="39"/>
    <s v="Day"/>
    <x v="0"/>
    <n v="2000717611"/>
    <n v="280"/>
    <n v="20"/>
    <n v="0"/>
    <s v="U30425"/>
    <s v="L1144/47"/>
    <x v="71"/>
    <m/>
    <m/>
    <m/>
    <n v="0"/>
    <m/>
    <m/>
  </r>
  <r>
    <n v="3085"/>
    <x v="39"/>
    <s v="Day"/>
    <x v="0"/>
    <n v="2000717488"/>
    <n v="1290"/>
    <n v="90"/>
    <n v="0"/>
    <s v="U30425"/>
    <s v="L1188/89"/>
    <x v="110"/>
    <m/>
    <m/>
    <m/>
    <n v="0"/>
    <m/>
    <m/>
  </r>
  <r>
    <n v="3086"/>
    <x v="39"/>
    <s v="Day"/>
    <x v="0"/>
    <n v="2000717128"/>
    <n v="600"/>
    <n v="80"/>
    <n v="0"/>
    <s v="U30425"/>
    <s v="L1112/13"/>
    <x v="8"/>
    <m/>
    <m/>
    <m/>
    <n v="0"/>
    <m/>
    <m/>
  </r>
  <r>
    <n v="3087"/>
    <x v="39"/>
    <s v="Day"/>
    <x v="0"/>
    <n v="2000717612"/>
    <n v="900"/>
    <n v="80"/>
    <n v="0"/>
    <s v="U30425"/>
    <s v="L1144/47"/>
    <x v="88"/>
    <m/>
    <m/>
    <m/>
    <n v="0"/>
    <m/>
    <m/>
  </r>
  <r>
    <n v="3088"/>
    <x v="39"/>
    <s v="Day"/>
    <x v="0"/>
    <n v="2000717649"/>
    <n v="1200"/>
    <n v="80"/>
    <n v="0"/>
    <s v="U30425"/>
    <s v="L1168/69"/>
    <x v="93"/>
    <m/>
    <m/>
    <m/>
    <n v="0"/>
    <m/>
    <m/>
  </r>
  <r>
    <n v="3089"/>
    <x v="39"/>
    <s v="Day"/>
    <x v="0"/>
    <n v="2000717618"/>
    <n v="460"/>
    <n v="80"/>
    <n v="0"/>
    <s v="U30425"/>
    <s v="L1144/47"/>
    <x v="89"/>
    <m/>
    <m/>
    <m/>
    <n v="0"/>
    <m/>
    <m/>
  </r>
  <r>
    <n v="3090"/>
    <x v="39"/>
    <s v="Day"/>
    <x v="0"/>
    <n v="2000717603"/>
    <n v="550"/>
    <n v="80"/>
    <n v="0"/>
    <s v="U30425"/>
    <s v="L1172/73"/>
    <x v="104"/>
    <m/>
    <m/>
    <m/>
    <n v="0"/>
    <m/>
    <m/>
  </r>
  <r>
    <n v="3091"/>
    <x v="39"/>
    <s v="Day"/>
    <x v="0"/>
    <n v="2000717628"/>
    <n v="2400"/>
    <n v="120"/>
    <n v="0"/>
    <s v="U30425"/>
    <s v="L1144/47"/>
    <x v="59"/>
    <m/>
    <m/>
    <m/>
    <n v="0"/>
    <m/>
    <m/>
  </r>
  <r>
    <n v="3092"/>
    <x v="39"/>
    <s v="Day"/>
    <x v="0"/>
    <n v="2000716763"/>
    <n v="720"/>
    <n v="30"/>
    <n v="0"/>
    <s v="U18660"/>
    <s v="L1193/94"/>
    <x v="192"/>
    <m/>
    <m/>
    <m/>
    <n v="0"/>
    <m/>
    <m/>
  </r>
  <r>
    <n v="3093"/>
    <x v="39"/>
    <s v="Day"/>
    <x v="0"/>
    <n v="2000717257"/>
    <n v="800"/>
    <n v="465"/>
    <n v="0"/>
    <s v="U18660"/>
    <s v="L1193/94"/>
    <x v="104"/>
    <m/>
    <m/>
    <m/>
    <n v="0"/>
    <m/>
    <m/>
  </r>
  <r>
    <n v="3094"/>
    <x v="39"/>
    <s v="Day"/>
    <x v="0"/>
    <n v="2000717644"/>
    <n v="793"/>
    <n v="200"/>
    <n v="0"/>
    <s v="U27687"/>
    <s v="L1188/89"/>
    <x v="17"/>
    <m/>
    <m/>
    <m/>
    <n v="0"/>
    <m/>
    <m/>
  </r>
  <r>
    <n v="3095"/>
    <x v="39"/>
    <s v="Day"/>
    <x v="0"/>
    <n v="2000716763"/>
    <n v="720"/>
    <n v="60"/>
    <n v="0"/>
    <s v="U27687"/>
    <s v="L1193/94"/>
    <x v="192"/>
    <m/>
    <m/>
    <m/>
    <n v="0"/>
    <m/>
    <m/>
  </r>
  <r>
    <n v="3096"/>
    <x v="39"/>
    <s v="Day"/>
    <x v="0"/>
    <n v="2000717433"/>
    <n v="582"/>
    <n v="225"/>
    <n v="0"/>
    <s v="U27687"/>
    <s v="L1170/71"/>
    <x v="117"/>
    <m/>
    <m/>
    <m/>
    <n v="0"/>
    <m/>
    <m/>
  </r>
  <r>
    <n v="3097"/>
    <x v="39"/>
    <s v="Day"/>
    <x v="0"/>
    <n v="2000717433"/>
    <n v="582"/>
    <n v="90"/>
    <n v="0"/>
    <s v="U27687"/>
    <s v="L1170/71"/>
    <x v="117"/>
    <m/>
    <m/>
    <m/>
    <n v="0"/>
    <m/>
    <m/>
  </r>
  <r>
    <n v="3098"/>
    <x v="39"/>
    <s v="Day"/>
    <x v="0"/>
    <n v="2000717657"/>
    <n v="136"/>
    <n v="91"/>
    <n v="0"/>
    <s v="U27687"/>
    <s v="L1209/10"/>
    <x v="216"/>
    <m/>
    <m/>
    <m/>
    <n v="0"/>
    <m/>
    <m/>
  </r>
  <r>
    <n v="3099"/>
    <x v="39"/>
    <s v="Day"/>
    <x v="0"/>
    <n v="2000717479"/>
    <n v="200"/>
    <n v="119"/>
    <n v="0"/>
    <s v="U29686"/>
    <s v="L1188/89"/>
    <x v="95"/>
    <m/>
    <m/>
    <m/>
    <n v="0"/>
    <m/>
    <m/>
  </r>
  <r>
    <n v="3100"/>
    <x v="39"/>
    <s v="Day"/>
    <x v="0"/>
    <n v="2000717486"/>
    <n v="360"/>
    <n v="315"/>
    <n v="0"/>
    <s v="U29686"/>
    <s v="L1209/10"/>
    <x v="243"/>
    <m/>
    <m/>
    <m/>
    <n v="0"/>
    <m/>
    <m/>
  </r>
  <r>
    <n v="3101"/>
    <x v="39"/>
    <s v="Day"/>
    <x v="0"/>
    <n v="2000717433"/>
    <n v="582"/>
    <n v="269"/>
    <n v="0"/>
    <s v="U29686"/>
    <s v="L1170/71"/>
    <x v="117"/>
    <m/>
    <m/>
    <m/>
    <n v="0"/>
    <m/>
    <m/>
  </r>
  <r>
    <n v="3102"/>
    <x v="39"/>
    <s v="Day"/>
    <x v="0"/>
    <n v="2000717481"/>
    <n v="120"/>
    <n v="119"/>
    <n v="0"/>
    <s v="U27723"/>
    <s v="L1188/89"/>
    <x v="136"/>
    <m/>
    <m/>
    <m/>
    <n v="0"/>
    <m/>
    <m/>
  </r>
  <r>
    <n v="3103"/>
    <x v="39"/>
    <s v="Day"/>
    <x v="0"/>
    <n v="2000715331"/>
    <n v="200"/>
    <n v="2"/>
    <n v="0"/>
    <s v="U27723"/>
    <s v="L1188/89"/>
    <x v="212"/>
    <m/>
    <m/>
    <m/>
    <n v="0"/>
    <m/>
    <m/>
  </r>
  <r>
    <n v="3104"/>
    <x v="39"/>
    <s v="Day"/>
    <x v="0"/>
    <n v="2000717480"/>
    <n v="20"/>
    <n v="20"/>
    <n v="0"/>
    <s v="U27723"/>
    <s v="L1188/89"/>
    <x v="212"/>
    <m/>
    <m/>
    <m/>
    <n v="0"/>
    <m/>
    <m/>
  </r>
  <r>
    <n v="3105"/>
    <x v="39"/>
    <s v="Day"/>
    <x v="0"/>
    <n v="2000716655"/>
    <n v="1000"/>
    <n v="2"/>
    <n v="0"/>
    <s v="U27723"/>
    <s v="L1188/89"/>
    <x v="72"/>
    <m/>
    <m/>
    <m/>
    <n v="0"/>
    <m/>
    <m/>
  </r>
  <r>
    <n v="3106"/>
    <x v="39"/>
    <s v="Day"/>
    <x v="0"/>
    <n v="2000717186"/>
    <n v="400"/>
    <n v="3"/>
    <n v="0"/>
    <s v="U27723"/>
    <s v="L1188/89"/>
    <x v="130"/>
    <m/>
    <m/>
    <m/>
    <n v="0"/>
    <m/>
    <m/>
  </r>
  <r>
    <n v="3107"/>
    <x v="39"/>
    <s v="Day"/>
    <x v="0"/>
    <n v="2000714543"/>
    <n v="240"/>
    <n v="1"/>
    <n v="0"/>
    <s v="U27723"/>
    <s v="L1188/89"/>
    <x v="122"/>
    <m/>
    <m/>
    <m/>
    <n v="0"/>
    <m/>
    <m/>
  </r>
  <r>
    <n v="3108"/>
    <x v="39"/>
    <s v="Day"/>
    <x v="0"/>
    <n v="2000713141"/>
    <n v="200"/>
    <n v="1"/>
    <n v="0"/>
    <s v="U27723"/>
    <s v="L1188/89"/>
    <x v="95"/>
    <m/>
    <m/>
    <m/>
    <n v="0"/>
    <m/>
    <m/>
  </r>
  <r>
    <n v="3109"/>
    <x v="39"/>
    <s v="Day"/>
    <x v="0"/>
    <n v="2000716318"/>
    <n v="240"/>
    <n v="1"/>
    <n v="0"/>
    <s v="U27723"/>
    <s v="L1188/89"/>
    <x v="183"/>
    <m/>
    <m/>
    <m/>
    <n v="0"/>
    <m/>
    <m/>
  </r>
  <r>
    <n v="3110"/>
    <x v="39"/>
    <s v="Day"/>
    <x v="0"/>
    <n v="2000712280"/>
    <n v="400"/>
    <n v="1"/>
    <n v="0"/>
    <s v="U27723"/>
    <s v="L1188/89"/>
    <x v="168"/>
    <m/>
    <m/>
    <m/>
    <n v="0"/>
    <m/>
    <m/>
  </r>
  <r>
    <n v="3111"/>
    <x v="39"/>
    <s v="Day"/>
    <x v="0"/>
    <n v="2000715577"/>
    <n v="160"/>
    <n v="3"/>
    <n v="0"/>
    <s v="U27723"/>
    <s v="L1188/89"/>
    <x v="122"/>
    <m/>
    <m/>
    <m/>
    <n v="0"/>
    <m/>
    <m/>
  </r>
  <r>
    <n v="3112"/>
    <x v="39"/>
    <s v="Day"/>
    <x v="0"/>
    <n v="2000708984"/>
    <n v="120"/>
    <n v="3"/>
    <n v="0"/>
    <s v="U27723"/>
    <s v="L1188/89"/>
    <x v="54"/>
    <m/>
    <m/>
    <m/>
    <n v="0"/>
    <m/>
    <m/>
  </r>
  <r>
    <n v="3113"/>
    <x v="39"/>
    <s v="Day"/>
    <x v="0"/>
    <n v="2000717644"/>
    <n v="793"/>
    <n v="273"/>
    <n v="0"/>
    <s v="U27723"/>
    <s v="L1188/89"/>
    <x v="17"/>
    <m/>
    <m/>
    <m/>
    <n v="0"/>
    <m/>
    <m/>
  </r>
  <r>
    <n v="3114"/>
    <x v="39"/>
    <s v="Day"/>
    <x v="0"/>
    <n v="2000717645"/>
    <n v="540"/>
    <n v="60"/>
    <n v="0"/>
    <s v="U27723"/>
    <s v="L1188/89"/>
    <x v="17"/>
    <m/>
    <m/>
    <m/>
    <n v="0"/>
    <m/>
    <m/>
  </r>
  <r>
    <n v="3115"/>
    <x v="39"/>
    <s v="Day"/>
    <x v="0"/>
    <n v="2000717257"/>
    <n v="800"/>
    <n v="15"/>
    <n v="0"/>
    <s v="U32991"/>
    <s v="L1193/94"/>
    <x v="104"/>
    <m/>
    <m/>
    <m/>
    <n v="0"/>
    <m/>
    <m/>
  </r>
  <r>
    <n v="3116"/>
    <x v="39"/>
    <s v="Day"/>
    <x v="0"/>
    <n v="2000716763"/>
    <n v="720"/>
    <n v="60"/>
    <n v="0"/>
    <s v="U32991"/>
    <s v="L1193/94"/>
    <x v="192"/>
    <m/>
    <m/>
    <m/>
    <n v="0"/>
    <m/>
    <m/>
  </r>
  <r>
    <n v="3117"/>
    <x v="39"/>
    <s v="Day"/>
    <x v="0"/>
    <n v="2000717489"/>
    <n v="70"/>
    <n v="25"/>
    <n v="0"/>
    <s v="U32991"/>
    <s v="L1151/52"/>
    <x v="154"/>
    <m/>
    <m/>
    <m/>
    <n v="0"/>
    <m/>
    <m/>
  </r>
  <r>
    <n v="3118"/>
    <x v="39"/>
    <s v="Day"/>
    <x v="0"/>
    <n v="2000717492"/>
    <n v="320"/>
    <n v="130"/>
    <n v="0"/>
    <s v="U32991"/>
    <s v="L1151/52"/>
    <x v="154"/>
    <m/>
    <m/>
    <m/>
    <n v="0"/>
    <m/>
    <m/>
  </r>
  <r>
    <n v="3119"/>
    <x v="39"/>
    <s v="Day"/>
    <x v="0"/>
    <n v="2000717253"/>
    <n v="1224"/>
    <n v="330"/>
    <n v="0"/>
    <s v="U07492"/>
    <s v="L1151/52"/>
    <x v="167"/>
    <m/>
    <m/>
    <m/>
    <n v="0"/>
    <m/>
    <m/>
  </r>
  <r>
    <n v="3120"/>
    <x v="39"/>
    <s v="Day"/>
    <x v="0"/>
    <n v="2000715193"/>
    <n v="1680"/>
    <n v="240"/>
    <n v="0"/>
    <s v="U07492"/>
    <s v="L1193/94"/>
    <x v="30"/>
    <m/>
    <m/>
    <m/>
    <n v="0"/>
    <m/>
    <m/>
  </r>
  <r>
    <n v="3121"/>
    <x v="39"/>
    <s v="Day"/>
    <x v="0"/>
    <n v="2000716658"/>
    <n v="600"/>
    <n v="80"/>
    <n v="0"/>
    <s v="U07492"/>
    <s v="L1077"/>
    <x v="6"/>
    <m/>
    <m/>
    <m/>
    <n v="0"/>
    <m/>
    <m/>
  </r>
  <r>
    <n v="3122"/>
    <x v="39"/>
    <s v="Day"/>
    <x v="0"/>
    <n v="2000716725"/>
    <n v="2808"/>
    <n v="1288"/>
    <n v="0"/>
    <s v="U07492"/>
    <s v="L1184"/>
    <x v="244"/>
    <m/>
    <m/>
    <m/>
    <n v="0"/>
    <m/>
    <m/>
  </r>
  <r>
    <n v="3123"/>
    <x v="39"/>
    <s v="Day"/>
    <x v="0"/>
    <n v="2000716656"/>
    <n v="600"/>
    <n v="150"/>
    <n v="0"/>
    <s v="U07492"/>
    <s v="L1077"/>
    <x v="10"/>
    <m/>
    <m/>
    <m/>
    <n v="0"/>
    <m/>
    <m/>
  </r>
  <r>
    <n v="3124"/>
    <x v="39"/>
    <s v="Day"/>
    <x v="0"/>
    <n v="2000716827"/>
    <n v="800"/>
    <n v="150"/>
    <n v="0"/>
    <s v="U03968"/>
    <s v="L1144/47"/>
    <x v="13"/>
    <m/>
    <m/>
    <m/>
    <n v="0"/>
    <m/>
    <m/>
  </r>
  <r>
    <n v="3125"/>
    <x v="39"/>
    <s v="Day"/>
    <x v="0"/>
    <n v="2000716830"/>
    <n v="1200"/>
    <n v="150"/>
    <n v="0"/>
    <s v="U03968"/>
    <s v="L1144/47"/>
    <x v="77"/>
    <m/>
    <m/>
    <m/>
    <n v="0"/>
    <m/>
    <m/>
  </r>
  <r>
    <n v="3126"/>
    <x v="39"/>
    <s v="Day"/>
    <x v="0"/>
    <n v="2000716260"/>
    <n v="1050"/>
    <n v="120"/>
    <n v="0"/>
    <s v="U03968"/>
    <s v="L1077"/>
    <x v="6"/>
    <m/>
    <m/>
    <m/>
    <n v="0"/>
    <m/>
    <m/>
  </r>
  <r>
    <n v="3127"/>
    <x v="39"/>
    <s v="Day"/>
    <x v="0"/>
    <n v="2000717256"/>
    <n v="1600"/>
    <n v="400"/>
    <n v="0"/>
    <s v="U03968"/>
    <s v="L1193/94"/>
    <x v="119"/>
    <m/>
    <m/>
    <m/>
    <n v="0"/>
    <m/>
    <m/>
  </r>
  <r>
    <n v="3128"/>
    <x v="39"/>
    <s v="Day"/>
    <x v="0"/>
    <n v="2000716726"/>
    <n v="1660"/>
    <n v="600"/>
    <n v="0"/>
    <s v="U03968"/>
    <s v="L1151/52"/>
    <x v="185"/>
    <m/>
    <m/>
    <m/>
    <n v="0"/>
    <m/>
    <m/>
  </r>
  <r>
    <n v="3129"/>
    <x v="39"/>
    <s v="Day"/>
    <x v="0"/>
    <n v="2000716826"/>
    <n v="800"/>
    <n v="150"/>
    <n v="0"/>
    <s v="U03968"/>
    <s v="L1144/47"/>
    <x v="77"/>
    <m/>
    <m/>
    <m/>
    <n v="0"/>
    <m/>
    <m/>
  </r>
  <r>
    <n v="3130"/>
    <x v="39"/>
    <s v="Day"/>
    <x v="0"/>
    <n v="2000717143"/>
    <n v="800"/>
    <n v="150"/>
    <n v="0"/>
    <s v="U03968"/>
    <s v="L1144/47"/>
    <x v="13"/>
    <m/>
    <m/>
    <m/>
    <n v="0"/>
    <m/>
    <m/>
  </r>
  <r>
    <n v="3131"/>
    <x v="39"/>
    <s v="Day"/>
    <x v="0"/>
    <n v="2000716665"/>
    <n v="500"/>
    <n v="150"/>
    <n v="0"/>
    <s v="U03968"/>
    <s v="L1077"/>
    <x v="10"/>
    <m/>
    <m/>
    <m/>
    <n v="0"/>
    <m/>
    <m/>
  </r>
  <r>
    <n v="3132"/>
    <x v="39"/>
    <s v="Day"/>
    <x v="0"/>
    <n v="2000717141"/>
    <n v="800"/>
    <n v="200"/>
    <n v="0"/>
    <s v="U03968"/>
    <s v="L1144/47"/>
    <x v="92"/>
    <m/>
    <m/>
    <m/>
    <n v="0"/>
    <m/>
    <m/>
  </r>
  <r>
    <n v="3133"/>
    <x v="39"/>
    <s v="Day"/>
    <x v="1"/>
    <n v="2000717321"/>
    <n v="250"/>
    <n v="188"/>
    <n v="0"/>
    <s v="U15759"/>
    <s v="PSLV"/>
    <x v="50"/>
    <m/>
    <m/>
    <m/>
    <n v="0"/>
    <m/>
    <m/>
  </r>
  <r>
    <n v="3134"/>
    <x v="39"/>
    <s v="Day"/>
    <x v="1"/>
    <n v="2000717697"/>
    <n v="300"/>
    <n v="140"/>
    <n v="0"/>
    <s v="U15759"/>
    <s v="SHANKS"/>
    <x v="24"/>
    <m/>
    <m/>
    <m/>
    <n v="0"/>
    <m/>
    <m/>
  </r>
  <r>
    <n v="3135"/>
    <x v="39"/>
    <s v="Day"/>
    <x v="1"/>
    <n v="2000717704"/>
    <n v="540"/>
    <n v="288"/>
    <n v="0"/>
    <s v="U15759"/>
    <s v="FRANKY"/>
    <x v="51"/>
    <m/>
    <m/>
    <m/>
    <n v="0"/>
    <m/>
    <m/>
  </r>
  <r>
    <n v="3136"/>
    <x v="39"/>
    <s v="Day"/>
    <x v="1"/>
    <n v="2000717702"/>
    <n v="660"/>
    <n v="150"/>
    <n v="0"/>
    <s v="U15759"/>
    <s v="SHANKS"/>
    <x v="22"/>
    <m/>
    <m/>
    <m/>
    <n v="0"/>
    <m/>
    <m/>
  </r>
  <r>
    <n v="3137"/>
    <x v="39"/>
    <s v="Day"/>
    <x v="1"/>
    <n v="2000717698"/>
    <n v="500"/>
    <n v="130"/>
    <n v="0"/>
    <s v="U15759"/>
    <s v="PSHV"/>
    <x v="25"/>
    <m/>
    <m/>
    <m/>
    <n v="0"/>
    <m/>
    <m/>
  </r>
  <r>
    <n v="3138"/>
    <x v="39"/>
    <s v="Day"/>
    <x v="1"/>
    <n v="2000717701"/>
    <n v="192"/>
    <n v="96"/>
    <n v="0"/>
    <s v="U15759"/>
    <s v="SHANKS"/>
    <x v="52"/>
    <m/>
    <m/>
    <m/>
    <n v="0"/>
    <m/>
    <m/>
  </r>
  <r>
    <n v="3139"/>
    <x v="39"/>
    <s v="Night"/>
    <x v="1"/>
    <n v="2000717703"/>
    <n v="650"/>
    <n v="175"/>
    <n v="0"/>
    <s v="U30119"/>
    <s v="SHANKS"/>
    <x v="24"/>
    <m/>
    <m/>
    <m/>
    <n v="0"/>
    <m/>
    <m/>
  </r>
  <r>
    <n v="3140"/>
    <x v="39"/>
    <s v="Night"/>
    <x v="1"/>
    <n v="2000717702"/>
    <n v="660"/>
    <n v="90"/>
    <n v="0"/>
    <s v="U30119"/>
    <s v="SHANKS"/>
    <x v="22"/>
    <m/>
    <m/>
    <m/>
    <n v="0"/>
    <m/>
    <m/>
  </r>
  <r>
    <n v="3141"/>
    <x v="39"/>
    <s v="Night"/>
    <x v="1"/>
    <n v="2000717695"/>
    <n v="240"/>
    <n v="60"/>
    <n v="0"/>
    <s v="U30119"/>
    <s v="ZAKURO"/>
    <x v="114"/>
    <m/>
    <m/>
    <m/>
    <n v="0"/>
    <m/>
    <m/>
  </r>
  <r>
    <n v="3142"/>
    <x v="39"/>
    <s v="Night"/>
    <x v="1"/>
    <n v="2000717776"/>
    <n v="660"/>
    <n v="120"/>
    <n v="0"/>
    <s v="U30119"/>
    <s v="SHANKS"/>
    <x v="106"/>
    <m/>
    <m/>
    <m/>
    <n v="0"/>
    <m/>
    <m/>
  </r>
  <r>
    <n v="3143"/>
    <x v="39"/>
    <s v="Night"/>
    <x v="1"/>
    <n v="2000717028"/>
    <n v="700"/>
    <n v="210"/>
    <n v="0"/>
    <s v="U30119"/>
    <s v="PSHV"/>
    <x v="223"/>
    <m/>
    <m/>
    <m/>
    <n v="0"/>
    <m/>
    <m/>
  </r>
  <r>
    <n v="3144"/>
    <x v="39"/>
    <s v="Night"/>
    <x v="1"/>
    <n v="2000718012"/>
    <n v="360"/>
    <n v="360"/>
    <n v="0"/>
    <s v="U30119"/>
    <s v="BORUTO"/>
    <x v="111"/>
    <m/>
    <m/>
    <m/>
    <n v="0"/>
    <m/>
    <m/>
  </r>
  <r>
    <n v="3145"/>
    <x v="39"/>
    <s v="Night"/>
    <x v="1"/>
    <n v="2000718014"/>
    <n v="480"/>
    <n v="150"/>
    <n v="0"/>
    <s v="U30119"/>
    <s v="FLORA"/>
    <x v="28"/>
    <m/>
    <m/>
    <m/>
    <n v="0"/>
    <m/>
    <m/>
  </r>
  <r>
    <n v="3146"/>
    <x v="39"/>
    <s v="Night"/>
    <x v="0"/>
    <n v="2000717492"/>
    <n v="320"/>
    <n v="155"/>
    <n v="0"/>
    <s v="U31065"/>
    <s v="L1151/52"/>
    <x v="154"/>
    <m/>
    <m/>
    <m/>
    <n v="0"/>
    <m/>
    <m/>
  </r>
  <r>
    <n v="3147"/>
    <x v="39"/>
    <s v="Night"/>
    <x v="0"/>
    <n v="2000717622"/>
    <n v="700"/>
    <n v="90"/>
    <n v="0"/>
    <s v="U31065"/>
    <s v="L1193/94"/>
    <x v="116"/>
    <m/>
    <m/>
    <m/>
    <n v="0"/>
    <m/>
    <m/>
  </r>
  <r>
    <n v="3148"/>
    <x v="39"/>
    <s v="Night"/>
    <x v="0"/>
    <n v="2000717657"/>
    <n v="136"/>
    <n v="45"/>
    <n v="0"/>
    <s v="U23987"/>
    <s v="L1209/10"/>
    <x v="216"/>
    <m/>
    <m/>
    <m/>
    <n v="0"/>
    <m/>
    <m/>
  </r>
  <r>
    <n v="3149"/>
    <x v="39"/>
    <s v="Night"/>
    <x v="0"/>
    <n v="2000696773"/>
    <n v="1124"/>
    <n v="2"/>
    <n v="0"/>
    <s v="U23987"/>
    <s v="L1209/10"/>
    <x v="216"/>
    <m/>
    <m/>
    <m/>
    <n v="0"/>
    <m/>
    <m/>
  </r>
  <r>
    <n v="3150"/>
    <x v="39"/>
    <s v="Night"/>
    <x v="0"/>
    <n v="2000715224"/>
    <n v="2460"/>
    <n v="585"/>
    <n v="0"/>
    <s v="U23987"/>
    <s v="L1209/10"/>
    <x v="196"/>
    <m/>
    <m/>
    <m/>
    <n v="0"/>
    <m/>
    <m/>
  </r>
  <r>
    <n v="3151"/>
    <x v="39"/>
    <s v="Night"/>
    <x v="0"/>
    <n v="2000714570"/>
    <n v="4032"/>
    <n v="200"/>
    <n v="0"/>
    <s v="U26613"/>
    <s v="L1144/47"/>
    <x v="14"/>
    <m/>
    <m/>
    <m/>
    <n v="0"/>
    <m/>
    <m/>
  </r>
  <r>
    <n v="3152"/>
    <x v="39"/>
    <s v="Night"/>
    <x v="0"/>
    <n v="2000717639"/>
    <n v="4220"/>
    <n v="300"/>
    <n v="0"/>
    <s v="U26613"/>
    <s v="T515"/>
    <x v="15"/>
    <m/>
    <m/>
    <m/>
    <n v="0"/>
    <m/>
    <m/>
  </r>
  <r>
    <n v="3153"/>
    <x v="39"/>
    <s v="Night"/>
    <x v="0"/>
    <n v="2000717142"/>
    <n v="800"/>
    <n v="150"/>
    <n v="0"/>
    <s v="U26613"/>
    <s v="L1144/47"/>
    <x v="77"/>
    <m/>
    <m/>
    <m/>
    <n v="0"/>
    <m/>
    <m/>
  </r>
  <r>
    <n v="3154"/>
    <x v="39"/>
    <s v="Night"/>
    <x v="0"/>
    <n v="2000717593"/>
    <n v="2800"/>
    <n v="200"/>
    <n v="0"/>
    <s v="U26613"/>
    <s v="L1174/75"/>
    <x v="62"/>
    <m/>
    <m/>
    <m/>
    <n v="0"/>
    <m/>
    <m/>
  </r>
  <r>
    <n v="3155"/>
    <x v="39"/>
    <s v="Night"/>
    <x v="0"/>
    <n v="2000716831"/>
    <n v="1200"/>
    <n v="150"/>
    <n v="0"/>
    <s v="U26613"/>
    <s v="L1144/47"/>
    <x v="13"/>
    <m/>
    <m/>
    <m/>
    <n v="0"/>
    <m/>
    <m/>
  </r>
  <r>
    <n v="3156"/>
    <x v="39"/>
    <s v="Night"/>
    <x v="0"/>
    <n v="2000716667"/>
    <n v="500"/>
    <n v="120"/>
    <n v="0"/>
    <s v="U26613"/>
    <s v="L1077"/>
    <x v="6"/>
    <m/>
    <m/>
    <m/>
    <n v="0"/>
    <m/>
    <m/>
  </r>
  <r>
    <n v="3157"/>
    <x v="39"/>
    <s v="Night"/>
    <x v="0"/>
    <n v="2000716844"/>
    <n v="1040"/>
    <n v="120"/>
    <n v="0"/>
    <s v="U26613"/>
    <s v="L1077"/>
    <x v="6"/>
    <m/>
    <m/>
    <m/>
    <n v="0"/>
    <m/>
    <m/>
  </r>
  <r>
    <n v="3158"/>
    <x v="39"/>
    <s v="Night"/>
    <x v="0"/>
    <n v="2000717641"/>
    <n v="7860"/>
    <n v="300"/>
    <n v="0"/>
    <s v="U26613"/>
    <s v="L1112/13"/>
    <x v="75"/>
    <m/>
    <m/>
    <m/>
    <n v="0"/>
    <m/>
    <m/>
  </r>
  <r>
    <n v="3159"/>
    <x v="39"/>
    <s v="Night"/>
    <x v="0"/>
    <n v="2000717503"/>
    <n v="1300"/>
    <n v="150"/>
    <n v="0"/>
    <s v="U26613"/>
    <s v="L1144/47"/>
    <x v="77"/>
    <m/>
    <m/>
    <m/>
    <n v="0"/>
    <m/>
    <m/>
  </r>
  <r>
    <n v="3160"/>
    <x v="39"/>
    <s v="Night"/>
    <x v="0"/>
    <n v="2000717502"/>
    <n v="1300"/>
    <n v="200"/>
    <n v="0"/>
    <s v="U26613"/>
    <s v="L1144/47"/>
    <x v="92"/>
    <m/>
    <m/>
    <m/>
    <n v="0"/>
    <m/>
    <m/>
  </r>
  <r>
    <n v="3161"/>
    <x v="39"/>
    <s v="Night"/>
    <x v="0"/>
    <n v="2000716666"/>
    <n v="500"/>
    <n v="100"/>
    <n v="0"/>
    <s v="U26613"/>
    <s v="L1077"/>
    <x v="33"/>
    <m/>
    <m/>
    <m/>
    <n v="0"/>
    <m/>
    <m/>
  </r>
  <r>
    <n v="3162"/>
    <x v="39"/>
    <s v="Night"/>
    <x v="0"/>
    <n v="2000716725"/>
    <n v="2808"/>
    <n v="720"/>
    <n v="0"/>
    <s v="U26613"/>
    <s v="L1184"/>
    <x v="245"/>
    <m/>
    <m/>
    <m/>
    <n v="0"/>
    <m/>
    <m/>
  </r>
  <r>
    <n v="3163"/>
    <x v="39"/>
    <s v="Night"/>
    <x v="0"/>
    <n v="2000717645"/>
    <n v="540"/>
    <n v="20"/>
    <n v="0"/>
    <s v="U09854"/>
    <s v="L1188/89"/>
    <x v="17"/>
    <m/>
    <m/>
    <m/>
    <n v="0"/>
    <m/>
    <m/>
  </r>
  <r>
    <n v="3164"/>
    <x v="39"/>
    <s v="Night"/>
    <x v="0"/>
    <n v="2000717622"/>
    <n v="700"/>
    <n v="150"/>
    <n v="0"/>
    <s v="U09854"/>
    <s v="L1193/94"/>
    <x v="116"/>
    <m/>
    <m/>
    <m/>
    <n v="0"/>
    <m/>
    <m/>
  </r>
  <r>
    <n v="3165"/>
    <x v="39"/>
    <s v="Night"/>
    <x v="0"/>
    <n v="2000717737"/>
    <n v="620"/>
    <n v="30"/>
    <n v="0"/>
    <s v="U09854"/>
    <s v="L1193/94"/>
    <x v="21"/>
    <m/>
    <m/>
    <m/>
    <n v="0"/>
    <m/>
    <m/>
  </r>
  <r>
    <n v="3166"/>
    <x v="39"/>
    <s v="Night"/>
    <x v="0"/>
    <n v="2000717709"/>
    <n v="3200"/>
    <n v="160"/>
    <n v="0"/>
    <s v="U09854"/>
    <s v="L1112/13"/>
    <x v="8"/>
    <m/>
    <m/>
    <m/>
    <n v="0"/>
    <m/>
    <m/>
  </r>
  <r>
    <n v="3167"/>
    <x v="39"/>
    <s v="Night"/>
    <x v="0"/>
    <n v="2000717241"/>
    <n v="282"/>
    <n v="80"/>
    <n v="0"/>
    <s v="U09854"/>
    <s v="L1168/69"/>
    <x v="195"/>
    <m/>
    <m/>
    <m/>
    <n v="0"/>
    <m/>
    <m/>
  </r>
  <r>
    <n v="3168"/>
    <x v="39"/>
    <s v="Night"/>
    <x v="0"/>
    <n v="2000717650"/>
    <n v="1200"/>
    <n v="80"/>
    <n v="0"/>
    <s v="U09854"/>
    <s v="L1168/69"/>
    <x v="48"/>
    <m/>
    <m/>
    <m/>
    <n v="0"/>
    <m/>
    <m/>
  </r>
  <r>
    <n v="3169"/>
    <x v="39"/>
    <s v="Night"/>
    <x v="0"/>
    <n v="2000717656"/>
    <n v="540"/>
    <n v="80"/>
    <n v="0"/>
    <s v="U09854"/>
    <s v="L1172/73"/>
    <x v="99"/>
    <m/>
    <m/>
    <m/>
    <n v="0"/>
    <m/>
    <m/>
  </r>
  <r>
    <n v="3170"/>
    <x v="39"/>
    <s v="Night"/>
    <x v="0"/>
    <n v="2000717724"/>
    <n v="150"/>
    <n v="150"/>
    <n v="0"/>
    <s v="U09854"/>
    <s v="L1172/73"/>
    <x v="169"/>
    <m/>
    <m/>
    <m/>
    <n v="0"/>
    <m/>
    <m/>
  </r>
  <r>
    <n v="3171"/>
    <x v="39"/>
    <s v="Night"/>
    <x v="0"/>
    <n v="2000717268"/>
    <n v="650"/>
    <n v="80"/>
    <n v="0"/>
    <s v="U09854"/>
    <s v="L1172/73"/>
    <x v="19"/>
    <m/>
    <m/>
    <m/>
    <n v="0"/>
    <m/>
    <m/>
  </r>
  <r>
    <n v="3172"/>
    <x v="39"/>
    <s v="Night"/>
    <x v="0"/>
    <n v="2000717594"/>
    <n v="2800"/>
    <n v="80"/>
    <n v="0"/>
    <s v="U09854"/>
    <s v="L1174/75"/>
    <x v="3"/>
    <m/>
    <m/>
    <m/>
    <n v="0"/>
    <m/>
    <m/>
  </r>
  <r>
    <n v="3173"/>
    <x v="39"/>
    <s v="Night"/>
    <x v="0"/>
    <n v="2000717619"/>
    <n v="580"/>
    <n v="80"/>
    <n v="0"/>
    <s v="U27724"/>
    <s v="L1144/47"/>
    <x v="56"/>
    <m/>
    <m/>
    <m/>
    <n v="0"/>
    <m/>
    <m/>
  </r>
  <r>
    <n v="3174"/>
    <x v="39"/>
    <s v="Night"/>
    <x v="0"/>
    <n v="2000718322"/>
    <n v="400"/>
    <n v="393"/>
    <n v="0"/>
    <s v="U27724"/>
    <s v="L1188/89"/>
    <x v="47"/>
    <m/>
    <m/>
    <m/>
    <n v="0"/>
    <m/>
    <m/>
  </r>
  <r>
    <n v="3175"/>
    <x v="39"/>
    <s v="Night"/>
    <x v="0"/>
    <n v="2000718235"/>
    <n v="20"/>
    <n v="20"/>
    <n v="0"/>
    <s v="U27724"/>
    <s v="T541"/>
    <x v="133"/>
    <m/>
    <m/>
    <m/>
    <n v="0"/>
    <m/>
    <m/>
  </r>
  <r>
    <n v="3176"/>
    <x v="39"/>
    <s v="Night"/>
    <x v="0"/>
    <n v="2000718569"/>
    <n v="760"/>
    <n v="120"/>
    <n v="0"/>
    <s v="U27724"/>
    <s v="L1188/89"/>
    <x v="0"/>
    <m/>
    <m/>
    <m/>
    <n v="0"/>
    <m/>
    <m/>
  </r>
  <r>
    <n v="3177"/>
    <x v="39"/>
    <s v="Night"/>
    <x v="0"/>
    <n v="2000717488"/>
    <n v="1290"/>
    <n v="30"/>
    <n v="0"/>
    <s v="U27724"/>
    <s v="L1188/89"/>
    <x v="110"/>
    <m/>
    <m/>
    <m/>
    <n v="0"/>
    <m/>
    <m/>
  </r>
  <r>
    <n v="3178"/>
    <x v="39"/>
    <s v="Night"/>
    <x v="0"/>
    <n v="2000717592"/>
    <n v="2800"/>
    <n v="40"/>
    <n v="0"/>
    <s v="U27724"/>
    <s v="L1174/75"/>
    <x v="3"/>
    <m/>
    <m/>
    <m/>
    <n v="0"/>
    <m/>
    <m/>
  </r>
  <r>
    <n v="3179"/>
    <x v="39"/>
    <s v="Night"/>
    <x v="0"/>
    <n v="2000717645"/>
    <n v="540"/>
    <n v="79"/>
    <n v="0"/>
    <s v="U27724"/>
    <s v="L1188/89"/>
    <x v="17"/>
    <m/>
    <m/>
    <m/>
    <n v="0"/>
    <m/>
    <m/>
  </r>
  <r>
    <n v="3180"/>
    <x v="39"/>
    <s v="Night"/>
    <x v="0"/>
    <n v="2000716664"/>
    <n v="130"/>
    <n v="4"/>
    <n v="0"/>
    <s v="U27724"/>
    <s v="L1188/89"/>
    <x v="43"/>
    <m/>
    <m/>
    <m/>
    <n v="0"/>
    <m/>
    <m/>
  </r>
  <r>
    <n v="3181"/>
    <x v="39"/>
    <s v="Night"/>
    <x v="0"/>
    <n v="2000717859"/>
    <n v="658"/>
    <n v="40"/>
    <n v="0"/>
    <s v="U27724"/>
    <s v="L1188/89"/>
    <x v="43"/>
    <m/>
    <m/>
    <m/>
    <n v="0"/>
    <m/>
    <m/>
  </r>
  <r>
    <n v="3182"/>
    <x v="40"/>
    <s v="Day"/>
    <x v="0"/>
    <n v="2000717622"/>
    <n v="700"/>
    <n v="218"/>
    <n v="0"/>
    <s v="U32991"/>
    <s v="L1193/94"/>
    <x v="116"/>
    <m/>
    <m/>
    <m/>
    <n v="0"/>
    <m/>
    <m/>
  </r>
  <r>
    <n v="3183"/>
    <x v="40"/>
    <s v="Day"/>
    <x v="0"/>
    <n v="2000717737"/>
    <n v="620"/>
    <n v="300"/>
    <n v="0"/>
    <s v="U32991"/>
    <s v="L1193/94"/>
    <x v="21"/>
    <m/>
    <m/>
    <m/>
    <n v="0"/>
    <m/>
    <m/>
  </r>
  <r>
    <n v="3184"/>
    <x v="40"/>
    <s v="Day"/>
    <x v="0"/>
    <n v="2000717655"/>
    <n v="1170"/>
    <n v="90"/>
    <n v="0"/>
    <s v="U30425"/>
    <s v="L1172/73"/>
    <x v="20"/>
    <m/>
    <m/>
    <m/>
    <n v="0"/>
    <m/>
    <m/>
  </r>
  <r>
    <n v="3185"/>
    <x v="40"/>
    <s v="Day"/>
    <x v="0"/>
    <n v="2000715641"/>
    <n v="2896"/>
    <n v="120"/>
    <n v="0"/>
    <s v="U30425"/>
    <s v="L1128/29"/>
    <x v="11"/>
    <m/>
    <m/>
    <m/>
    <n v="0"/>
    <m/>
    <m/>
  </r>
  <r>
    <n v="3186"/>
    <x v="40"/>
    <s v="Day"/>
    <x v="0"/>
    <n v="2000718185"/>
    <n v="580"/>
    <n v="80"/>
    <n v="0"/>
    <s v="U30425"/>
    <s v="L1172/73"/>
    <x v="19"/>
    <m/>
    <m/>
    <m/>
    <n v="0"/>
    <m/>
    <m/>
  </r>
  <r>
    <n v="3187"/>
    <x v="40"/>
    <s v="Day"/>
    <x v="0"/>
    <n v="2000717752"/>
    <n v="1200"/>
    <n v="80"/>
    <n v="0"/>
    <s v="U30425"/>
    <s v="L1144/47"/>
    <x v="246"/>
    <m/>
    <m/>
    <m/>
    <n v="0"/>
    <m/>
    <m/>
  </r>
  <r>
    <n v="3188"/>
    <x v="40"/>
    <s v="Day"/>
    <x v="0"/>
    <n v="2000717758"/>
    <n v="2300"/>
    <n v="120"/>
    <n v="0"/>
    <s v="U30425"/>
    <s v="L1144/47"/>
    <x v="59"/>
    <m/>
    <m/>
    <m/>
    <n v="0"/>
    <m/>
    <m/>
  </r>
  <r>
    <n v="3189"/>
    <x v="40"/>
    <s v="Day"/>
    <x v="0"/>
    <n v="2000717762"/>
    <n v="1200"/>
    <n v="80"/>
    <n v="0"/>
    <s v="U30425"/>
    <s v="L1168/69"/>
    <x v="93"/>
    <m/>
    <m/>
    <m/>
    <n v="0"/>
    <m/>
    <m/>
  </r>
  <r>
    <n v="3190"/>
    <x v="40"/>
    <s v="Day"/>
    <x v="0"/>
    <n v="2000717746"/>
    <n v="1700"/>
    <n v="160"/>
    <n v="0"/>
    <s v="U30425"/>
    <s v="L1174/75"/>
    <x v="3"/>
    <m/>
    <m/>
    <m/>
    <n v="0"/>
    <m/>
    <m/>
  </r>
  <r>
    <n v="3191"/>
    <x v="40"/>
    <s v="Day"/>
    <x v="0"/>
    <n v="2000718569"/>
    <n v="760"/>
    <n v="200"/>
    <n v="0"/>
    <s v="U27687"/>
    <s v="L1188/89"/>
    <x v="0"/>
    <m/>
    <m/>
    <m/>
    <n v="0"/>
    <m/>
    <m/>
  </r>
  <r>
    <n v="3192"/>
    <x v="40"/>
    <s v="Day"/>
    <x v="0"/>
    <n v="2000717645"/>
    <n v="540"/>
    <n v="177"/>
    <n v="0"/>
    <s v="U27687"/>
    <s v="L1188/89"/>
    <x v="17"/>
    <m/>
    <m/>
    <m/>
    <n v="0"/>
    <m/>
    <m/>
  </r>
  <r>
    <n v="3193"/>
    <x v="40"/>
    <s v="Day"/>
    <x v="0"/>
    <n v="2000718323"/>
    <n v="680"/>
    <n v="120"/>
    <n v="0"/>
    <s v="U27687"/>
    <s v="L1188/89"/>
    <x v="72"/>
    <m/>
    <m/>
    <m/>
    <n v="0"/>
    <m/>
    <m/>
  </r>
  <r>
    <n v="3194"/>
    <x v="40"/>
    <s v="Day"/>
    <x v="0"/>
    <n v="2000717859"/>
    <n v="658"/>
    <n v="80"/>
    <n v="0"/>
    <s v="U27687"/>
    <s v="L1188/89"/>
    <x v="43"/>
    <m/>
    <m/>
    <m/>
    <n v="0"/>
    <m/>
    <m/>
  </r>
  <r>
    <n v="3195"/>
    <x v="40"/>
    <s v="Day"/>
    <x v="0"/>
    <n v="2000717859"/>
    <n v="658"/>
    <n v="533"/>
    <n v="0"/>
    <s v="U27723"/>
    <s v="L1188/89"/>
    <x v="43"/>
    <m/>
    <m/>
    <m/>
    <n v="0"/>
    <m/>
    <m/>
  </r>
  <r>
    <n v="3196"/>
    <x v="40"/>
    <s v="Day"/>
    <x v="0"/>
    <n v="2000718569"/>
    <n v="760"/>
    <n v="40"/>
    <n v="0"/>
    <s v="U27723"/>
    <s v="L1188/89"/>
    <x v="0"/>
    <m/>
    <m/>
    <m/>
    <n v="0"/>
    <m/>
    <m/>
  </r>
  <r>
    <n v="3197"/>
    <x v="40"/>
    <s v="Day"/>
    <x v="0"/>
    <n v="2000713138"/>
    <n v="446"/>
    <n v="7"/>
    <n v="0"/>
    <s v="U27723"/>
    <s v="L1188/89"/>
    <x v="0"/>
    <m/>
    <m/>
    <m/>
    <n v="0"/>
    <m/>
    <m/>
  </r>
  <r>
    <n v="3198"/>
    <x v="40"/>
    <s v="Day"/>
    <x v="0"/>
    <n v="2000718547"/>
    <n v="446"/>
    <n v="120"/>
    <n v="0"/>
    <s v="U27723"/>
    <s v="L1188/89"/>
    <x v="16"/>
    <m/>
    <m/>
    <m/>
    <n v="0"/>
    <m/>
    <m/>
  </r>
  <r>
    <n v="3199"/>
    <x v="40"/>
    <s v="Day"/>
    <x v="0"/>
    <n v="2000715224"/>
    <n v="2460"/>
    <n v="315"/>
    <n v="0"/>
    <s v="U18660"/>
    <s v="L1209/10"/>
    <x v="196"/>
    <m/>
    <m/>
    <m/>
    <n v="0"/>
    <m/>
    <m/>
  </r>
  <r>
    <n v="3200"/>
    <x v="40"/>
    <s v="Day"/>
    <x v="0"/>
    <n v="2000717737"/>
    <n v="620"/>
    <n v="270"/>
    <n v="0"/>
    <s v="U18660"/>
    <s v="L1193/94"/>
    <x v="21"/>
    <m/>
    <m/>
    <m/>
    <n v="0"/>
    <m/>
    <m/>
  </r>
  <r>
    <n v="3201"/>
    <x v="40"/>
    <s v="Day"/>
    <x v="0"/>
    <n v="2000715224"/>
    <n v="2460"/>
    <n v="495"/>
    <n v="0"/>
    <s v="U29686"/>
    <s v="L1209/10"/>
    <x v="196"/>
    <m/>
    <m/>
    <m/>
    <n v="0"/>
    <m/>
    <m/>
  </r>
  <r>
    <n v="3202"/>
    <x v="40"/>
    <s v="Day"/>
    <x v="0"/>
    <n v="2000714121"/>
    <n v="1530"/>
    <n v="45"/>
    <n v="0"/>
    <s v="U29686"/>
    <s v="L1209/10"/>
    <x v="196"/>
    <m/>
    <m/>
    <m/>
    <n v="0"/>
    <m/>
    <m/>
  </r>
  <r>
    <n v="3203"/>
    <x v="40"/>
    <s v="Day"/>
    <x v="0"/>
    <n v="2000715224"/>
    <n v="2460"/>
    <n v="180"/>
    <n v="0"/>
    <s v="U29686"/>
    <s v="L1209/10"/>
    <x v="196"/>
    <m/>
    <m/>
    <m/>
    <n v="0"/>
    <m/>
    <m/>
  </r>
  <r>
    <n v="3204"/>
    <x v="40"/>
    <s v="Day"/>
    <x v="0"/>
    <n v="2000717253"/>
    <n v="1224"/>
    <n v="235"/>
    <n v="0"/>
    <s v="U07492"/>
    <s v="L1151/52"/>
    <x v="167"/>
    <m/>
    <m/>
    <m/>
    <n v="0"/>
    <m/>
    <m/>
  </r>
  <r>
    <n v="3205"/>
    <x v="40"/>
    <s v="Day"/>
    <x v="0"/>
    <n v="2000718569"/>
    <n v="760"/>
    <n v="400"/>
    <n v="0"/>
    <s v="U07492"/>
    <s v="L1188/89"/>
    <x v="0"/>
    <m/>
    <m/>
    <m/>
    <n v="0"/>
    <m/>
    <m/>
  </r>
  <r>
    <n v="3206"/>
    <x v="40"/>
    <s v="Day"/>
    <x v="0"/>
    <n v="2000718547"/>
    <n v="446"/>
    <n v="80"/>
    <n v="0"/>
    <s v="U07492"/>
    <s v="L1188/89"/>
    <x v="16"/>
    <m/>
    <m/>
    <m/>
    <n v="0"/>
    <m/>
    <m/>
  </r>
  <r>
    <n v="3207"/>
    <x v="40"/>
    <s v="Day"/>
    <x v="0"/>
    <n v="2000716725"/>
    <n v="2808"/>
    <n v="800"/>
    <n v="0"/>
    <s v="U03968"/>
    <s v="L1184"/>
    <x v="245"/>
    <m/>
    <m/>
    <m/>
    <n v="0"/>
    <m/>
    <m/>
  </r>
  <r>
    <n v="3208"/>
    <x v="40"/>
    <s v="Day"/>
    <x v="0"/>
    <n v="2000718338"/>
    <n v="140"/>
    <n v="20"/>
    <n v="0"/>
    <s v="U03968"/>
    <s v="L1105"/>
    <x v="151"/>
    <m/>
    <m/>
    <m/>
    <n v="0"/>
    <m/>
    <m/>
  </r>
  <r>
    <n v="3209"/>
    <x v="40"/>
    <s v="Day"/>
    <x v="0"/>
    <n v="2000718337"/>
    <n v="140"/>
    <n v="20"/>
    <n v="0"/>
    <s v="U03968"/>
    <s v="L1105"/>
    <x v="150"/>
    <m/>
    <m/>
    <m/>
    <n v="0"/>
    <m/>
    <m/>
  </r>
  <r>
    <n v="3210"/>
    <x v="40"/>
    <s v="Day"/>
    <x v="0"/>
    <n v="2000718336"/>
    <n v="140"/>
    <n v="20"/>
    <n v="0"/>
    <s v="U03968"/>
    <s v="L1105"/>
    <x v="149"/>
    <m/>
    <m/>
    <m/>
    <n v="0"/>
    <m/>
    <m/>
  </r>
  <r>
    <n v="3211"/>
    <x v="40"/>
    <s v="Day"/>
    <x v="0"/>
    <n v="2000716726"/>
    <n v="1660"/>
    <n v="160"/>
    <n v="0"/>
    <s v="U03968"/>
    <s v="L1151/52"/>
    <x v="185"/>
    <m/>
    <m/>
    <m/>
    <n v="0"/>
    <m/>
    <m/>
  </r>
  <r>
    <n v="3212"/>
    <x v="40"/>
    <s v="Day"/>
    <x v="0"/>
    <n v="2000717504"/>
    <n v="1300"/>
    <n v="150"/>
    <n v="0"/>
    <s v="U03968"/>
    <s v="L1144/47"/>
    <x v="13"/>
    <m/>
    <m/>
    <m/>
    <n v="0"/>
    <m/>
    <m/>
  </r>
  <r>
    <n v="3213"/>
    <x v="40"/>
    <s v="Day"/>
    <x v="0"/>
    <n v="2000716731"/>
    <n v="1800"/>
    <n v="400"/>
    <n v="0"/>
    <s v="U03968"/>
    <s v="L1151/52"/>
    <x v="85"/>
    <m/>
    <m/>
    <m/>
    <n v="0"/>
    <m/>
    <m/>
  </r>
  <r>
    <n v="3214"/>
    <x v="40"/>
    <s v="Day"/>
    <x v="0"/>
    <n v="2000717756"/>
    <n v="2300"/>
    <n v="150"/>
    <n v="0"/>
    <s v="U03968"/>
    <s v="L1144/47"/>
    <x v="77"/>
    <m/>
    <m/>
    <m/>
    <n v="0"/>
    <m/>
    <m/>
  </r>
  <r>
    <n v="3215"/>
    <x v="40"/>
    <s v="Day"/>
    <x v="0"/>
    <n v="2000717625"/>
    <n v="2400"/>
    <n v="200"/>
    <n v="0"/>
    <s v="U03968"/>
    <s v="L1144/47"/>
    <x v="92"/>
    <m/>
    <m/>
    <m/>
    <n v="0"/>
    <m/>
    <m/>
  </r>
  <r>
    <n v="3216"/>
    <x v="40"/>
    <s v="Day"/>
    <x v="0"/>
    <n v="2000717743"/>
    <n v="1700"/>
    <n v="200"/>
    <n v="0"/>
    <s v="U03968"/>
    <s v="L1174/75"/>
    <x v="62"/>
    <m/>
    <m/>
    <m/>
    <n v="0"/>
    <m/>
    <m/>
  </r>
  <r>
    <n v="3217"/>
    <x v="40"/>
    <s v="Day"/>
    <x v="0"/>
    <n v="2000717642"/>
    <n v="2128"/>
    <n v="425"/>
    <n v="0"/>
    <s v="U30500"/>
    <s v="L1151/52"/>
    <x v="173"/>
    <m/>
    <m/>
    <m/>
    <n v="0"/>
    <m/>
    <m/>
  </r>
  <r>
    <n v="3218"/>
    <x v="40"/>
    <s v="Day"/>
    <x v="0"/>
    <n v="2000716726"/>
    <n v="1660"/>
    <n v="175"/>
    <n v="0"/>
    <s v="U30500"/>
    <s v="L1151/52"/>
    <x v="185"/>
    <m/>
    <m/>
    <m/>
    <n v="0"/>
    <m/>
    <m/>
  </r>
  <r>
    <n v="3219"/>
    <x v="40"/>
    <s v="Day"/>
    <x v="0"/>
    <n v="2000716731"/>
    <n v="1800"/>
    <n v="440"/>
    <n v="0"/>
    <s v="U30500"/>
    <s v="L1151/52"/>
    <x v="85"/>
    <m/>
    <m/>
    <m/>
    <n v="0"/>
    <m/>
    <m/>
  </r>
  <r>
    <n v="3220"/>
    <x v="40"/>
    <s v="Day"/>
    <x v="1"/>
    <n v="2000717028"/>
    <n v="700"/>
    <n v="180"/>
    <n v="0"/>
    <s v="U15759"/>
    <s v="PSHV"/>
    <x v="223"/>
    <m/>
    <m/>
    <m/>
    <n v="0"/>
    <m/>
    <m/>
  </r>
  <r>
    <n v="3221"/>
    <x v="40"/>
    <s v="Day"/>
    <x v="1"/>
    <n v="2000717703"/>
    <n v="650"/>
    <n v="105"/>
    <n v="0"/>
    <s v="U15759"/>
    <s v="SHANKS"/>
    <x v="24"/>
    <m/>
    <m/>
    <m/>
    <n v="0"/>
    <m/>
    <m/>
  </r>
  <r>
    <n v="3222"/>
    <x v="40"/>
    <s v="Day"/>
    <x v="1"/>
    <n v="2000718014"/>
    <n v="480"/>
    <n v="240"/>
    <n v="0"/>
    <s v="U15759"/>
    <s v="FLORA"/>
    <x v="28"/>
    <m/>
    <m/>
    <m/>
    <n v="0"/>
    <m/>
    <m/>
  </r>
  <r>
    <n v="3223"/>
    <x v="40"/>
    <s v="Day"/>
    <x v="1"/>
    <n v="2000717693"/>
    <n v="130"/>
    <n v="75"/>
    <n v="0"/>
    <s v="U15759"/>
    <s v="PSLV"/>
    <x v="200"/>
    <m/>
    <m/>
    <m/>
    <n v="0"/>
    <m/>
    <m/>
  </r>
  <r>
    <n v="3224"/>
    <x v="40"/>
    <s v="Day"/>
    <x v="1"/>
    <n v="2000718015"/>
    <n v="300"/>
    <n v="80"/>
    <n v="0"/>
    <s v="U15759"/>
    <s v="PSHV"/>
    <x v="121"/>
    <m/>
    <m/>
    <m/>
    <n v="0"/>
    <m/>
    <m/>
  </r>
  <r>
    <n v="3225"/>
    <x v="40"/>
    <s v="Night"/>
    <x v="0"/>
    <n v="2000718323"/>
    <n v="680"/>
    <n v="519"/>
    <n v="0"/>
    <s v="U27724"/>
    <s v="L1188/89"/>
    <x v="72"/>
    <m/>
    <m/>
    <m/>
    <n v="0"/>
    <m/>
    <m/>
  </r>
  <r>
    <n v="3226"/>
    <x v="40"/>
    <s v="Night"/>
    <x v="0"/>
    <n v="2000717872"/>
    <n v="540"/>
    <n v="40"/>
    <n v="0"/>
    <s v="U27724"/>
    <s v="L1188/89"/>
    <x v="130"/>
    <m/>
    <m/>
    <m/>
    <n v="0"/>
    <m/>
    <m/>
  </r>
  <r>
    <n v="3227"/>
    <x v="40"/>
    <s v="Night"/>
    <x v="0"/>
    <n v="2000717645"/>
    <n v="540"/>
    <n v="180"/>
    <n v="1"/>
    <s v="U27724"/>
    <s v="L1188/89"/>
    <x v="17"/>
    <s v="Nối chân,cực"/>
    <m/>
    <s v="J908"/>
    <n v="1"/>
    <s v="\\vn-file\QC Department\4.OQC\00. OQC Performance\03. Images\01. NG\20210313-NG-0622717645.jpg"/>
    <s v="\\vn-file\QC Department\4.OQC\00. OQC Performance\03. Images\02. OK\20210313-OK-0622717645.jpg"/>
  </r>
  <r>
    <n v="3228"/>
    <x v="40"/>
    <s v="Night"/>
    <x v="0"/>
    <n v="2000710519"/>
    <n v="390"/>
    <n v="38"/>
    <n v="0"/>
    <s v="U31065"/>
    <s v="L1193/94"/>
    <x v="192"/>
    <m/>
    <m/>
    <m/>
    <n v="0"/>
    <m/>
    <m/>
  </r>
  <r>
    <n v="3229"/>
    <x v="40"/>
    <s v="Night"/>
    <x v="0"/>
    <n v="2000717738"/>
    <n v="780"/>
    <n v="450"/>
    <n v="0"/>
    <s v="U31065"/>
    <s v="L1193/94"/>
    <x v="104"/>
    <m/>
    <m/>
    <m/>
    <n v="0"/>
    <m/>
    <m/>
  </r>
  <r>
    <n v="3230"/>
    <x v="40"/>
    <s v="Night"/>
    <x v="0"/>
    <n v="2000717492"/>
    <n v="320"/>
    <n v="25"/>
    <n v="0"/>
    <s v="U31065"/>
    <s v="L1151/52"/>
    <x v="154"/>
    <m/>
    <m/>
    <m/>
    <n v="0"/>
    <m/>
    <m/>
  </r>
  <r>
    <n v="3231"/>
    <x v="40"/>
    <s v="Night"/>
    <x v="0"/>
    <n v="2000717737"/>
    <n v="620"/>
    <n v="17"/>
    <n v="0"/>
    <s v="U31065"/>
    <s v="L1193/94"/>
    <x v="21"/>
    <m/>
    <m/>
    <m/>
    <n v="0"/>
    <m/>
    <m/>
  </r>
  <r>
    <n v="3232"/>
    <x v="40"/>
    <s v="Night"/>
    <x v="0"/>
    <n v="2000717622"/>
    <n v="700"/>
    <n v="30"/>
    <n v="0"/>
    <s v="U31065"/>
    <s v="L1193/94"/>
    <x v="116"/>
    <m/>
    <m/>
    <m/>
    <n v="0"/>
    <m/>
    <m/>
  </r>
  <r>
    <n v="3233"/>
    <x v="40"/>
    <s v="Night"/>
    <x v="0"/>
    <n v="2000715224"/>
    <n v="2460"/>
    <n v="120"/>
    <n v="0"/>
    <s v="U23987"/>
    <s v="L1209/10"/>
    <x v="196"/>
    <m/>
    <m/>
    <m/>
    <n v="0"/>
    <m/>
    <m/>
  </r>
  <r>
    <n v="3234"/>
    <x v="40"/>
    <s v="Night"/>
    <x v="0"/>
    <n v="2000716482"/>
    <n v="1800"/>
    <n v="585"/>
    <n v="0"/>
    <s v="U23987"/>
    <s v="L1209/10"/>
    <x v="68"/>
    <m/>
    <m/>
    <m/>
    <n v="0"/>
    <m/>
    <m/>
  </r>
  <r>
    <n v="3235"/>
    <x v="40"/>
    <s v="Night"/>
    <x v="0"/>
    <n v="2000716731"/>
    <n v="1800"/>
    <n v="720"/>
    <n v="0"/>
    <s v="U26613"/>
    <s v="L1151/52"/>
    <x v="85"/>
    <m/>
    <m/>
    <m/>
    <n v="0"/>
    <m/>
    <m/>
  </r>
  <r>
    <n v="3236"/>
    <x v="40"/>
    <s v="Night"/>
    <x v="0"/>
    <n v="2000717757"/>
    <n v="2300"/>
    <n v="150"/>
    <n v="0"/>
    <s v="U26613"/>
    <s v="L1144/47"/>
    <x v="13"/>
    <m/>
    <m/>
    <m/>
    <n v="0"/>
    <m/>
    <m/>
  </r>
  <r>
    <n v="3237"/>
    <x v="40"/>
    <s v="Night"/>
    <x v="0"/>
    <n v="2000717718"/>
    <n v="4230"/>
    <n v="300"/>
    <n v="0"/>
    <s v="U26613"/>
    <s v="T515"/>
    <x v="15"/>
    <m/>
    <m/>
    <m/>
    <n v="0"/>
    <m/>
    <m/>
  </r>
  <r>
    <n v="3238"/>
    <x v="40"/>
    <s v="Night"/>
    <x v="0"/>
    <n v="2000717744"/>
    <n v="1000"/>
    <n v="300"/>
    <n v="0"/>
    <s v="U26613"/>
    <s v="L1174/75"/>
    <x v="62"/>
    <m/>
    <m/>
    <m/>
    <n v="0"/>
    <m/>
    <m/>
  </r>
  <r>
    <n v="3239"/>
    <x v="40"/>
    <s v="Night"/>
    <x v="0"/>
    <n v="2000717719"/>
    <n v="7830"/>
    <n v="300"/>
    <n v="0"/>
    <s v="U26613"/>
    <s v="L1112/13"/>
    <x v="75"/>
    <m/>
    <m/>
    <m/>
    <n v="0"/>
    <m/>
    <m/>
  </r>
  <r>
    <n v="3240"/>
    <x v="40"/>
    <s v="Night"/>
    <x v="0"/>
    <n v="2000717642"/>
    <n v="2128"/>
    <n v="140"/>
    <n v="0"/>
    <s v="U26613"/>
    <s v="L1151/52"/>
    <x v="173"/>
    <m/>
    <m/>
    <m/>
    <n v="0"/>
    <m/>
    <m/>
  </r>
  <r>
    <n v="3241"/>
    <x v="40"/>
    <s v="Night"/>
    <x v="0"/>
    <n v="2000716846"/>
    <n v="1040"/>
    <n v="80"/>
    <n v="0"/>
    <s v="U09854"/>
    <s v="L1077"/>
    <x v="2"/>
    <m/>
    <m/>
    <m/>
    <n v="0"/>
    <m/>
    <m/>
  </r>
  <r>
    <n v="3242"/>
    <x v="40"/>
    <s v="Night"/>
    <x v="0"/>
    <n v="2000717732"/>
    <n v="1000"/>
    <n v="20"/>
    <n v="0"/>
    <s v="U09854"/>
    <s v="L1077"/>
    <x v="2"/>
    <m/>
    <m/>
    <m/>
    <n v="0"/>
    <m/>
    <m/>
  </r>
  <r>
    <n v="3243"/>
    <x v="40"/>
    <s v="Night"/>
    <x v="0"/>
    <n v="2000718237"/>
    <n v="40"/>
    <n v="20"/>
    <n v="0"/>
    <s v="U09854"/>
    <s v="L1144/47"/>
    <x v="170"/>
    <m/>
    <m/>
    <m/>
    <n v="0"/>
    <m/>
    <m/>
  </r>
  <r>
    <n v="3244"/>
    <x v="40"/>
    <s v="Night"/>
    <x v="0"/>
    <n v="2000718238"/>
    <n v="720"/>
    <n v="80"/>
    <n v="0"/>
    <s v="U09854"/>
    <s v="L1144/47"/>
    <x v="88"/>
    <m/>
    <m/>
    <m/>
    <n v="0"/>
    <m/>
    <m/>
  </r>
  <r>
    <n v="3245"/>
    <x v="40"/>
    <s v="Night"/>
    <x v="0"/>
    <n v="2000717873"/>
    <n v="1110"/>
    <n v="90"/>
    <n v="0"/>
    <s v="U09854"/>
    <s v="L1172/73"/>
    <x v="18"/>
    <m/>
    <m/>
    <m/>
    <n v="0"/>
    <m/>
    <m/>
  </r>
  <r>
    <n v="3246"/>
    <x v="40"/>
    <s v="Night"/>
    <x v="0"/>
    <n v="2000718186"/>
    <n v="280"/>
    <n v="80"/>
    <n v="0"/>
    <s v="U09854"/>
    <s v="L1172/73"/>
    <x v="145"/>
    <m/>
    <m/>
    <m/>
    <n v="0"/>
    <m/>
    <m/>
  </r>
  <r>
    <n v="3247"/>
    <x v="40"/>
    <s v="Night"/>
    <x v="0"/>
    <n v="2000717710"/>
    <n v="3200"/>
    <n v="160"/>
    <n v="0"/>
    <s v="U09854"/>
    <s v="L1112/13"/>
    <x v="8"/>
    <m/>
    <m/>
    <m/>
    <n v="0"/>
    <m/>
    <m/>
  </r>
  <r>
    <n v="3248"/>
    <x v="40"/>
    <s v="Night"/>
    <x v="0"/>
    <n v="2000717244"/>
    <n v="3993"/>
    <n v="240"/>
    <n v="0"/>
    <s v="U09854"/>
    <s v="L1168/69"/>
    <x v="37"/>
    <m/>
    <m/>
    <m/>
    <n v="0"/>
    <m/>
    <m/>
  </r>
  <r>
    <n v="3249"/>
    <x v="40"/>
    <s v="Night"/>
    <x v="0"/>
    <n v="2000715800"/>
    <n v="20"/>
    <n v="20"/>
    <n v="0"/>
    <s v="U09854"/>
    <s v="L1144/47"/>
    <x v="170"/>
    <m/>
    <m/>
    <m/>
    <n v="0"/>
    <m/>
    <m/>
  </r>
  <r>
    <n v="3250"/>
    <x v="40"/>
    <s v="Night"/>
    <x v="0"/>
    <n v="2000718236"/>
    <n v="180"/>
    <n v="20"/>
    <n v="0"/>
    <s v="U09854"/>
    <s v="L1144/47"/>
    <x v="58"/>
    <m/>
    <m/>
    <m/>
    <n v="0"/>
    <m/>
    <m/>
  </r>
  <r>
    <n v="3251"/>
    <x v="40"/>
    <s v="Night"/>
    <x v="0"/>
    <n v="2000718323"/>
    <n v="680"/>
    <n v="40"/>
    <n v="0"/>
    <s v="U36008"/>
    <s v="L1188/89"/>
    <x v="72"/>
    <m/>
    <m/>
    <m/>
    <n v="0"/>
    <m/>
    <m/>
  </r>
  <r>
    <n v="3252"/>
    <x v="40"/>
    <s v="Night"/>
    <x v="0"/>
    <n v="2000718547"/>
    <n v="446"/>
    <n v="245"/>
    <n v="0"/>
    <s v="U36008"/>
    <s v="L1188/89"/>
    <x v="16"/>
    <m/>
    <m/>
    <m/>
    <n v="0"/>
    <m/>
    <m/>
  </r>
  <r>
    <n v="3253"/>
    <x v="40"/>
    <s v="Night"/>
    <x v="0"/>
    <n v="2000717872"/>
    <n v="540"/>
    <n v="280"/>
    <n v="0"/>
    <s v="U36008"/>
    <s v="L1188/89"/>
    <x v="130"/>
    <m/>
    <m/>
    <m/>
    <n v="0"/>
    <m/>
    <m/>
  </r>
  <r>
    <n v="3254"/>
    <x v="40"/>
    <s v="Night"/>
    <x v="1"/>
    <n v="2000717028"/>
    <n v="700"/>
    <n v="160"/>
    <n v="0"/>
    <s v="U30119"/>
    <s v="PSHV"/>
    <x v="223"/>
    <m/>
    <m/>
    <m/>
    <n v="0"/>
    <m/>
    <m/>
  </r>
  <r>
    <n v="3255"/>
    <x v="40"/>
    <s v="Night"/>
    <x v="1"/>
    <n v="2000718025"/>
    <n v="360"/>
    <n v="360"/>
    <n v="0"/>
    <s v="U30119"/>
    <s v="BORUTO"/>
    <x v="111"/>
    <m/>
    <m/>
    <m/>
    <n v="0"/>
    <m/>
    <m/>
  </r>
  <r>
    <n v="3256"/>
    <x v="40"/>
    <s v="Night"/>
    <x v="1"/>
    <n v="2000718014"/>
    <n v="480"/>
    <n v="90"/>
    <n v="0"/>
    <s v="U30119"/>
    <s v="FLORA"/>
    <x v="28"/>
    <m/>
    <m/>
    <m/>
    <n v="0"/>
    <m/>
    <m/>
  </r>
  <r>
    <n v="3257"/>
    <x v="40"/>
    <s v="Night"/>
    <x v="1"/>
    <n v="2000718020"/>
    <n v="400"/>
    <n v="250"/>
    <n v="0"/>
    <s v="U30119"/>
    <s v="FLORA"/>
    <x v="28"/>
    <m/>
    <m/>
    <m/>
    <n v="0"/>
    <m/>
    <m/>
  </r>
  <r>
    <n v="3258"/>
    <x v="40"/>
    <s v="Night"/>
    <x v="1"/>
    <n v="2000717693"/>
    <n v="130"/>
    <n v="54"/>
    <n v="0"/>
    <s v="U30119"/>
    <s v="PSLV"/>
    <x v="200"/>
    <m/>
    <m/>
    <m/>
    <n v="0"/>
    <m/>
    <m/>
  </r>
  <r>
    <n v="3259"/>
    <x v="40"/>
    <s v="Night"/>
    <x v="1"/>
    <n v="2000716866"/>
    <n v="90"/>
    <n v="20"/>
    <n v="0"/>
    <s v="U30119"/>
    <s v="PSLV"/>
    <x v="135"/>
    <m/>
    <m/>
    <m/>
    <n v="0"/>
    <m/>
    <m/>
  </r>
  <r>
    <n v="3260"/>
    <x v="40"/>
    <s v="Night"/>
    <x v="1"/>
    <n v="2000718015"/>
    <n v="300"/>
    <n v="140"/>
    <n v="0"/>
    <s v="U30119"/>
    <s v="PSHV"/>
    <x v="121"/>
    <m/>
    <m/>
    <m/>
    <n v="0"/>
    <m/>
    <m/>
  </r>
  <r>
    <n v="3261"/>
    <x v="40"/>
    <s v="Night"/>
    <x v="1"/>
    <n v="2000718016"/>
    <n v="700"/>
    <n v="90"/>
    <n v="0"/>
    <s v="U30119"/>
    <s v="PSHV"/>
    <x v="25"/>
    <m/>
    <m/>
    <m/>
    <n v="0"/>
    <m/>
    <m/>
  </r>
  <r>
    <n v="3262"/>
    <x v="40"/>
    <s v="Night"/>
    <x v="1"/>
    <n v="2000718026"/>
    <n v="600"/>
    <n v="360"/>
    <n v="0"/>
    <s v="U30119"/>
    <s v="BORUTO"/>
    <x v="107"/>
    <m/>
    <m/>
    <m/>
    <n v="0"/>
    <m/>
    <m/>
  </r>
  <r>
    <n v="3263"/>
    <x v="41"/>
    <s v="Day"/>
    <x v="0"/>
    <n v="2000717755"/>
    <n v="2300"/>
    <n v="200"/>
    <n v="0"/>
    <s v="U03968"/>
    <s v="L1144/47"/>
    <x v="92"/>
    <m/>
    <m/>
    <m/>
    <n v="0"/>
    <m/>
    <m/>
  </r>
  <r>
    <n v="3264"/>
    <x v="41"/>
    <s v="Day"/>
    <x v="0"/>
    <n v="2000717721"/>
    <n v="3000"/>
    <n v="200"/>
    <n v="0"/>
    <s v="U03968"/>
    <s v="L1174/75"/>
    <x v="66"/>
    <m/>
    <m/>
    <m/>
    <n v="0"/>
    <m/>
    <m/>
  </r>
  <r>
    <n v="3265"/>
    <x v="41"/>
    <s v="Day"/>
    <x v="0"/>
    <n v="2000717640"/>
    <n v="1040"/>
    <n v="150"/>
    <n v="0"/>
    <s v="U03968"/>
    <s v="L1182"/>
    <x v="124"/>
    <m/>
    <m/>
    <m/>
    <n v="0"/>
    <m/>
    <m/>
  </r>
  <r>
    <n v="3266"/>
    <x v="41"/>
    <s v="Day"/>
    <x v="0"/>
    <n v="2000716731"/>
    <n v="1800"/>
    <n v="200"/>
    <n v="0"/>
    <s v="U03968"/>
    <s v="L1151/52"/>
    <x v="85"/>
    <m/>
    <m/>
    <m/>
    <n v="0"/>
    <m/>
    <m/>
  </r>
  <r>
    <n v="3267"/>
    <x v="41"/>
    <s v="Day"/>
    <x v="0"/>
    <n v="2000717254"/>
    <n v="1800"/>
    <n v="600"/>
    <n v="0"/>
    <s v="U03968"/>
    <s v="L1151/52"/>
    <x v="85"/>
    <m/>
    <m/>
    <m/>
    <n v="0"/>
    <m/>
    <m/>
  </r>
  <r>
    <n v="3268"/>
    <x v="41"/>
    <s v="Day"/>
    <x v="0"/>
    <n v="2000716842"/>
    <n v="1040"/>
    <n v="150"/>
    <n v="0"/>
    <s v="U03968"/>
    <s v="L1077"/>
    <x v="10"/>
    <m/>
    <m/>
    <m/>
    <n v="0"/>
    <m/>
    <m/>
  </r>
  <r>
    <n v="3269"/>
    <x v="41"/>
    <s v="Day"/>
    <x v="0"/>
    <n v="2000717627"/>
    <n v="2400"/>
    <n v="150"/>
    <n v="0"/>
    <s v="U03968"/>
    <s v="L1144/47"/>
    <x v="13"/>
    <m/>
    <m/>
    <m/>
    <n v="0"/>
    <m/>
    <m/>
  </r>
  <r>
    <n v="3270"/>
    <x v="41"/>
    <s v="Day"/>
    <x v="0"/>
    <n v="2000717626"/>
    <n v="2400"/>
    <n v="150"/>
    <n v="0"/>
    <s v="U03968"/>
    <s v="L1144/47"/>
    <x v="77"/>
    <m/>
    <m/>
    <m/>
    <n v="0"/>
    <m/>
    <m/>
  </r>
  <r>
    <n v="3271"/>
    <x v="41"/>
    <s v="Day"/>
    <x v="0"/>
    <n v="2000717872"/>
    <n v="540"/>
    <n v="180"/>
    <n v="0"/>
    <s v="U27723"/>
    <s v="L1188/89"/>
    <x v="130"/>
    <m/>
    <m/>
    <m/>
    <n v="0"/>
    <m/>
    <m/>
  </r>
  <r>
    <n v="3272"/>
    <x v="41"/>
    <s v="Day"/>
    <x v="0"/>
    <n v="2000718569"/>
    <n v="760"/>
    <n v="1"/>
    <n v="0"/>
    <s v="U27723"/>
    <s v="L1188/89"/>
    <x v="0"/>
    <m/>
    <m/>
    <m/>
    <n v="0"/>
    <m/>
    <m/>
  </r>
  <r>
    <n v="3273"/>
    <x v="41"/>
    <s v="Day"/>
    <x v="0"/>
    <n v="2000717860"/>
    <n v="1000"/>
    <n v="440"/>
    <n v="0"/>
    <s v="U27723"/>
    <s v="L1188/89"/>
    <x v="17"/>
    <m/>
    <m/>
    <m/>
    <n v="0"/>
    <m/>
    <m/>
  </r>
  <r>
    <n v="3274"/>
    <x v="41"/>
    <s v="Day"/>
    <x v="0"/>
    <n v="2000715705"/>
    <n v="470"/>
    <n v="80"/>
    <n v="0"/>
    <s v="U27723"/>
    <s v="L1174/75"/>
    <x v="40"/>
    <m/>
    <m/>
    <m/>
    <n v="0"/>
    <m/>
    <m/>
  </r>
  <r>
    <n v="3275"/>
    <x v="41"/>
    <s v="Day"/>
    <x v="0"/>
    <n v="2000718249"/>
    <n v="1200"/>
    <n v="30"/>
    <n v="0"/>
    <s v="U27723"/>
    <s v="L1144/47"/>
    <x v="120"/>
    <m/>
    <m/>
    <m/>
    <n v="0"/>
    <m/>
    <m/>
  </r>
  <r>
    <n v="3276"/>
    <x v="41"/>
    <s v="Day"/>
    <x v="0"/>
    <n v="2000717642"/>
    <n v="2128"/>
    <n v="710"/>
    <n v="0"/>
    <s v="U07492"/>
    <s v="L1151/52"/>
    <x v="173"/>
    <m/>
    <m/>
    <m/>
    <n v="0"/>
    <m/>
    <m/>
  </r>
  <r>
    <n v="3277"/>
    <x v="41"/>
    <s v="Day"/>
    <x v="0"/>
    <n v="2000715193"/>
    <n v="1680"/>
    <n v="240"/>
    <n v="0"/>
    <s v="U07492"/>
    <s v="L1193/94"/>
    <x v="30"/>
    <m/>
    <m/>
    <m/>
    <n v="0"/>
    <m/>
    <m/>
  </r>
  <r>
    <n v="3278"/>
    <x v="41"/>
    <s v="Day"/>
    <x v="0"/>
    <n v="2000717861"/>
    <n v="760"/>
    <n v="200"/>
    <n v="0"/>
    <s v="U07492"/>
    <s v="L1188/89"/>
    <x v="0"/>
    <m/>
    <m/>
    <m/>
    <n v="0"/>
    <m/>
    <m/>
  </r>
  <r>
    <n v="3279"/>
    <x v="41"/>
    <s v="Day"/>
    <x v="0"/>
    <n v="2000717860"/>
    <n v="1000"/>
    <n v="80"/>
    <n v="0"/>
    <s v="U27687"/>
    <s v="L1188/89"/>
    <x v="17"/>
    <m/>
    <m/>
    <m/>
    <n v="0"/>
    <m/>
    <m/>
  </r>
  <r>
    <n v="3280"/>
    <x v="41"/>
    <s v="Day"/>
    <x v="0"/>
    <n v="2000718259"/>
    <n v="2400"/>
    <n v="120"/>
    <n v="0"/>
    <s v="U27687"/>
    <s v="L1144/47"/>
    <x v="59"/>
    <m/>
    <m/>
    <m/>
    <n v="0"/>
    <m/>
    <m/>
  </r>
  <r>
    <n v="3281"/>
    <x v="41"/>
    <s v="Day"/>
    <x v="0"/>
    <n v="2000718203"/>
    <n v="2300"/>
    <n v="60"/>
    <n v="0"/>
    <s v="U27687"/>
    <s v="L1174/75"/>
    <x v="3"/>
    <m/>
    <m/>
    <m/>
    <n v="0"/>
    <m/>
    <m/>
  </r>
  <r>
    <n v="3282"/>
    <x v="41"/>
    <s v="Day"/>
    <x v="0"/>
    <n v="2000717645"/>
    <n v="540"/>
    <n v="20"/>
    <n v="0"/>
    <s v="U27687"/>
    <s v="L1188/89"/>
    <x v="17"/>
    <m/>
    <m/>
    <m/>
    <n v="0"/>
    <m/>
    <m/>
  </r>
  <r>
    <n v="3283"/>
    <x v="41"/>
    <s v="Day"/>
    <x v="0"/>
    <n v="2000718339"/>
    <n v="140"/>
    <n v="20"/>
    <n v="0"/>
    <s v="U27687"/>
    <s v="L1105/06"/>
    <x v="126"/>
    <m/>
    <m/>
    <m/>
    <n v="0"/>
    <m/>
    <m/>
  </r>
  <r>
    <n v="3284"/>
    <x v="41"/>
    <s v="Day"/>
    <x v="0"/>
    <n v="2000717732"/>
    <n v="1000"/>
    <n v="60"/>
    <n v="0"/>
    <s v="U27687"/>
    <s v="L1077"/>
    <x v="2"/>
    <m/>
    <m/>
    <m/>
    <n v="0"/>
    <m/>
    <m/>
  </r>
  <r>
    <n v="3285"/>
    <x v="41"/>
    <s v="Day"/>
    <x v="0"/>
    <n v="2000718287"/>
    <n v="2368"/>
    <n v="120"/>
    <n v="0"/>
    <s v="U27687"/>
    <s v="L1128/29"/>
    <x v="11"/>
    <m/>
    <m/>
    <m/>
    <n v="0"/>
    <m/>
    <m/>
  </r>
  <r>
    <n v="3286"/>
    <x v="41"/>
    <s v="Day"/>
    <x v="0"/>
    <n v="2000717725"/>
    <n v="900"/>
    <n v="80"/>
    <n v="0"/>
    <s v="U27687"/>
    <s v="L1172/73"/>
    <x v="83"/>
    <m/>
    <m/>
    <m/>
    <n v="0"/>
    <m/>
    <m/>
  </r>
  <r>
    <n v="3287"/>
    <x v="41"/>
    <s v="Day"/>
    <x v="0"/>
    <n v="2000717872"/>
    <n v="540"/>
    <n v="40"/>
    <n v="0"/>
    <s v="U27687"/>
    <s v="L1188/89"/>
    <x v="130"/>
    <m/>
    <m/>
    <m/>
    <n v="0"/>
    <m/>
    <m/>
  </r>
  <r>
    <n v="3288"/>
    <x v="41"/>
    <s v="Day"/>
    <x v="0"/>
    <n v="2000716482"/>
    <n v="1800"/>
    <n v="450"/>
    <n v="0"/>
    <s v="U29686"/>
    <s v="L1209/10"/>
    <x v="68"/>
    <m/>
    <m/>
    <m/>
    <n v="0"/>
    <m/>
    <m/>
  </r>
  <r>
    <n v="3289"/>
    <x v="41"/>
    <s v="Day"/>
    <x v="0"/>
    <n v="2000716482"/>
    <n v="1800"/>
    <n v="225"/>
    <n v="0"/>
    <s v="U29686"/>
    <s v="L1209/10"/>
    <x v="68"/>
    <m/>
    <m/>
    <m/>
    <n v="0"/>
    <m/>
    <m/>
  </r>
  <r>
    <n v="3290"/>
    <x v="41"/>
    <s v="Day"/>
    <x v="0"/>
    <n v="2000715224"/>
    <n v="2460"/>
    <n v="45"/>
    <n v="0"/>
    <s v="U29686"/>
    <s v="L1209/10"/>
    <x v="196"/>
    <m/>
    <m/>
    <m/>
    <n v="0"/>
    <m/>
    <m/>
  </r>
  <r>
    <n v="3291"/>
    <x v="41"/>
    <s v="Day"/>
    <x v="0"/>
    <n v="2000716482"/>
    <n v="1800"/>
    <n v="149"/>
    <n v="0"/>
    <s v="U18660"/>
    <s v="L1209/10"/>
    <x v="68"/>
    <m/>
    <m/>
    <m/>
    <n v="0"/>
    <m/>
    <m/>
  </r>
  <r>
    <n v="3292"/>
    <x v="41"/>
    <s v="Day"/>
    <x v="0"/>
    <n v="2000717738"/>
    <n v="780"/>
    <n v="221"/>
    <n v="0"/>
    <s v="U18660"/>
    <s v="L1193/94"/>
    <x v="104"/>
    <m/>
    <m/>
    <m/>
    <n v="0"/>
    <m/>
    <m/>
  </r>
  <r>
    <n v="3293"/>
    <x v="41"/>
    <s v="Day"/>
    <x v="0"/>
    <n v="2000718170"/>
    <n v="670"/>
    <n v="170"/>
    <n v="0"/>
    <s v="U18660"/>
    <s v="L1193/94"/>
    <x v="116"/>
    <m/>
    <m/>
    <m/>
    <n v="0"/>
    <m/>
    <m/>
  </r>
  <r>
    <n v="3294"/>
    <x v="41"/>
    <s v="Day"/>
    <x v="1"/>
    <n v="2000718011"/>
    <n v="480"/>
    <n v="480"/>
    <n v="0"/>
    <s v="U15759"/>
    <s v="PSLV"/>
    <x v="29"/>
    <m/>
    <m/>
    <m/>
    <n v="0"/>
    <m/>
    <m/>
  </r>
  <r>
    <n v="3295"/>
    <x v="41"/>
    <s v="Day"/>
    <x v="1"/>
    <n v="2000718020"/>
    <n v="400"/>
    <n v="150"/>
    <n v="0"/>
    <s v="U15759"/>
    <s v="FLORA"/>
    <x v="28"/>
    <m/>
    <m/>
    <m/>
    <n v="0"/>
    <m/>
    <m/>
  </r>
  <r>
    <n v="3296"/>
    <x v="41"/>
    <s v="Day"/>
    <x v="1"/>
    <n v="2000718390"/>
    <n v="400"/>
    <n v="170"/>
    <n v="0"/>
    <s v="U15759"/>
    <s v="FLORA"/>
    <x v="28"/>
    <m/>
    <m/>
    <m/>
    <n v="0"/>
    <m/>
    <m/>
  </r>
  <r>
    <n v="3297"/>
    <x v="41"/>
    <s v="Day"/>
    <x v="1"/>
    <n v="2000717028"/>
    <n v="700"/>
    <n v="150"/>
    <n v="0"/>
    <s v="U15759"/>
    <s v="PSHV"/>
    <x v="223"/>
    <m/>
    <m/>
    <m/>
    <n v="0"/>
    <m/>
    <m/>
  </r>
  <r>
    <n v="3298"/>
    <x v="41"/>
    <s v="Day"/>
    <x v="1"/>
    <n v="2000717312"/>
    <n v="450"/>
    <n v="70"/>
    <n v="0"/>
    <s v="U15759"/>
    <s v="PSHV"/>
    <x v="223"/>
    <m/>
    <m/>
    <m/>
    <n v="0"/>
    <m/>
    <m/>
  </r>
  <r>
    <n v="3299"/>
    <x v="41"/>
    <s v="Night"/>
    <x v="0"/>
    <n v="2000718092"/>
    <n v="1430"/>
    <n v="120"/>
    <n v="0"/>
    <s v="U30425"/>
    <s v="L1172/73"/>
    <x v="18"/>
    <m/>
    <m/>
    <m/>
    <n v="0"/>
    <m/>
    <m/>
  </r>
  <r>
    <n v="3300"/>
    <x v="41"/>
    <s v="Night"/>
    <x v="0"/>
    <n v="2000717745"/>
    <n v="1000"/>
    <n v="100"/>
    <n v="0"/>
    <s v="U30425"/>
    <s v="L1174/75"/>
    <x v="61"/>
    <m/>
    <m/>
    <m/>
    <n v="0"/>
    <m/>
    <m/>
  </r>
  <r>
    <n v="3301"/>
    <x v="41"/>
    <s v="Night"/>
    <x v="0"/>
    <n v="2000718249"/>
    <n v="1200"/>
    <n v="50"/>
    <n v="0"/>
    <s v="U30425"/>
    <s v="L1144/47"/>
    <x v="120"/>
    <m/>
    <m/>
    <m/>
    <n v="0"/>
    <m/>
    <m/>
  </r>
  <r>
    <n v="3302"/>
    <x v="41"/>
    <s v="Night"/>
    <x v="0"/>
    <n v="2000718203"/>
    <n v="2300"/>
    <n v="70"/>
    <n v="0"/>
    <s v="U30425"/>
    <s v="L1174/75"/>
    <x v="3"/>
    <m/>
    <m/>
    <m/>
    <n v="0"/>
    <m/>
    <m/>
  </r>
  <r>
    <n v="3303"/>
    <x v="41"/>
    <s v="Night"/>
    <x v="0"/>
    <n v="2000718215"/>
    <n v="1800"/>
    <n v="90"/>
    <n v="0"/>
    <s v="U30425"/>
    <s v="L1077"/>
    <x v="2"/>
    <m/>
    <m/>
    <m/>
    <n v="0"/>
    <m/>
    <m/>
  </r>
  <r>
    <n v="3304"/>
    <x v="41"/>
    <s v="Night"/>
    <x v="0"/>
    <n v="2000718059"/>
    <n v="2720"/>
    <n v="120"/>
    <n v="0"/>
    <s v="U30425"/>
    <s v="L1112/13"/>
    <x v="8"/>
    <m/>
    <m/>
    <m/>
    <n v="0"/>
    <m/>
    <m/>
  </r>
  <r>
    <n v="3305"/>
    <x v="41"/>
    <s v="Night"/>
    <x v="0"/>
    <n v="2000718239"/>
    <n v="490"/>
    <n v="80"/>
    <n v="0"/>
    <s v="U30425"/>
    <s v="T541"/>
    <x v="94"/>
    <m/>
    <m/>
    <m/>
    <n v="0"/>
    <m/>
    <m/>
  </r>
  <r>
    <n v="3306"/>
    <x v="41"/>
    <s v="Night"/>
    <x v="0"/>
    <n v="2000718187"/>
    <n v="900"/>
    <n v="20"/>
    <n v="0"/>
    <s v="U30425"/>
    <s v="L1172/73"/>
    <x v="83"/>
    <m/>
    <m/>
    <m/>
    <n v="0"/>
    <m/>
    <m/>
  </r>
  <r>
    <n v="3307"/>
    <x v="41"/>
    <s v="Night"/>
    <x v="0"/>
    <n v="2000716482"/>
    <n v="1800"/>
    <n v="254"/>
    <n v="0"/>
    <s v="U30119"/>
    <s v="L1209/10"/>
    <x v="68"/>
    <m/>
    <m/>
    <m/>
    <n v="0"/>
    <m/>
    <m/>
  </r>
  <r>
    <n v="3308"/>
    <x v="41"/>
    <s v="Night"/>
    <x v="0"/>
    <n v="2000715224"/>
    <n v="2460"/>
    <n v="180"/>
    <n v="0"/>
    <s v="U30119"/>
    <s v="L1209/10"/>
    <x v="196"/>
    <m/>
    <m/>
    <m/>
    <n v="0"/>
    <m/>
    <m/>
  </r>
  <r>
    <n v="3309"/>
    <x v="41"/>
    <s v="Night"/>
    <x v="0"/>
    <n v="2000718461"/>
    <n v="400"/>
    <n v="197"/>
    <n v="0"/>
    <s v="U30119"/>
    <s v="L1209/10"/>
    <x v="44"/>
    <m/>
    <m/>
    <m/>
    <n v="0"/>
    <m/>
    <m/>
  </r>
  <r>
    <n v="3310"/>
    <x v="41"/>
    <s v="Night"/>
    <x v="0"/>
    <n v="2000708959"/>
    <n v="1132"/>
    <n v="11"/>
    <n v="0"/>
    <s v="U30119"/>
    <s v="L1209/10"/>
    <x v="55"/>
    <m/>
    <m/>
    <m/>
    <n v="0"/>
    <m/>
    <m/>
  </r>
  <r>
    <n v="3311"/>
    <x v="41"/>
    <s v="Night"/>
    <x v="0"/>
    <n v="2000718460"/>
    <n v="420"/>
    <n v="270"/>
    <n v="0"/>
    <s v="U30119"/>
    <s v="L1209/10"/>
    <x v="55"/>
    <m/>
    <m/>
    <m/>
    <n v="0"/>
    <m/>
    <m/>
  </r>
  <r>
    <n v="3312"/>
    <x v="41"/>
    <s v="Night"/>
    <x v="0"/>
    <n v="2000718326"/>
    <n v="640"/>
    <n v="90"/>
    <n v="0"/>
    <s v="U30119"/>
    <s v="L1188/89"/>
    <x v="84"/>
    <m/>
    <m/>
    <m/>
    <n v="0"/>
    <m/>
    <m/>
  </r>
  <r>
    <n v="3313"/>
    <x v="41"/>
    <s v="Night"/>
    <x v="0"/>
    <n v="2000717861"/>
    <n v="760"/>
    <n v="320"/>
    <n v="0"/>
    <s v="U27724"/>
    <s v="L1188/89"/>
    <x v="0"/>
    <m/>
    <m/>
    <m/>
    <n v="0"/>
    <m/>
    <m/>
  </r>
  <r>
    <n v="3314"/>
    <x v="41"/>
    <s v="Night"/>
    <x v="0"/>
    <n v="2000718328"/>
    <n v="1240"/>
    <n v="440"/>
    <n v="1"/>
    <s v="U27724"/>
    <s v="L1188/89"/>
    <x v="0"/>
    <s v="Bong, vỡ linh kiện"/>
    <m/>
    <s v="C447"/>
    <n v="1"/>
    <s v="\\vn-file\QC Department\4.OQC\00. OQC Performance\03. Images\01. NG\20210314-NG-0640718328.jpg"/>
    <s v="\\vn-file\QC Department\4.OQC\00. OQC Performance\03. Images\02. OK\20210314-OK-0640718328.jpg"/>
  </r>
  <r>
    <n v="3315"/>
    <x v="41"/>
    <s v="Night"/>
    <x v="0"/>
    <n v="2000718327"/>
    <n v="1240"/>
    <n v="40"/>
    <n v="0"/>
    <s v="U27724"/>
    <s v="L1188/89"/>
    <x v="17"/>
    <m/>
    <m/>
    <m/>
    <n v="0"/>
    <m/>
    <m/>
  </r>
  <r>
    <n v="3316"/>
    <x v="41"/>
    <s v="Night"/>
    <x v="0"/>
    <n v="2000716481"/>
    <n v="700"/>
    <n v="70"/>
    <n v="0"/>
    <s v="U23987"/>
    <s v="L1209/10"/>
    <x v="68"/>
    <m/>
    <m/>
    <m/>
    <n v="0"/>
    <m/>
    <m/>
  </r>
  <r>
    <n v="3317"/>
    <x v="41"/>
    <s v="Night"/>
    <x v="0"/>
    <n v="2000716482"/>
    <n v="1800"/>
    <n v="180"/>
    <n v="0"/>
    <s v="U23987"/>
    <s v="L1209/10"/>
    <x v="68"/>
    <m/>
    <m/>
    <m/>
    <n v="0"/>
    <m/>
    <m/>
  </r>
  <r>
    <n v="3318"/>
    <x v="41"/>
    <s v="Night"/>
    <x v="0"/>
    <n v="2000715224"/>
    <n v="2460"/>
    <n v="180"/>
    <n v="0"/>
    <s v="U23987"/>
    <s v="L1209/10"/>
    <x v="196"/>
    <m/>
    <m/>
    <m/>
    <n v="0"/>
    <m/>
    <m/>
  </r>
  <r>
    <n v="3319"/>
    <x v="41"/>
    <s v="Night"/>
    <x v="0"/>
    <n v="2000718461"/>
    <n v="400"/>
    <n v="180"/>
    <n v="0"/>
    <s v="U23987"/>
    <s v="L1209/10"/>
    <x v="44"/>
    <m/>
    <m/>
    <m/>
    <n v="0"/>
    <m/>
    <m/>
  </r>
  <r>
    <n v="3320"/>
    <x v="41"/>
    <s v="Night"/>
    <x v="0"/>
    <n v="2000718460"/>
    <n v="420"/>
    <n v="148"/>
    <n v="0"/>
    <s v="U23987"/>
    <s v="L1209/10"/>
    <x v="55"/>
    <m/>
    <m/>
    <m/>
    <n v="0"/>
    <m/>
    <m/>
  </r>
  <r>
    <n v="3321"/>
    <x v="41"/>
    <s v="Night"/>
    <x v="0"/>
    <n v="2000718326"/>
    <n v="640"/>
    <n v="90"/>
    <n v="0"/>
    <s v="U23987"/>
    <s v="L1188/89"/>
    <x v="84"/>
    <m/>
    <m/>
    <m/>
    <n v="0"/>
    <m/>
    <m/>
  </r>
  <r>
    <n v="3322"/>
    <x v="41"/>
    <s v="Night"/>
    <x v="0"/>
    <n v="2000717860"/>
    <n v="1000"/>
    <n v="480"/>
    <n v="0"/>
    <s v="U36008"/>
    <s v="L1188/89"/>
    <x v="17"/>
    <m/>
    <m/>
    <m/>
    <n v="0"/>
    <m/>
    <m/>
  </r>
  <r>
    <n v="3323"/>
    <x v="41"/>
    <s v="Night"/>
    <x v="0"/>
    <n v="2000717254"/>
    <n v="1800"/>
    <n v="800"/>
    <n v="0"/>
    <s v="U26613"/>
    <s v="L1151/52"/>
    <x v="85"/>
    <m/>
    <m/>
    <m/>
    <n v="0"/>
    <m/>
    <m/>
  </r>
  <r>
    <n v="3324"/>
    <x v="41"/>
    <s v="Night"/>
    <x v="0"/>
    <n v="2000716731"/>
    <n v="1800"/>
    <n v="40"/>
    <n v="0"/>
    <s v="U26613"/>
    <s v="L1151/52"/>
    <x v="85"/>
    <m/>
    <m/>
    <m/>
    <n v="0"/>
    <m/>
    <m/>
  </r>
  <r>
    <n v="3325"/>
    <x v="41"/>
    <s v="Night"/>
    <x v="0"/>
    <n v="2000717643"/>
    <n v="1800"/>
    <n v="200"/>
    <n v="0"/>
    <s v="U26613"/>
    <s v="L1151/52"/>
    <x v="85"/>
    <m/>
    <m/>
    <m/>
    <n v="0"/>
    <m/>
    <m/>
  </r>
  <r>
    <n v="3326"/>
    <x v="41"/>
    <s v="Night"/>
    <x v="0"/>
    <n v="2000718329"/>
    <n v="7830"/>
    <n v="300"/>
    <n v="0"/>
    <s v="U26613"/>
    <s v="L1112/13"/>
    <x v="75"/>
    <m/>
    <m/>
    <m/>
    <n v="0"/>
    <m/>
    <m/>
  </r>
  <r>
    <n v="3327"/>
    <x v="41"/>
    <s v="Night"/>
    <x v="0"/>
    <n v="2000718170"/>
    <n v="670"/>
    <n v="30"/>
    <n v="0"/>
    <s v="U09854"/>
    <s v="L1193/94"/>
    <x v="116"/>
    <m/>
    <m/>
    <m/>
    <n v="0"/>
    <m/>
    <m/>
  </r>
  <r>
    <n v="3328"/>
    <x v="41"/>
    <s v="Night"/>
    <x v="0"/>
    <n v="2000717642"/>
    <n v="2128"/>
    <n v="850"/>
    <n v="0"/>
    <s v="U09854"/>
    <s v="L1151/52"/>
    <x v="173"/>
    <m/>
    <m/>
    <m/>
    <n v="0"/>
    <m/>
    <m/>
  </r>
  <r>
    <n v="3329"/>
    <x v="41"/>
    <s v="Night"/>
    <x v="0"/>
    <n v="2000712447"/>
    <n v="882"/>
    <n v="40"/>
    <n v="0"/>
    <s v="U09854"/>
    <s v="L1151/52"/>
    <x v="173"/>
    <m/>
    <m/>
    <m/>
    <n v="0"/>
    <m/>
    <m/>
  </r>
  <r>
    <n v="3330"/>
    <x v="41"/>
    <s v="Night"/>
    <x v="0"/>
    <n v="2000715193"/>
    <n v="1680"/>
    <n v="240"/>
    <n v="0"/>
    <s v="U09854"/>
    <s v="L1193/94"/>
    <x v="30"/>
    <m/>
    <m/>
    <m/>
    <n v="0"/>
    <m/>
    <m/>
  </r>
  <r>
    <n v="3331"/>
    <x v="41"/>
    <s v="Night"/>
    <x v="0"/>
    <n v="2000718333"/>
    <n v="3200"/>
    <n v="800"/>
    <n v="0"/>
    <s v="U09854"/>
    <s v="L1193/94"/>
    <x v="119"/>
    <m/>
    <m/>
    <m/>
    <n v="0"/>
    <m/>
    <m/>
  </r>
  <r>
    <n v="3332"/>
    <x v="41"/>
    <s v="Night"/>
    <x v="0"/>
    <n v="2000717254"/>
    <n v="1800"/>
    <n v="160"/>
    <n v="0"/>
    <s v="U09854"/>
    <s v="L1151/52"/>
    <x v="85"/>
    <m/>
    <m/>
    <m/>
    <n v="0"/>
    <m/>
    <m/>
  </r>
  <r>
    <n v="3333"/>
    <x v="41"/>
    <s v="Night"/>
    <x v="0"/>
    <n v="2000717643"/>
    <n v="1800"/>
    <n v="200"/>
    <n v="0"/>
    <s v="U09854"/>
    <s v="L1151/52"/>
    <x v="85"/>
    <m/>
    <m/>
    <m/>
    <n v="0"/>
    <m/>
    <m/>
  </r>
  <r>
    <n v="3334"/>
    <x v="41"/>
    <s v="Night"/>
    <x v="0"/>
    <n v="2000718170"/>
    <n v="670"/>
    <n v="269"/>
    <n v="0"/>
    <s v="U31065"/>
    <s v="L1193/94"/>
    <x v="116"/>
    <m/>
    <m/>
    <m/>
    <n v="0"/>
    <m/>
    <m/>
  </r>
  <r>
    <n v="3335"/>
    <x v="41"/>
    <s v="Night"/>
    <x v="0"/>
    <n v="2000717492"/>
    <n v="320"/>
    <n v="5"/>
    <n v="0"/>
    <s v="U31065"/>
    <s v="L1151/52"/>
    <x v="154"/>
    <m/>
    <m/>
    <m/>
    <n v="0"/>
    <m/>
    <m/>
  </r>
  <r>
    <n v="3336"/>
    <x v="41"/>
    <s v="Night"/>
    <x v="0"/>
    <n v="2000718171"/>
    <n v="720"/>
    <n v="150"/>
    <n v="1"/>
    <s v="U31065"/>
    <s v="L1193/94"/>
    <x v="192"/>
    <s v="Nứt vỡ  bản mạch"/>
    <m/>
    <s v="BẢN MẠCH"/>
    <n v="1"/>
    <s v="\\vn-file\QC Department\4.OQC\00. OQC Performance\03. Images\01. NG\20210314-NG-0700718171.jpg"/>
    <s v="\\vn-file\QC Department\4.OQC\00. OQC Performance\03. Images\02. OK\20210314-OK-0700718171.jpg"/>
  </r>
  <r>
    <n v="3337"/>
    <x v="41"/>
    <s v="Night"/>
    <x v="0"/>
    <n v="2000717254"/>
    <n v="1800"/>
    <n v="240"/>
    <n v="0"/>
    <s v="U31065"/>
    <s v="L1151/52"/>
    <x v="85"/>
    <m/>
    <m/>
    <m/>
    <n v="0"/>
    <m/>
    <m/>
  </r>
  <r>
    <n v="3338"/>
    <x v="42"/>
    <s v="Day"/>
    <x v="0"/>
    <n v="2000718326"/>
    <n v="640"/>
    <n v="459"/>
    <n v="0"/>
    <s v="U29686"/>
    <s v="L1188/89"/>
    <x v="84"/>
    <m/>
    <m/>
    <m/>
    <n v="0"/>
    <m/>
    <m/>
  </r>
  <r>
    <n v="3339"/>
    <x v="42"/>
    <s v="Day"/>
    <x v="0"/>
    <n v="2000718462"/>
    <n v="1500"/>
    <n v="245"/>
    <n v="0"/>
    <s v="U29686"/>
    <s v="L1188/89"/>
    <x v="109"/>
    <m/>
    <m/>
    <m/>
    <n v="0"/>
    <m/>
    <m/>
  </r>
  <r>
    <n v="3340"/>
    <x v="42"/>
    <s v="Day"/>
    <x v="0"/>
    <n v="2000718327"/>
    <n v="1240"/>
    <n v="160"/>
    <n v="0"/>
    <s v="U27687"/>
    <s v="L1188/89"/>
    <x v="17"/>
    <m/>
    <m/>
    <m/>
    <n v="0"/>
    <m/>
    <m/>
  </r>
  <r>
    <n v="3341"/>
    <x v="42"/>
    <s v="Day"/>
    <x v="0"/>
    <n v="2000718171"/>
    <n v="720"/>
    <n v="60"/>
    <n v="0"/>
    <s v="U27687"/>
    <s v="L1193/94"/>
    <x v="192"/>
    <m/>
    <m/>
    <m/>
    <n v="0"/>
    <m/>
    <m/>
  </r>
  <r>
    <n v="3342"/>
    <x v="42"/>
    <s v="Day"/>
    <x v="0"/>
    <n v="2000718660"/>
    <n v="440"/>
    <n v="429"/>
    <n v="0"/>
    <s v="U27687"/>
    <s v="L1188/89"/>
    <x v="130"/>
    <m/>
    <m/>
    <m/>
    <n v="0"/>
    <m/>
    <m/>
  </r>
  <r>
    <n v="3343"/>
    <x v="42"/>
    <s v="Day"/>
    <x v="0"/>
    <n v="2000718171"/>
    <n v="720"/>
    <n v="210"/>
    <n v="0"/>
    <s v="U32991"/>
    <s v="L1193/94"/>
    <x v="192"/>
    <m/>
    <m/>
    <m/>
    <n v="0"/>
    <m/>
    <m/>
  </r>
  <r>
    <n v="3344"/>
    <x v="42"/>
    <s v="Day"/>
    <x v="0"/>
    <n v="2000718172"/>
    <n v="1400"/>
    <n v="310"/>
    <n v="0"/>
    <s v="U32991"/>
    <s v="L1193/94"/>
    <x v="192"/>
    <m/>
    <m/>
    <m/>
    <n v="0"/>
    <m/>
    <m/>
  </r>
  <r>
    <n v="3345"/>
    <x v="42"/>
    <s v="Day"/>
    <x v="0"/>
    <n v="2000718327"/>
    <n v="1240"/>
    <n v="440"/>
    <n v="0"/>
    <s v="U27723"/>
    <s v="L1188/89"/>
    <x v="17"/>
    <m/>
    <m/>
    <m/>
    <n v="0"/>
    <m/>
    <m/>
  </r>
  <r>
    <n v="3346"/>
    <x v="42"/>
    <s v="Day"/>
    <x v="0"/>
    <n v="2000718328"/>
    <n v="1240"/>
    <n v="311"/>
    <n v="0"/>
    <s v="U27723"/>
    <s v="L1188/89"/>
    <x v="0"/>
    <m/>
    <m/>
    <m/>
    <n v="0"/>
    <m/>
    <m/>
  </r>
  <r>
    <n v="3347"/>
    <x v="42"/>
    <s v="Day"/>
    <x v="0"/>
    <n v="2000718327"/>
    <n v="1240"/>
    <n v="120"/>
    <n v="0"/>
    <s v="U30840"/>
    <s v="L1188/89"/>
    <x v="17"/>
    <m/>
    <m/>
    <m/>
    <n v="0"/>
    <m/>
    <m/>
  </r>
  <r>
    <n v="3348"/>
    <x v="42"/>
    <s v="Day"/>
    <x v="0"/>
    <n v="2000718435"/>
    <n v="1200"/>
    <n v="80"/>
    <n v="0"/>
    <s v="U18660"/>
    <s v="L1144/47"/>
    <x v="59"/>
    <m/>
    <m/>
    <m/>
    <n v="0"/>
    <m/>
    <m/>
  </r>
  <r>
    <n v="3349"/>
    <x v="42"/>
    <s v="Day"/>
    <x v="0"/>
    <n v="2000718250"/>
    <n v="180"/>
    <n v="20"/>
    <n v="0"/>
    <s v="U18660"/>
    <s v="L1144/47"/>
    <x v="89"/>
    <m/>
    <m/>
    <m/>
    <n v="0"/>
    <m/>
    <m/>
  </r>
  <r>
    <n v="3350"/>
    <x v="42"/>
    <s v="Day"/>
    <x v="0"/>
    <n v="2000718240"/>
    <n v="580"/>
    <n v="80"/>
    <n v="0"/>
    <s v="U18660"/>
    <s v="L1144/47"/>
    <x v="71"/>
    <m/>
    <m/>
    <m/>
    <n v="0"/>
    <m/>
    <m/>
  </r>
  <r>
    <n v="3352"/>
    <x v="42"/>
    <s v="Day"/>
    <x v="0"/>
    <n v="2000718215"/>
    <n v="1800"/>
    <n v="60"/>
    <n v="0"/>
    <s v="U18660"/>
    <s v="L1077"/>
    <x v="2"/>
    <m/>
    <m/>
    <m/>
    <n v="0"/>
    <m/>
    <m/>
  </r>
  <r>
    <n v="3353"/>
    <x v="42"/>
    <s v="Day"/>
    <x v="0"/>
    <n v="2000718263"/>
    <n v="1200"/>
    <n v="80"/>
    <n v="0"/>
    <s v="U18660"/>
    <s v="L1186"/>
    <x v="4"/>
    <m/>
    <m/>
    <m/>
    <n v="0"/>
    <m/>
    <m/>
  </r>
  <r>
    <n v="3354"/>
    <x v="42"/>
    <s v="Day"/>
    <x v="0"/>
    <n v="2000718206"/>
    <n v="1320"/>
    <n v="120"/>
    <n v="0"/>
    <s v="U18660"/>
    <s v="L1174/75"/>
    <x v="171"/>
    <m/>
    <m/>
    <m/>
    <n v="0"/>
    <m/>
    <m/>
  </r>
  <r>
    <n v="3355"/>
    <x v="42"/>
    <s v="Day"/>
    <x v="0"/>
    <n v="2000718458"/>
    <n v="950"/>
    <n v="90"/>
    <n v="1"/>
    <s v="U18660"/>
    <s v="L1188/89"/>
    <x v="110"/>
    <s v="Thiếu Thiếc "/>
    <m/>
    <s v="D5522"/>
    <n v="1"/>
    <s v="\\vn-file\QC Department\4.OQC\00. OQC Performance\03. Images\01. NG\20210315-NG-1330718458.jpg"/>
    <s v="\\vn-file\QC Department\4.OQC\00. OQC Performance\03. Images\02. OK\20210315-OK-1330718458.jpg"/>
  </r>
  <r>
    <n v="3356"/>
    <x v="42"/>
    <s v="Day"/>
    <x v="0"/>
    <n v="2000718288"/>
    <n v="2400"/>
    <n v="120"/>
    <n v="0"/>
    <s v="U18660"/>
    <s v="L1128/29"/>
    <x v="11"/>
    <m/>
    <m/>
    <m/>
    <n v="0"/>
    <m/>
    <m/>
  </r>
  <r>
    <n v="3357"/>
    <x v="42"/>
    <s v="Day"/>
    <x v="0"/>
    <n v="2000718064"/>
    <n v="3200"/>
    <n v="120"/>
    <n v="0"/>
    <s v="U18660"/>
    <s v="L1112/13"/>
    <x v="8"/>
    <m/>
    <m/>
    <m/>
    <n v="0"/>
    <m/>
    <m/>
  </r>
  <r>
    <n v="3358"/>
    <x v="42"/>
    <s v="Day"/>
    <x v="0"/>
    <n v="2000718202"/>
    <n v="2300"/>
    <n v="200"/>
    <n v="0"/>
    <s v="U03968"/>
    <s v="L1174/75"/>
    <x v="62"/>
    <m/>
    <m/>
    <m/>
    <n v="0"/>
    <m/>
    <m/>
  </r>
  <r>
    <n v="3359"/>
    <x v="42"/>
    <s v="Day"/>
    <x v="0"/>
    <n v="2000718201"/>
    <n v="2300"/>
    <n v="200"/>
    <n v="0"/>
    <s v="U03968"/>
    <s v="L1174/75"/>
    <x v="62"/>
    <m/>
    <m/>
    <m/>
    <n v="0"/>
    <m/>
    <m/>
  </r>
  <r>
    <n v="3360"/>
    <x v="42"/>
    <s v="Day"/>
    <x v="0"/>
    <n v="2000718667"/>
    <n v="3012"/>
    <n v="200"/>
    <n v="0"/>
    <s v="U03968"/>
    <s v="L1174/75"/>
    <x v="66"/>
    <m/>
    <m/>
    <m/>
    <n v="0"/>
    <m/>
    <m/>
  </r>
  <r>
    <n v="3361"/>
    <x v="42"/>
    <s v="Day"/>
    <x v="0"/>
    <n v="2000712447"/>
    <n v="882"/>
    <n v="9"/>
    <n v="0"/>
    <s v="U03968"/>
    <s v="L1151/52"/>
    <x v="173"/>
    <m/>
    <m/>
    <m/>
    <n v="0"/>
    <m/>
    <m/>
  </r>
  <r>
    <n v="3362"/>
    <x v="42"/>
    <s v="Day"/>
    <x v="0"/>
    <n v="2000717730"/>
    <n v="1000"/>
    <n v="120"/>
    <n v="0"/>
    <s v="U03968"/>
    <s v="L1077"/>
    <x v="6"/>
    <m/>
    <m/>
    <m/>
    <n v="0"/>
    <m/>
    <m/>
  </r>
  <r>
    <n v="3363"/>
    <x v="42"/>
    <s v="Day"/>
    <x v="0"/>
    <n v="2000716845"/>
    <n v="1040"/>
    <n v="120"/>
    <n v="0"/>
    <s v="U03968"/>
    <s v="L1077"/>
    <x v="36"/>
    <m/>
    <m/>
    <m/>
    <n v="0"/>
    <m/>
    <m/>
  </r>
  <r>
    <n v="3364"/>
    <x v="42"/>
    <s v="Day"/>
    <x v="0"/>
    <n v="2000717728"/>
    <n v="1000"/>
    <n v="150"/>
    <n v="0"/>
    <s v="U03968"/>
    <s v="L1077"/>
    <x v="10"/>
    <m/>
    <m/>
    <m/>
    <n v="0"/>
    <m/>
    <m/>
  </r>
  <r>
    <n v="3365"/>
    <x v="42"/>
    <s v="Day"/>
    <x v="0"/>
    <n v="2000718211"/>
    <n v="1800"/>
    <n v="200"/>
    <n v="0"/>
    <s v="U03968"/>
    <s v="L1077"/>
    <x v="6"/>
    <m/>
    <m/>
    <m/>
    <n v="0"/>
    <m/>
    <m/>
  </r>
  <r>
    <n v="3366"/>
    <x v="42"/>
    <s v="Day"/>
    <x v="0"/>
    <n v="2000717720"/>
    <n v="1344"/>
    <n v="150"/>
    <n v="0"/>
    <s v="U03968"/>
    <s v="L1144/47"/>
    <x v="138"/>
    <m/>
    <m/>
    <m/>
    <n v="0"/>
    <m/>
    <m/>
  </r>
  <r>
    <n v="3368"/>
    <x v="42"/>
    <s v="Day"/>
    <x v="0"/>
    <n v="2000718256"/>
    <n v="2400"/>
    <n v="200"/>
    <n v="0"/>
    <s v="U03968"/>
    <s v="L1144/47"/>
    <x v="92"/>
    <m/>
    <m/>
    <m/>
    <n v="0"/>
    <m/>
    <m/>
  </r>
  <r>
    <n v="3369"/>
    <x v="42"/>
    <s v="Day"/>
    <x v="0"/>
    <n v="2000718213"/>
    <n v="1800"/>
    <n v="150"/>
    <n v="0"/>
    <s v="U03968"/>
    <s v="L1077"/>
    <x v="10"/>
    <m/>
    <m/>
    <m/>
    <n v="0"/>
    <m/>
    <m/>
  </r>
  <r>
    <n v="3370"/>
    <x v="42"/>
    <s v="Day"/>
    <x v="0"/>
    <n v="2000718333"/>
    <n v="3200"/>
    <n v="400"/>
    <n v="0"/>
    <s v="U03968"/>
    <s v="L1193/94"/>
    <x v="119"/>
    <m/>
    <m/>
    <m/>
    <n v="0"/>
    <m/>
    <m/>
  </r>
  <r>
    <n v="3371"/>
    <x v="42"/>
    <s v="Day"/>
    <x v="0"/>
    <n v="2000717643"/>
    <n v="1800"/>
    <n v="240"/>
    <n v="0"/>
    <s v="U03968"/>
    <s v="L1151/52"/>
    <x v="85"/>
    <m/>
    <m/>
    <m/>
    <n v="0"/>
    <m/>
    <m/>
  </r>
  <r>
    <n v="3372"/>
    <x v="42"/>
    <s v="Day"/>
    <x v="0"/>
    <n v="2000717643"/>
    <n v="1800"/>
    <n v="320"/>
    <n v="0"/>
    <s v="U30500"/>
    <s v="L1151/52"/>
    <x v="85"/>
    <m/>
    <m/>
    <m/>
    <n v="0"/>
    <m/>
    <m/>
  </r>
  <r>
    <n v="3373"/>
    <x v="42"/>
    <s v="Day"/>
    <x v="0"/>
    <n v="2000718333"/>
    <n v="3200"/>
    <n v="1200"/>
    <n v="0"/>
    <s v="U30500"/>
    <s v="L1193/94"/>
    <x v="119"/>
    <m/>
    <m/>
    <m/>
    <n v="0"/>
    <m/>
    <m/>
  </r>
  <r>
    <n v="3374"/>
    <x v="42"/>
    <s v="Day"/>
    <x v="0"/>
    <n v="2000714131"/>
    <n v="920"/>
    <n v="23"/>
    <n v="0"/>
    <s v="U30500"/>
    <s v="L1151/52"/>
    <x v="185"/>
    <m/>
    <m/>
    <m/>
    <n v="0"/>
    <m/>
    <m/>
  </r>
  <r>
    <n v="3375"/>
    <x v="42"/>
    <s v="Day"/>
    <x v="0"/>
    <n v="2000718257"/>
    <n v="2400"/>
    <n v="150"/>
    <n v="0"/>
    <s v="U30500"/>
    <s v="L1144/47"/>
    <x v="77"/>
    <m/>
    <m/>
    <m/>
    <n v="0"/>
    <m/>
    <m/>
  </r>
  <r>
    <n v="3376"/>
    <x v="42"/>
    <s v="Day"/>
    <x v="0"/>
    <n v="2000718258"/>
    <n v="2400"/>
    <n v="150"/>
    <n v="0"/>
    <s v="U30500"/>
    <s v="L1144/47"/>
    <x v="13"/>
    <m/>
    <m/>
    <m/>
    <n v="0"/>
    <m/>
    <m/>
  </r>
  <r>
    <n v="3377"/>
    <x v="42"/>
    <s v="Day"/>
    <x v="0"/>
    <n v="2000718333"/>
    <n v="3200"/>
    <n v="400"/>
    <n v="0"/>
    <s v="U36387"/>
    <s v="L1193/94"/>
    <x v="119"/>
    <m/>
    <m/>
    <m/>
    <n v="0"/>
    <m/>
    <m/>
  </r>
  <r>
    <n v="3378"/>
    <x v="42"/>
    <s v="Day"/>
    <x v="0"/>
    <n v="2000718666"/>
    <n v="2496"/>
    <n v="150"/>
    <n v="0"/>
    <s v="U36387"/>
    <s v="L1193/94"/>
    <x v="119"/>
    <m/>
    <m/>
    <m/>
    <n v="0"/>
    <m/>
    <m/>
  </r>
  <r>
    <n v="3379"/>
    <x v="42"/>
    <s v="Day"/>
    <x v="1"/>
    <n v="2000717312"/>
    <n v="450"/>
    <n v="40"/>
    <n v="0"/>
    <s v="U15759"/>
    <s v="PSHV"/>
    <x v="223"/>
    <m/>
    <m/>
    <m/>
    <n v="0"/>
    <m/>
    <m/>
  </r>
  <r>
    <n v="3380"/>
    <x v="42"/>
    <s v="Day"/>
    <x v="1"/>
    <n v="2000718024"/>
    <n v="400"/>
    <n v="400"/>
    <n v="0"/>
    <s v="U15759"/>
    <s v="PSLV"/>
    <x v="29"/>
    <m/>
    <m/>
    <m/>
    <n v="0"/>
    <m/>
    <m/>
  </r>
  <r>
    <n v="3381"/>
    <x v="42"/>
    <s v="Day"/>
    <x v="1"/>
    <n v="2000718027"/>
    <n v="350"/>
    <n v="105"/>
    <n v="0"/>
    <s v="U15759"/>
    <s v="SHANKS"/>
    <x v="247"/>
    <m/>
    <m/>
    <m/>
    <n v="0"/>
    <m/>
    <m/>
  </r>
  <r>
    <n v="3382"/>
    <x v="42"/>
    <s v="Day"/>
    <x v="1"/>
    <n v="2000718013"/>
    <n v="350"/>
    <n v="105"/>
    <n v="0"/>
    <s v="U15759"/>
    <s v="SHANKS"/>
    <x v="24"/>
    <m/>
    <m/>
    <m/>
    <n v="0"/>
    <m/>
    <m/>
  </r>
  <r>
    <n v="3383"/>
    <x v="42"/>
    <s v="Day"/>
    <x v="1"/>
    <n v="2000718390"/>
    <n v="400"/>
    <n v="229"/>
    <n v="0"/>
    <s v="U15759"/>
    <s v="FLORA"/>
    <x v="28"/>
    <m/>
    <m/>
    <m/>
    <n v="0"/>
    <m/>
    <m/>
  </r>
  <r>
    <n v="3384"/>
    <x v="42"/>
    <s v="Day"/>
    <x v="1"/>
    <n v="2000718409"/>
    <n v="600"/>
    <n v="110"/>
    <n v="0"/>
    <s v="U15759"/>
    <s v="PSLV"/>
    <x v="91"/>
    <m/>
    <m/>
    <m/>
    <n v="0"/>
    <m/>
    <m/>
  </r>
  <r>
    <n v="3385"/>
    <x v="42"/>
    <s v="Day"/>
    <x v="1"/>
    <n v="2000718402"/>
    <n v="500"/>
    <n v="30"/>
    <n v="0"/>
    <s v="U15759"/>
    <s v="PSHV"/>
    <x v="223"/>
    <m/>
    <m/>
    <m/>
    <n v="0"/>
    <m/>
    <m/>
  </r>
  <r>
    <n v="3386"/>
    <x v="42"/>
    <s v="Day"/>
    <x v="1"/>
    <n v="2000718410"/>
    <n v="400"/>
    <n v="400"/>
    <n v="0"/>
    <s v="U15759"/>
    <s v="PSHV"/>
    <x v="29"/>
    <m/>
    <m/>
    <m/>
    <n v="0"/>
    <m/>
    <m/>
  </r>
  <r>
    <n v="3387"/>
    <x v="42"/>
    <s v="Night"/>
    <x v="1"/>
    <n v="2000718402"/>
    <n v="500"/>
    <n v="100"/>
    <n v="0"/>
    <s v="U30119"/>
    <s v="PSHV"/>
    <x v="223"/>
    <m/>
    <m/>
    <m/>
    <n v="0"/>
    <m/>
    <m/>
  </r>
  <r>
    <n v="3388"/>
    <x v="42"/>
    <s v="Night"/>
    <x v="1"/>
    <n v="2000718409"/>
    <n v="600"/>
    <n v="410"/>
    <n v="0"/>
    <s v="U30119"/>
    <s v="PSLV"/>
    <x v="91"/>
    <m/>
    <m/>
    <m/>
    <n v="0"/>
    <m/>
    <m/>
  </r>
  <r>
    <n v="3389"/>
    <x v="42"/>
    <s v="Night"/>
    <x v="1"/>
    <n v="2000718026"/>
    <n v="600"/>
    <n v="240"/>
    <n v="0"/>
    <s v="U30119"/>
    <s v="BORUTO"/>
    <x v="107"/>
    <m/>
    <m/>
    <m/>
    <n v="0"/>
    <m/>
    <m/>
  </r>
  <r>
    <n v="3390"/>
    <x v="42"/>
    <s v="Night"/>
    <x v="1"/>
    <n v="2000718408"/>
    <n v="480"/>
    <n v="390"/>
    <n v="0"/>
    <s v="U30119"/>
    <s v="BORUTO"/>
    <x v="107"/>
    <m/>
    <m/>
    <m/>
    <n v="0"/>
    <m/>
    <m/>
  </r>
  <r>
    <n v="3391"/>
    <x v="42"/>
    <s v="Night"/>
    <x v="1"/>
    <n v="2000718018"/>
    <n v="350"/>
    <n v="80"/>
    <n v="0"/>
    <s v="U30119"/>
    <s v="PSHV"/>
    <x v="96"/>
    <m/>
    <m/>
    <m/>
    <n v="0"/>
    <m/>
    <m/>
  </r>
  <r>
    <n v="3392"/>
    <x v="42"/>
    <s v="Night"/>
    <x v="1"/>
    <n v="2000718022"/>
    <n v="420"/>
    <n v="105"/>
    <n v="0"/>
    <s v="U30119"/>
    <s v="SHANKS"/>
    <x v="187"/>
    <m/>
    <m/>
    <m/>
    <n v="0"/>
    <m/>
    <m/>
  </r>
  <r>
    <n v="3393"/>
    <x v="42"/>
    <s v="Night"/>
    <x v="0"/>
    <n v="2000718327"/>
    <n v="1240"/>
    <n v="174"/>
    <n v="0"/>
    <s v="U05944"/>
    <s v="L1188/89"/>
    <x v="17"/>
    <m/>
    <m/>
    <m/>
    <n v="0"/>
    <m/>
    <m/>
  </r>
  <r>
    <n v="3394"/>
    <x v="42"/>
    <s v="Night"/>
    <x v="0"/>
    <n v="2000718663"/>
    <n v="320"/>
    <n v="198"/>
    <n v="0"/>
    <s v="U05944"/>
    <s v="L1188/89"/>
    <x v="178"/>
    <m/>
    <m/>
    <m/>
    <n v="0"/>
    <m/>
    <m/>
  </r>
  <r>
    <n v="3395"/>
    <x v="42"/>
    <s v="Night"/>
    <x v="0"/>
    <n v="2000718662"/>
    <n v="760"/>
    <n v="120"/>
    <n v="0"/>
    <s v="U05944"/>
    <s v="L1188/89"/>
    <x v="43"/>
    <m/>
    <m/>
    <m/>
    <n v="0"/>
    <m/>
    <m/>
  </r>
  <r>
    <n v="3396"/>
    <x v="42"/>
    <s v="Night"/>
    <x v="0"/>
    <n v="2000718251"/>
    <n v="2420"/>
    <n v="120"/>
    <n v="0"/>
    <s v="U30425"/>
    <s v="L1144/47"/>
    <x v="56"/>
    <m/>
    <m/>
    <m/>
    <n v="0"/>
    <m/>
    <m/>
  </r>
  <r>
    <n v="3397"/>
    <x v="42"/>
    <s v="Night"/>
    <x v="0"/>
    <n v="2000718187"/>
    <n v="900"/>
    <n v="60"/>
    <n v="0"/>
    <s v="U30425"/>
    <s v="L1172/73"/>
    <x v="83"/>
    <m/>
    <m/>
    <m/>
    <n v="0"/>
    <m/>
    <m/>
  </r>
  <r>
    <n v="3398"/>
    <x v="42"/>
    <s v="Night"/>
    <x v="0"/>
    <n v="2000718205"/>
    <n v="2300"/>
    <n v="120"/>
    <n v="0"/>
    <s v="U30425"/>
    <s v="L1174/75"/>
    <x v="3"/>
    <m/>
    <m/>
    <m/>
    <n v="0"/>
    <m/>
    <m/>
  </r>
  <r>
    <n v="3399"/>
    <x v="42"/>
    <s v="Night"/>
    <x v="0"/>
    <n v="2000718242"/>
    <n v="900"/>
    <n v="80"/>
    <n v="0"/>
    <s v="U30425"/>
    <s v="L1144/47"/>
    <x v="71"/>
    <m/>
    <m/>
    <m/>
    <n v="0"/>
    <m/>
    <m/>
  </r>
  <r>
    <n v="3400"/>
    <x v="42"/>
    <s v="Night"/>
    <x v="0"/>
    <n v="2000718188"/>
    <n v="900"/>
    <n v="80"/>
    <n v="0"/>
    <s v="U30425"/>
    <s v="L1172/73"/>
    <x v="19"/>
    <m/>
    <m/>
    <m/>
    <n v="0"/>
    <m/>
    <m/>
  </r>
  <r>
    <n v="3401"/>
    <x v="42"/>
    <s v="Night"/>
    <x v="0"/>
    <n v="2000718459"/>
    <n v="950"/>
    <n v="30"/>
    <n v="0"/>
    <s v="U30425"/>
    <s v="L1172/73"/>
    <x v="99"/>
    <m/>
    <m/>
    <m/>
    <n v="0"/>
    <m/>
    <m/>
  </r>
  <r>
    <n v="3402"/>
    <x v="42"/>
    <s v="Night"/>
    <x v="0"/>
    <n v="2000717874"/>
    <n v="400"/>
    <n v="90"/>
    <n v="0"/>
    <s v="U30425"/>
    <s v="L1172/73"/>
    <x v="99"/>
    <m/>
    <m/>
    <m/>
    <n v="0"/>
    <m/>
    <m/>
  </r>
  <r>
    <n v="3403"/>
    <x v="42"/>
    <s v="Night"/>
    <x v="0"/>
    <n v="2000717244"/>
    <n v="3993"/>
    <n v="120"/>
    <n v="0"/>
    <s v="U30425"/>
    <s v="L1168/69"/>
    <x v="37"/>
    <m/>
    <m/>
    <m/>
    <n v="0"/>
    <m/>
    <m/>
  </r>
  <r>
    <n v="3404"/>
    <x v="42"/>
    <s v="Night"/>
    <x v="0"/>
    <n v="2000718462"/>
    <n v="1500"/>
    <n v="970"/>
    <n v="1"/>
    <s v="U23987"/>
    <s v="L1188/89"/>
    <x v="109"/>
    <s v="Bong, vỡ linh kiện"/>
    <m/>
    <s v="NF2762"/>
    <n v="1"/>
    <s v="\\vn-file\QC Department\4.OQC\00. OQC Performance\03. Images\01. NG\20210315-NG-0455718462.jpg"/>
    <s v="\\vn-file\QC Department\4.OQC\00. OQC Performance\03. Images\02. OK\20210315-OK-0455718462.jpg"/>
  </r>
  <r>
    <n v="3405"/>
    <x v="42"/>
    <s v="Night"/>
    <x v="0"/>
    <n v="2000718327"/>
    <n v="1240"/>
    <n v="200"/>
    <n v="0"/>
    <s v="U27724"/>
    <s v="L1188/89"/>
    <x v="17"/>
    <m/>
    <m/>
    <m/>
    <n v="0"/>
    <m/>
    <m/>
  </r>
  <r>
    <n v="3406"/>
    <x v="42"/>
    <s v="Night"/>
    <x v="0"/>
    <n v="2000718328"/>
    <n v="1240"/>
    <n v="80"/>
    <n v="1"/>
    <s v="U27724"/>
    <s v="L1188/89"/>
    <x v="0"/>
    <s v="Bong, vỡ linh kiện"/>
    <m/>
    <s v="C447"/>
    <n v="1"/>
    <s v="\\vn-file\QC Department\4.OQC\00. OQC Performance\03. Images\01. NG\20210315-NG-0107718328.jpg"/>
    <m/>
  </r>
  <r>
    <n v="3407"/>
    <x v="42"/>
    <s v="Night"/>
    <x v="0"/>
    <n v="2000718663"/>
    <n v="320"/>
    <n v="120"/>
    <n v="0"/>
    <s v="U27724"/>
    <s v="L1188/89"/>
    <x v="178"/>
    <m/>
    <m/>
    <m/>
    <n v="0"/>
    <m/>
    <m/>
  </r>
  <r>
    <n v="3408"/>
    <x v="42"/>
    <s v="Night"/>
    <x v="0"/>
    <n v="2000718662"/>
    <n v="760"/>
    <n v="360"/>
    <n v="0"/>
    <s v="U27724"/>
    <s v="L1188/89"/>
    <x v="43"/>
    <m/>
    <m/>
    <m/>
    <n v="0"/>
    <m/>
    <m/>
  </r>
  <r>
    <n v="3409"/>
    <x v="42"/>
    <s v="Night"/>
    <x v="0"/>
    <n v="2000712819"/>
    <n v="600"/>
    <n v="3"/>
    <n v="0"/>
    <s v="U26613"/>
    <s v="L1172/73"/>
    <x v="165"/>
    <m/>
    <m/>
    <m/>
    <n v="0"/>
    <m/>
    <m/>
  </r>
  <r>
    <n v="3410"/>
    <x v="42"/>
    <s v="Night"/>
    <x v="0"/>
    <n v="2000718261"/>
    <n v="1200"/>
    <n v="150"/>
    <n v="0"/>
    <s v="U26613"/>
    <s v="L1186"/>
    <x v="32"/>
    <m/>
    <m/>
    <m/>
    <n v="0"/>
    <m/>
    <m/>
  </r>
  <r>
    <n v="3411"/>
    <x v="42"/>
    <s v="Night"/>
    <x v="0"/>
    <n v="2000716843"/>
    <n v="1040"/>
    <n v="150"/>
    <n v="0"/>
    <s v="U26613"/>
    <s v="L1077"/>
    <x v="33"/>
    <m/>
    <m/>
    <m/>
    <n v="0"/>
    <m/>
    <m/>
  </r>
  <r>
    <n v="3412"/>
    <x v="42"/>
    <s v="Night"/>
    <x v="0"/>
    <n v="2000718666"/>
    <n v="2496"/>
    <n v="2346"/>
    <n v="0"/>
    <s v="U26613"/>
    <s v="L1193/94"/>
    <x v="119"/>
    <m/>
    <m/>
    <m/>
    <n v="0"/>
    <m/>
    <m/>
  </r>
  <r>
    <n v="3413"/>
    <x v="42"/>
    <s v="Night"/>
    <x v="0"/>
    <n v="2000718204"/>
    <n v="1320"/>
    <n v="200"/>
    <n v="0"/>
    <s v="U26613"/>
    <s v="L1174/75"/>
    <x v="62"/>
    <m/>
    <m/>
    <m/>
    <n v="0"/>
    <m/>
    <m/>
  </r>
  <r>
    <n v="3414"/>
    <x v="42"/>
    <s v="Night"/>
    <x v="0"/>
    <n v="2000718324"/>
    <n v="4200"/>
    <n v="300"/>
    <n v="0"/>
    <s v="U26613"/>
    <s v="T515"/>
    <x v="15"/>
    <m/>
    <m/>
    <m/>
    <n v="0"/>
    <m/>
    <m/>
  </r>
  <r>
    <n v="3415"/>
    <x v="42"/>
    <s v="Night"/>
    <x v="0"/>
    <n v="2000718665"/>
    <n v="7890"/>
    <n v="300"/>
    <n v="0"/>
    <s v="U26613"/>
    <s v="L1112/13"/>
    <x v="75"/>
    <m/>
    <m/>
    <m/>
    <n v="0"/>
    <m/>
    <m/>
  </r>
  <r>
    <n v="3416"/>
    <x v="42"/>
    <s v="Night"/>
    <x v="0"/>
    <n v="2000718419"/>
    <n v="2000"/>
    <n v="200"/>
    <n v="0"/>
    <s v="U26613"/>
    <s v="L1174/75"/>
    <x v="62"/>
    <m/>
    <m/>
    <m/>
    <n v="0"/>
    <m/>
    <m/>
  </r>
  <r>
    <n v="3417"/>
    <x v="42"/>
    <s v="Night"/>
    <x v="0"/>
    <n v="2000718327"/>
    <n v="1240"/>
    <n v="120"/>
    <n v="0"/>
    <s v="U09854"/>
    <s v="L1188/89"/>
    <x v="17"/>
    <m/>
    <m/>
    <m/>
    <n v="0"/>
    <m/>
    <m/>
  </r>
  <r>
    <n v="3418"/>
    <x v="42"/>
    <s v="Night"/>
    <x v="0"/>
    <n v="2000718172"/>
    <n v="1400"/>
    <n v="160"/>
    <n v="0"/>
    <s v="U09854"/>
    <s v="L1193/94"/>
    <x v="192"/>
    <m/>
    <m/>
    <m/>
    <n v="0"/>
    <m/>
    <m/>
  </r>
  <r>
    <n v="3419"/>
    <x v="42"/>
    <s v="Night"/>
    <x v="0"/>
    <n v="2000717622"/>
    <n v="700"/>
    <n v="120"/>
    <n v="0"/>
    <s v="U09854"/>
    <s v="L1193/94"/>
    <x v="116"/>
    <m/>
    <m/>
    <m/>
    <n v="0"/>
    <m/>
    <m/>
  </r>
  <r>
    <n v="3420"/>
    <x v="42"/>
    <s v="Night"/>
    <x v="0"/>
    <n v="2000718170"/>
    <n v="670"/>
    <n v="30"/>
    <n v="0"/>
    <s v="U09854"/>
    <s v="L1193/94"/>
    <x v="116"/>
    <m/>
    <m/>
    <m/>
    <n v="0"/>
    <m/>
    <m/>
  </r>
  <r>
    <n v="3421"/>
    <x v="42"/>
    <s v="Night"/>
    <x v="0"/>
    <n v="2000717643"/>
    <n v="1800"/>
    <n v="720"/>
    <n v="0"/>
    <s v="U09854"/>
    <s v="L1151/52"/>
    <x v="85"/>
    <m/>
    <m/>
    <m/>
    <n v="0"/>
    <m/>
    <m/>
  </r>
  <r>
    <n v="3422"/>
    <x v="42"/>
    <s v="Night"/>
    <x v="0"/>
    <n v="2000718172"/>
    <n v="1400"/>
    <n v="590"/>
    <n v="0"/>
    <s v="U31065"/>
    <s v="L1193/94"/>
    <x v="192"/>
    <m/>
    <m/>
    <m/>
    <n v="0"/>
    <m/>
    <m/>
  </r>
  <r>
    <n v="3423"/>
    <x v="42"/>
    <s v="Night"/>
    <x v="0"/>
    <n v="2000718170"/>
    <n v="670"/>
    <n v="30"/>
    <n v="0"/>
    <s v="U31065"/>
    <s v="L1193/94"/>
    <x v="116"/>
    <m/>
    <m/>
    <m/>
    <n v="0"/>
    <m/>
    <m/>
  </r>
  <r>
    <n v="3424"/>
    <x v="42"/>
    <s v="Night"/>
    <x v="0"/>
    <n v="2000718462"/>
    <n v="1500"/>
    <n v="90"/>
    <n v="0"/>
    <s v="U36008"/>
    <s v="L1188/89"/>
    <x v="109"/>
    <m/>
    <m/>
    <m/>
    <n v="0"/>
    <m/>
    <m/>
  </r>
  <r>
    <n v="3425"/>
    <x v="42"/>
    <s v="Night"/>
    <x v="0"/>
    <n v="2000718661"/>
    <n v="340"/>
    <n v="340"/>
    <n v="0"/>
    <s v="U36008"/>
    <s v="L1188/89"/>
    <x v="60"/>
    <m/>
    <m/>
    <m/>
    <n v="0"/>
    <m/>
    <m/>
  </r>
  <r>
    <n v="3426"/>
    <x v="42"/>
    <s v="Night"/>
    <x v="0"/>
    <n v="2000718662"/>
    <n v="760"/>
    <n v="99"/>
    <n v="0"/>
    <s v="U36008"/>
    <s v="L1188/89"/>
    <x v="43"/>
    <m/>
    <m/>
    <m/>
    <n v="0"/>
    <m/>
    <m/>
  </r>
  <r>
    <n v="3427"/>
    <x v="43"/>
    <s v="Day"/>
    <x v="0"/>
    <n v="2000718096"/>
    <n v="1200"/>
    <n v="80"/>
    <n v="0"/>
    <s v="U18660"/>
    <s v="L1168/69"/>
    <x v="48"/>
    <m/>
    <m/>
    <m/>
    <n v="0"/>
    <m/>
    <m/>
  </r>
  <r>
    <n v="3428"/>
    <x v="43"/>
    <s v="Day"/>
    <x v="0"/>
    <n v="2000719087"/>
    <n v="280"/>
    <n v="20"/>
    <n v="0"/>
    <s v="U18660"/>
    <s v="T541"/>
    <x v="188"/>
    <m/>
    <m/>
    <m/>
    <n v="0"/>
    <m/>
    <m/>
  </r>
  <r>
    <n v="3429"/>
    <x v="43"/>
    <s v="Day"/>
    <x v="0"/>
    <n v="2000718466"/>
    <n v="2384"/>
    <n v="120"/>
    <n v="0"/>
    <s v="U18660"/>
    <s v="L1128/29"/>
    <x v="215"/>
    <m/>
    <m/>
    <m/>
    <n v="0"/>
    <m/>
    <m/>
  </r>
  <r>
    <n v="3430"/>
    <x v="43"/>
    <s v="Day"/>
    <x v="0"/>
    <n v="2000718465"/>
    <n v="3200"/>
    <n v="120"/>
    <n v="0"/>
    <s v="U18660"/>
    <s v="L1112/13"/>
    <x v="8"/>
    <m/>
    <m/>
    <m/>
    <n v="0"/>
    <m/>
    <m/>
  </r>
  <r>
    <n v="3431"/>
    <x v="43"/>
    <s v="Day"/>
    <x v="0"/>
    <n v="2000718459"/>
    <n v="950"/>
    <n v="60"/>
    <n v="0"/>
    <s v="U18660"/>
    <s v="L1172/73"/>
    <x v="99"/>
    <m/>
    <m/>
    <m/>
    <n v="0"/>
    <m/>
    <m/>
  </r>
  <r>
    <n v="3432"/>
    <x v="43"/>
    <s v="Day"/>
    <x v="0"/>
    <n v="2000719089"/>
    <n v="1050"/>
    <n v="80"/>
    <n v="0"/>
    <s v="U18660"/>
    <s v="L1144/47"/>
    <x v="101"/>
    <m/>
    <m/>
    <m/>
    <n v="0"/>
    <m/>
    <m/>
  </r>
  <r>
    <n v="3433"/>
    <x v="43"/>
    <s v="Day"/>
    <x v="0"/>
    <n v="2000718439"/>
    <n v="1200"/>
    <n v="80"/>
    <n v="0"/>
    <s v="U18660"/>
    <s v="L1144/47"/>
    <x v="59"/>
    <m/>
    <m/>
    <m/>
    <n v="0"/>
    <m/>
    <m/>
  </r>
  <r>
    <n v="3434"/>
    <x v="43"/>
    <s v="Day"/>
    <x v="0"/>
    <n v="2000718241"/>
    <n v="300"/>
    <n v="80"/>
    <n v="0"/>
    <s v="U18660"/>
    <s v="L1144/47"/>
    <x v="57"/>
    <m/>
    <m/>
    <m/>
    <n v="0"/>
    <m/>
    <m/>
  </r>
  <r>
    <n v="3435"/>
    <x v="43"/>
    <s v="Day"/>
    <x v="0"/>
    <n v="2000718422"/>
    <n v="2000"/>
    <n v="120"/>
    <n v="0"/>
    <s v="U18660"/>
    <s v="L1174/75"/>
    <x v="40"/>
    <m/>
    <m/>
    <m/>
    <n v="0"/>
    <m/>
    <m/>
  </r>
  <r>
    <n v="3436"/>
    <x v="43"/>
    <s v="Day"/>
    <x v="0"/>
    <n v="2000718662"/>
    <n v="760"/>
    <n v="100"/>
    <n v="0"/>
    <s v="U27723"/>
    <s v="L1188/89"/>
    <x v="43"/>
    <m/>
    <m/>
    <m/>
    <n v="0"/>
    <m/>
    <m/>
  </r>
  <r>
    <n v="3437"/>
    <x v="43"/>
    <s v="Day"/>
    <x v="0"/>
    <n v="2000718747"/>
    <n v="600"/>
    <n v="480"/>
    <n v="0"/>
    <s v="U27723"/>
    <s v="L1188/89"/>
    <x v="43"/>
    <m/>
    <m/>
    <m/>
    <n v="0"/>
    <m/>
    <m/>
  </r>
  <r>
    <n v="3438"/>
    <x v="43"/>
    <s v="Day"/>
    <x v="0"/>
    <n v="2000717861"/>
    <n v="760"/>
    <n v="40"/>
    <n v="0"/>
    <s v="U27723"/>
    <s v="L1188/89"/>
    <x v="0"/>
    <m/>
    <m/>
    <m/>
    <n v="0"/>
    <m/>
    <m/>
  </r>
  <r>
    <n v="3439"/>
    <x v="43"/>
    <s v="Day"/>
    <x v="0"/>
    <n v="2000718746"/>
    <n v="580"/>
    <n v="80"/>
    <n v="0"/>
    <s v="U27723"/>
    <s v="L1188/89"/>
    <x v="17"/>
    <m/>
    <m/>
    <m/>
    <n v="0"/>
    <m/>
    <m/>
  </r>
  <r>
    <n v="3440"/>
    <x v="43"/>
    <s v="Day"/>
    <x v="0"/>
    <n v="2000718172"/>
    <n v="1400"/>
    <n v="233"/>
    <n v="0"/>
    <s v="U32991"/>
    <s v="L1193/94"/>
    <x v="192"/>
    <m/>
    <m/>
    <m/>
    <n v="0"/>
    <m/>
    <m/>
  </r>
  <r>
    <n v="3441"/>
    <x v="43"/>
    <s v="Day"/>
    <x v="0"/>
    <n v="2000717622"/>
    <n v="700"/>
    <n v="30"/>
    <n v="0"/>
    <s v="U32991"/>
    <s v="L1193/94"/>
    <x v="116"/>
    <m/>
    <m/>
    <m/>
    <n v="0"/>
    <m/>
    <m/>
  </r>
  <r>
    <n v="3442"/>
    <x v="43"/>
    <s v="Day"/>
    <x v="0"/>
    <n v="2000718170"/>
    <n v="670"/>
    <n v="30"/>
    <n v="0"/>
    <s v="U32991"/>
    <s v="L1193/94"/>
    <x v="116"/>
    <m/>
    <m/>
    <m/>
    <n v="0"/>
    <m/>
    <m/>
  </r>
  <r>
    <n v="3443"/>
    <x v="43"/>
    <s v="Day"/>
    <x v="0"/>
    <n v="2000718445"/>
    <n v="1060"/>
    <n v="230"/>
    <n v="0"/>
    <s v="U32991"/>
    <s v="L1193/94"/>
    <x v="116"/>
    <m/>
    <m/>
    <m/>
    <n v="0"/>
    <m/>
    <m/>
  </r>
  <r>
    <n v="3444"/>
    <x v="43"/>
    <s v="Day"/>
    <x v="0"/>
    <n v="2000718662"/>
    <n v="760"/>
    <n v="80"/>
    <n v="0"/>
    <s v="U27687"/>
    <s v="L1188/89"/>
    <x v="43"/>
    <m/>
    <m/>
    <m/>
    <n v="0"/>
    <m/>
    <m/>
  </r>
  <r>
    <n v="3445"/>
    <x v="43"/>
    <s v="Day"/>
    <x v="0"/>
    <n v="2000718746"/>
    <n v="580"/>
    <n v="360"/>
    <n v="0"/>
    <s v="U27687"/>
    <s v="L1188/89"/>
    <x v="17"/>
    <m/>
    <m/>
    <m/>
    <n v="0"/>
    <m/>
    <m/>
  </r>
  <r>
    <n v="3446"/>
    <x v="43"/>
    <s v="Day"/>
    <x v="0"/>
    <n v="2000718547"/>
    <n v="446"/>
    <n v="1"/>
    <n v="0"/>
    <s v="U27687"/>
    <s v="L1188/89"/>
    <x v="16"/>
    <m/>
    <m/>
    <m/>
    <n v="0"/>
    <m/>
    <m/>
  </r>
  <r>
    <n v="3447"/>
    <x v="43"/>
    <s v="Day"/>
    <x v="0"/>
    <n v="2000718463"/>
    <n v="540"/>
    <n v="180"/>
    <n v="0"/>
    <s v="U27687"/>
    <s v="L1170/71"/>
    <x v="45"/>
    <m/>
    <m/>
    <m/>
    <n v="0"/>
    <m/>
    <m/>
  </r>
  <r>
    <n v="3448"/>
    <x v="43"/>
    <s v="Day"/>
    <x v="0"/>
    <n v="2000717729"/>
    <n v="1000"/>
    <n v="200"/>
    <n v="0"/>
    <s v="U03968"/>
    <s v="L1077"/>
    <x v="33"/>
    <m/>
    <m/>
    <m/>
    <n v="0"/>
    <m/>
    <m/>
  </r>
  <r>
    <n v="3449"/>
    <x v="43"/>
    <s v="Day"/>
    <x v="0"/>
    <n v="2000718420"/>
    <n v="1000"/>
    <n v="200"/>
    <n v="0"/>
    <s v="U03968"/>
    <s v="L1174/75"/>
    <x v="62"/>
    <m/>
    <m/>
    <m/>
    <n v="0"/>
    <m/>
    <m/>
  </r>
  <r>
    <n v="3450"/>
    <x v="43"/>
    <s v="Day"/>
    <x v="0"/>
    <n v="2000718260"/>
    <n v="1200"/>
    <n v="200"/>
    <n v="0"/>
    <s v="U03968"/>
    <s v="L1186"/>
    <x v="34"/>
    <m/>
    <m/>
    <m/>
    <n v="0"/>
    <m/>
    <m/>
  </r>
  <r>
    <n v="3451"/>
    <x v="43"/>
    <s v="Day"/>
    <x v="0"/>
    <n v="2000715607"/>
    <n v="450"/>
    <n v="300"/>
    <n v="0"/>
    <s v="U03968"/>
    <s v="L1172"/>
    <x v="165"/>
    <m/>
    <m/>
    <m/>
    <n v="0"/>
    <m/>
    <m/>
  </r>
  <r>
    <n v="3452"/>
    <x v="43"/>
    <s v="Day"/>
    <x v="0"/>
    <n v="2000718262"/>
    <n v="1200"/>
    <n v="300"/>
    <n v="0"/>
    <s v="U03968"/>
    <s v="L1186"/>
    <x v="35"/>
    <m/>
    <m/>
    <m/>
    <n v="0"/>
    <m/>
    <m/>
  </r>
  <r>
    <n v="3453"/>
    <x v="43"/>
    <s v="Day"/>
    <x v="0"/>
    <n v="2000717731"/>
    <n v="1000"/>
    <n v="200"/>
    <n v="0"/>
    <s v="U03968"/>
    <s v="L1077"/>
    <x v="36"/>
    <m/>
    <m/>
    <m/>
    <n v="0"/>
    <m/>
    <m/>
  </r>
  <r>
    <n v="3454"/>
    <x v="43"/>
    <s v="Day"/>
    <x v="0"/>
    <n v="2000718820"/>
    <n v="3609"/>
    <n v="240"/>
    <n v="0"/>
    <s v="U03968"/>
    <s v="L1172/73"/>
    <x v="7"/>
    <m/>
    <m/>
    <m/>
    <n v="0"/>
    <m/>
    <m/>
  </r>
  <r>
    <n v="3455"/>
    <x v="43"/>
    <s v="Day"/>
    <x v="0"/>
    <n v="2000716803"/>
    <n v="2000"/>
    <n v="300"/>
    <n v="0"/>
    <s v="U03968"/>
    <s v="L1174/75"/>
    <x v="62"/>
    <m/>
    <m/>
    <m/>
    <n v="0"/>
    <m/>
    <m/>
  </r>
  <r>
    <n v="3456"/>
    <x v="43"/>
    <s v="Day"/>
    <x v="0"/>
    <n v="2000716802"/>
    <n v="540"/>
    <n v="200"/>
    <n v="0"/>
    <s v="U03968"/>
    <s v="L1174/75"/>
    <x v="62"/>
    <m/>
    <m/>
    <m/>
    <n v="0"/>
    <m/>
    <m/>
  </r>
  <r>
    <n v="3457"/>
    <x v="43"/>
    <s v="Day"/>
    <x v="0"/>
    <n v="2000718819"/>
    <n v="1800"/>
    <n v="120"/>
    <n v="0"/>
    <s v="U03968"/>
    <s v="L1151/52"/>
    <x v="85"/>
    <m/>
    <m/>
    <m/>
    <n v="0"/>
    <m/>
    <m/>
  </r>
  <r>
    <n v="3458"/>
    <x v="43"/>
    <s v="Day"/>
    <x v="0"/>
    <n v="2000718212"/>
    <n v="1800"/>
    <n v="160"/>
    <n v="0"/>
    <s v="U30500"/>
    <s v="L1077"/>
    <x v="36"/>
    <m/>
    <m/>
    <m/>
    <n v="0"/>
    <m/>
    <m/>
  </r>
  <r>
    <n v="3459"/>
    <x v="43"/>
    <s v="Day"/>
    <x v="0"/>
    <n v="2000717643"/>
    <n v="1800"/>
    <n v="120"/>
    <n v="0"/>
    <s v="U30500"/>
    <s v="L1151/52"/>
    <x v="85"/>
    <m/>
    <m/>
    <m/>
    <n v="0"/>
    <m/>
    <m/>
  </r>
  <r>
    <n v="3460"/>
    <x v="43"/>
    <s v="Day"/>
    <x v="0"/>
    <n v="2000718819"/>
    <n v="1800"/>
    <n v="240"/>
    <n v="0"/>
    <s v="U30500"/>
    <s v="L1151/52"/>
    <x v="85"/>
    <m/>
    <m/>
    <m/>
    <n v="0"/>
    <m/>
    <m/>
  </r>
  <r>
    <n v="3461"/>
    <x v="43"/>
    <s v="Day"/>
    <x v="0"/>
    <n v="2000715193"/>
    <n v="1680"/>
    <n v="240"/>
    <n v="0"/>
    <s v="U30500"/>
    <s v="L1193/94"/>
    <x v="30"/>
    <m/>
    <m/>
    <m/>
    <n v="0"/>
    <m/>
    <m/>
  </r>
  <r>
    <n v="3462"/>
    <x v="43"/>
    <s v="Day"/>
    <x v="0"/>
    <n v="2000718261"/>
    <n v="1200"/>
    <n v="100"/>
    <n v="0"/>
    <s v="U30500"/>
    <s v="L1186"/>
    <x v="32"/>
    <m/>
    <m/>
    <m/>
    <n v="0"/>
    <m/>
    <m/>
  </r>
  <r>
    <n v="3463"/>
    <x v="43"/>
    <s v="Day"/>
    <x v="0"/>
    <n v="2000714220"/>
    <n v="576"/>
    <n v="1"/>
    <n v="0"/>
    <s v="U29686"/>
    <s v="L1170/71"/>
    <x v="46"/>
    <m/>
    <m/>
    <m/>
    <n v="0"/>
    <m/>
    <m/>
  </r>
  <r>
    <n v="3464"/>
    <x v="43"/>
    <s v="Day"/>
    <x v="0"/>
    <n v="2000718462"/>
    <n v="1500"/>
    <n v="188"/>
    <n v="0"/>
    <s v="U29686"/>
    <s v="L1188/89"/>
    <x v="109"/>
    <m/>
    <m/>
    <m/>
    <n v="0"/>
    <m/>
    <m/>
  </r>
  <r>
    <n v="3465"/>
    <x v="43"/>
    <s v="Day"/>
    <x v="0"/>
    <n v="2000718463"/>
    <n v="540"/>
    <n v="347"/>
    <n v="0"/>
    <s v="U29686"/>
    <s v="L1170/71"/>
    <x v="46"/>
    <m/>
    <m/>
    <m/>
    <n v="0"/>
    <m/>
    <m/>
  </r>
  <r>
    <n v="3466"/>
    <x v="43"/>
    <s v="Day"/>
    <x v="0"/>
    <n v="2000718464"/>
    <n v="2000"/>
    <n v="120"/>
    <n v="0"/>
    <s v="U29686"/>
    <s v="L1209/10"/>
    <x v="68"/>
    <m/>
    <m/>
    <m/>
    <n v="0"/>
    <s v="\\vn-file\QC Department\4.OQC\00. OQC Performance\03. Images\01. NG\20210316-NG-718464.jpg"/>
    <s v="\\vn-file\QC Department\4.OQC\00. OQC Performance\03. Images\02. OK\20210316-OK-718464.jpg"/>
  </r>
  <r>
    <n v="3467"/>
    <x v="43"/>
    <s v="Day"/>
    <x v="1"/>
    <n v="2000718409"/>
    <n v="600"/>
    <n v="80"/>
    <n v="0"/>
    <s v="U15759"/>
    <s v="PSLV"/>
    <x v="91"/>
    <m/>
    <m/>
    <m/>
    <n v="0"/>
    <m/>
    <m/>
  </r>
  <r>
    <n v="3468"/>
    <x v="43"/>
    <s v="Day"/>
    <x v="1"/>
    <n v="2000718022"/>
    <n v="420"/>
    <n v="105"/>
    <n v="0"/>
    <s v="U15759"/>
    <s v="SHANKS"/>
    <x v="187"/>
    <m/>
    <m/>
    <m/>
    <n v="0"/>
    <m/>
    <m/>
  </r>
  <r>
    <n v="3469"/>
    <x v="43"/>
    <s v="Day"/>
    <x v="1"/>
    <n v="2000718408"/>
    <n v="480"/>
    <n v="90"/>
    <n v="0"/>
    <s v="U15759"/>
    <s v="BORUTO"/>
    <x v="107"/>
    <m/>
    <m/>
    <m/>
    <n v="0"/>
    <m/>
    <m/>
  </r>
  <r>
    <n v="3470"/>
    <x v="43"/>
    <s v="Day"/>
    <x v="1"/>
    <n v="2000718406"/>
    <n v="1000"/>
    <n v="150"/>
    <n v="0"/>
    <s v="U15759"/>
    <s v="SHANKS"/>
    <x v="106"/>
    <m/>
    <m/>
    <m/>
    <n v="0"/>
    <m/>
    <m/>
  </r>
  <r>
    <n v="3471"/>
    <x v="43"/>
    <s v="Day"/>
    <x v="1"/>
    <n v="2000718403"/>
    <n v="500"/>
    <n v="140"/>
    <n v="0"/>
    <s v="U15759"/>
    <s v="PSHV"/>
    <x v="25"/>
    <m/>
    <m/>
    <m/>
    <n v="0"/>
    <m/>
    <m/>
  </r>
  <r>
    <n v="3472"/>
    <x v="43"/>
    <s v="Day"/>
    <x v="1"/>
    <n v="2000718023"/>
    <n v="400"/>
    <n v="175"/>
    <n v="0"/>
    <s v="U15759"/>
    <s v="SHANKS"/>
    <x v="24"/>
    <m/>
    <m/>
    <m/>
    <n v="0"/>
    <m/>
    <m/>
  </r>
  <r>
    <n v="3473"/>
    <x v="43"/>
    <s v="Day"/>
    <x v="1"/>
    <n v="2000718019"/>
    <n v="620"/>
    <n v="100"/>
    <n v="0"/>
    <s v="U15759"/>
    <s v="PSLV"/>
    <x v="53"/>
    <m/>
    <m/>
    <m/>
    <n v="0"/>
    <m/>
    <m/>
  </r>
  <r>
    <n v="3474"/>
    <x v="43"/>
    <s v="Day"/>
    <x v="1"/>
    <n v="2000716866"/>
    <n v="90"/>
    <n v="66"/>
    <n v="0"/>
    <s v="U15759"/>
    <s v="PSLV"/>
    <x v="135"/>
    <m/>
    <m/>
    <m/>
    <n v="0"/>
    <m/>
    <m/>
  </r>
  <r>
    <n v="3475"/>
    <x v="43"/>
    <s v="Night"/>
    <x v="0"/>
    <n v="2000718445"/>
    <n v="1060"/>
    <n v="160"/>
    <n v="0"/>
    <s v="U31065"/>
    <s v="L1193/94"/>
    <x v="116"/>
    <m/>
    <m/>
    <m/>
    <n v="0"/>
    <m/>
    <m/>
  </r>
  <r>
    <n v="3476"/>
    <x v="43"/>
    <s v="Night"/>
    <x v="0"/>
    <n v="2000717738"/>
    <n v="780"/>
    <n v="120"/>
    <n v="0"/>
    <s v="U31065"/>
    <s v="L1193/94"/>
    <x v="104"/>
    <m/>
    <m/>
    <m/>
    <n v="0"/>
    <m/>
    <m/>
  </r>
  <r>
    <n v="3477"/>
    <x v="43"/>
    <s v="Night"/>
    <x v="0"/>
    <n v="2000718171"/>
    <n v="720"/>
    <n v="390"/>
    <n v="0"/>
    <s v="U31065"/>
    <s v="L1193/94"/>
    <x v="192"/>
    <m/>
    <m/>
    <m/>
    <n v="0"/>
    <m/>
    <m/>
  </r>
  <r>
    <n v="3478"/>
    <x v="43"/>
    <s v="Night"/>
    <x v="0"/>
    <n v="2000718722"/>
    <n v="950"/>
    <n v="30"/>
    <n v="0"/>
    <s v="U30425"/>
    <s v="L1172/73"/>
    <x v="18"/>
    <m/>
    <m/>
    <m/>
    <n v="0"/>
    <m/>
    <m/>
  </r>
  <r>
    <n v="3479"/>
    <x v="43"/>
    <s v="Night"/>
    <x v="0"/>
    <n v="2000718421"/>
    <n v="1000"/>
    <n v="80"/>
    <n v="0"/>
    <s v="U30425"/>
    <s v="L1174/75"/>
    <x v="3"/>
    <m/>
    <m/>
    <m/>
    <n v="0"/>
    <m/>
    <m/>
  </r>
  <r>
    <n v="3480"/>
    <x v="43"/>
    <s v="Night"/>
    <x v="0"/>
    <n v="2000718414"/>
    <n v="900"/>
    <n v="80"/>
    <n v="0"/>
    <s v="U30425"/>
    <s v="L1172/73"/>
    <x v="83"/>
    <m/>
    <m/>
    <m/>
    <n v="0"/>
    <m/>
    <m/>
  </r>
  <r>
    <n v="3481"/>
    <x v="43"/>
    <s v="Night"/>
    <x v="0"/>
    <n v="2000718770"/>
    <n v="840"/>
    <n v="80"/>
    <n v="0"/>
    <s v="U30425"/>
    <s v="L1144/47"/>
    <x v="71"/>
    <m/>
    <m/>
    <m/>
    <n v="0"/>
    <m/>
    <m/>
  </r>
  <r>
    <n v="3482"/>
    <x v="43"/>
    <s v="Night"/>
    <x v="0"/>
    <n v="2000718713"/>
    <n v="2368"/>
    <n v="120"/>
    <n v="0"/>
    <s v="U30425"/>
    <s v="L1128/29"/>
    <x v="11"/>
    <m/>
    <m/>
    <m/>
    <n v="0"/>
    <m/>
    <m/>
  </r>
  <r>
    <n v="3483"/>
    <x v="43"/>
    <s v="Night"/>
    <x v="0"/>
    <n v="2000718427"/>
    <n v="1100"/>
    <n v="80"/>
    <n v="0"/>
    <s v="U30425"/>
    <s v="L1144/47"/>
    <x v="120"/>
    <m/>
    <m/>
    <m/>
    <n v="0"/>
    <m/>
    <m/>
  </r>
  <r>
    <n v="3484"/>
    <x v="43"/>
    <s v="Night"/>
    <x v="0"/>
    <n v="2000718784"/>
    <n v="1200"/>
    <n v="120"/>
    <n v="0"/>
    <s v="U30425"/>
    <s v="L1186"/>
    <x v="4"/>
    <m/>
    <m/>
    <m/>
    <n v="0"/>
    <m/>
    <m/>
  </r>
  <r>
    <n v="3485"/>
    <x v="43"/>
    <s v="Night"/>
    <x v="0"/>
    <n v="2000718756"/>
    <n v="2000"/>
    <n v="60"/>
    <n v="0"/>
    <s v="U30425"/>
    <s v="L1174/75"/>
    <x v="61"/>
    <m/>
    <m/>
    <m/>
    <n v="0"/>
    <m/>
    <m/>
  </r>
  <r>
    <n v="3486"/>
    <x v="43"/>
    <s v="Night"/>
    <x v="0"/>
    <n v="2000719088"/>
    <n v="20"/>
    <n v="20"/>
    <n v="0"/>
    <s v="U30425"/>
    <s v="L1144/47"/>
    <x v="170"/>
    <m/>
    <m/>
    <m/>
    <n v="0"/>
    <m/>
    <m/>
  </r>
  <r>
    <n v="3487"/>
    <x v="43"/>
    <s v="Night"/>
    <x v="0"/>
    <n v="2000717835"/>
    <n v="3000"/>
    <n v="120"/>
    <n v="0"/>
    <s v="U30425"/>
    <s v="L1168/69"/>
    <x v="37"/>
    <m/>
    <m/>
    <m/>
    <n v="0"/>
    <m/>
    <m/>
  </r>
  <r>
    <n v="3488"/>
    <x v="43"/>
    <s v="Night"/>
    <x v="0"/>
    <n v="2000718748"/>
    <n v="560"/>
    <n v="354"/>
    <n v="0"/>
    <s v="U27724"/>
    <s v="L1188/89"/>
    <x v="168"/>
    <m/>
    <m/>
    <m/>
    <n v="0"/>
    <m/>
    <m/>
  </r>
  <r>
    <n v="3489"/>
    <x v="43"/>
    <s v="Night"/>
    <x v="0"/>
    <n v="2000718464"/>
    <n v="2000"/>
    <n v="90"/>
    <n v="0"/>
    <s v="U27724"/>
    <s v="L1209/10"/>
    <x v="68"/>
    <m/>
    <m/>
    <m/>
    <n v="0"/>
    <m/>
    <m/>
  </r>
  <r>
    <n v="3490"/>
    <x v="43"/>
    <s v="Night"/>
    <x v="0"/>
    <n v="2000718328"/>
    <n v="1240"/>
    <n v="220"/>
    <n v="0"/>
    <s v="U27724"/>
    <s v="L1188/89"/>
    <x v="0"/>
    <m/>
    <m/>
    <m/>
    <n v="0"/>
    <m/>
    <m/>
  </r>
  <r>
    <n v="3491"/>
    <x v="43"/>
    <s v="Night"/>
    <x v="0"/>
    <n v="2000717861"/>
    <n v="760"/>
    <n v="80"/>
    <n v="0"/>
    <s v="U27724"/>
    <s v="L1188/89"/>
    <x v="0"/>
    <m/>
    <m/>
    <m/>
    <n v="0"/>
    <m/>
    <m/>
  </r>
  <r>
    <n v="3492"/>
    <x v="43"/>
    <s v="Night"/>
    <x v="0"/>
    <n v="2000718464"/>
    <n v="2000"/>
    <n v="90"/>
    <n v="0"/>
    <s v="U30119"/>
    <s v="L1209/10"/>
    <x v="68"/>
    <m/>
    <m/>
    <m/>
    <n v="0"/>
    <m/>
    <m/>
  </r>
  <r>
    <n v="3493"/>
    <x v="43"/>
    <s v="Night"/>
    <x v="0"/>
    <n v="2000718464"/>
    <n v="2000"/>
    <n v="735"/>
    <n v="0"/>
    <s v="U23987"/>
    <s v="L1209/10"/>
    <x v="68"/>
    <m/>
    <m/>
    <m/>
    <n v="0"/>
    <m/>
    <m/>
  </r>
  <r>
    <n v="3494"/>
    <x v="43"/>
    <s v="Night"/>
    <x v="0"/>
    <n v="2000718333"/>
    <n v="3200"/>
    <n v="400"/>
    <n v="0"/>
    <s v="U26613"/>
    <s v="L1193/94"/>
    <x v="119"/>
    <m/>
    <m/>
    <m/>
    <n v="0"/>
    <m/>
    <m/>
  </r>
  <r>
    <n v="3495"/>
    <x v="43"/>
    <s v="Night"/>
    <x v="0"/>
    <n v="2000718432"/>
    <n v="1200"/>
    <n v="200"/>
    <n v="0"/>
    <s v="U26613"/>
    <s v="L1144/47"/>
    <x v="92"/>
    <m/>
    <m/>
    <m/>
    <n v="0"/>
    <m/>
    <m/>
  </r>
  <r>
    <n v="3496"/>
    <x v="43"/>
    <s v="Night"/>
    <x v="0"/>
    <n v="2000715607"/>
    <n v="450"/>
    <n v="147"/>
    <n v="0"/>
    <s v="U26613"/>
    <s v="L1172/73"/>
    <x v="165"/>
    <m/>
    <m/>
    <m/>
    <n v="0"/>
    <m/>
    <m/>
  </r>
  <r>
    <n v="3497"/>
    <x v="43"/>
    <s v="Night"/>
    <x v="0"/>
    <n v="2000718819"/>
    <n v="1800"/>
    <n v="640"/>
    <n v="0"/>
    <s v="U26613"/>
    <s v="L1151/52"/>
    <x v="85"/>
    <m/>
    <m/>
    <m/>
    <n v="0"/>
    <m/>
    <m/>
  </r>
  <r>
    <n v="3498"/>
    <x v="43"/>
    <s v="Night"/>
    <x v="0"/>
    <n v="2000712816"/>
    <n v="752"/>
    <n v="54"/>
    <n v="0"/>
    <s v="U26613"/>
    <s v="L1172/73"/>
    <x v="175"/>
    <m/>
    <m/>
    <m/>
    <n v="0"/>
    <m/>
    <m/>
  </r>
  <r>
    <n v="3499"/>
    <x v="43"/>
    <s v="Night"/>
    <x v="0"/>
    <n v="2000718748"/>
    <n v="560"/>
    <n v="120"/>
    <n v="0"/>
    <s v="U05944"/>
    <s v="L1188/89"/>
    <x v="168"/>
    <m/>
    <m/>
    <m/>
    <n v="0"/>
    <m/>
    <m/>
  </r>
  <r>
    <n v="3500"/>
    <x v="43"/>
    <s v="Night"/>
    <x v="0"/>
    <n v="2000718746"/>
    <n v="580"/>
    <n v="143"/>
    <n v="0"/>
    <s v="U05944"/>
    <s v="L1188/89"/>
    <x v="17"/>
    <m/>
    <m/>
    <m/>
    <n v="0"/>
    <m/>
    <m/>
  </r>
  <r>
    <n v="3501"/>
    <x v="43"/>
    <s v="Night"/>
    <x v="0"/>
    <n v="2000718464"/>
    <n v="2000"/>
    <n v="180"/>
    <n v="0"/>
    <s v="U05944"/>
    <s v="L1209/10"/>
    <x v="68"/>
    <m/>
    <m/>
    <m/>
    <n v="0"/>
    <m/>
    <m/>
  </r>
  <r>
    <n v="3502"/>
    <x v="43"/>
    <s v="Night"/>
    <x v="0"/>
    <n v="2000719021"/>
    <n v="602"/>
    <n v="200"/>
    <n v="0"/>
    <s v="U05944"/>
    <s v="L1188/89"/>
    <x v="122"/>
    <m/>
    <m/>
    <m/>
    <n v="0"/>
    <m/>
    <m/>
  </r>
  <r>
    <n v="3503"/>
    <x v="43"/>
    <s v="Night"/>
    <x v="0"/>
    <n v="2000718747"/>
    <n v="600"/>
    <n v="119"/>
    <n v="0"/>
    <s v="U09854"/>
    <s v="L1188/89"/>
    <x v="43"/>
    <m/>
    <m/>
    <m/>
    <n v="0"/>
    <m/>
    <m/>
  </r>
  <r>
    <n v="3504"/>
    <x v="43"/>
    <s v="Night"/>
    <x v="0"/>
    <n v="2000718445"/>
    <n v="1060"/>
    <n v="420"/>
    <n v="0"/>
    <s v="U09854"/>
    <s v="L1193/94"/>
    <x v="116"/>
    <m/>
    <m/>
    <m/>
    <n v="0"/>
    <m/>
    <m/>
  </r>
  <r>
    <n v="3505"/>
    <x v="43"/>
    <s v="Night"/>
    <x v="0"/>
    <n v="2000717622"/>
    <n v="700"/>
    <n v="14"/>
    <n v="0"/>
    <s v="U09854"/>
    <s v="L1193/94"/>
    <x v="116"/>
    <m/>
    <m/>
    <m/>
    <n v="0"/>
    <m/>
    <m/>
  </r>
  <r>
    <n v="3506"/>
    <x v="43"/>
    <s v="Night"/>
    <x v="0"/>
    <n v="2000718819"/>
    <n v="1800"/>
    <n v="160"/>
    <n v="0"/>
    <s v="U09854"/>
    <s v="L1151/52"/>
    <x v="85"/>
    <m/>
    <m/>
    <m/>
    <n v="0"/>
    <m/>
    <m/>
  </r>
  <r>
    <n v="3507"/>
    <x v="43"/>
    <s v="Night"/>
    <x v="0"/>
    <n v="2000718464"/>
    <n v="2000"/>
    <n v="90"/>
    <n v="0"/>
    <s v="U09854"/>
    <s v="L1209/10"/>
    <x v="68"/>
    <m/>
    <m/>
    <m/>
    <n v="0"/>
    <m/>
    <m/>
  </r>
  <r>
    <n v="3508"/>
    <x v="43"/>
    <s v="Night"/>
    <x v="0"/>
    <n v="2000718748"/>
    <n v="560"/>
    <n v="80"/>
    <n v="0"/>
    <s v="U36008"/>
    <s v="L1188/89"/>
    <x v="168"/>
    <m/>
    <m/>
    <m/>
    <n v="0"/>
    <m/>
    <m/>
  </r>
  <r>
    <n v="3509"/>
    <x v="43"/>
    <s v="Night"/>
    <x v="0"/>
    <n v="2000718833"/>
    <n v="280"/>
    <n v="277"/>
    <n v="0"/>
    <s v="U36008"/>
    <s v="L1188/89"/>
    <x v="47"/>
    <m/>
    <m/>
    <m/>
    <n v="0"/>
    <m/>
    <m/>
  </r>
  <r>
    <n v="3510"/>
    <x v="43"/>
    <s v="Night"/>
    <x v="0"/>
    <n v="2000708365"/>
    <n v="600"/>
    <n v="3"/>
    <n v="0"/>
    <s v="U36008"/>
    <s v="L1188/89"/>
    <x v="122"/>
    <m/>
    <m/>
    <m/>
    <n v="0"/>
    <m/>
    <m/>
  </r>
  <r>
    <n v="3511"/>
    <x v="43"/>
    <s v="Night"/>
    <x v="0"/>
    <n v="2000718322"/>
    <n v="400"/>
    <n v="8"/>
    <n v="0"/>
    <s v="U36008"/>
    <s v="L1188/89"/>
    <x v="47"/>
    <m/>
    <m/>
    <m/>
    <n v="0"/>
    <m/>
    <m/>
  </r>
  <r>
    <n v="3512"/>
    <x v="43"/>
    <s v="Night"/>
    <x v="0"/>
    <n v="2000719021"/>
    <n v="602"/>
    <n v="40"/>
    <n v="0"/>
    <s v="U36008"/>
    <s v="L1188/89"/>
    <x v="122"/>
    <m/>
    <m/>
    <m/>
    <n v="0"/>
    <m/>
    <m/>
  </r>
  <r>
    <n v="3513"/>
    <x v="43"/>
    <s v="Night"/>
    <x v="1"/>
    <n v="2000716867"/>
    <n v="260"/>
    <n v="100"/>
    <n v="0"/>
    <s v="U30119"/>
    <s v="PSLV"/>
    <x v="23"/>
    <m/>
    <m/>
    <m/>
    <n v="0"/>
    <m/>
    <m/>
  </r>
  <r>
    <n v="3514"/>
    <x v="43"/>
    <s v="Night"/>
    <x v="1"/>
    <n v="2000718021"/>
    <n v="800"/>
    <n v="180"/>
    <n v="0"/>
    <s v="U30119"/>
    <s v="SHANKS"/>
    <x v="67"/>
    <m/>
    <m/>
    <m/>
    <n v="0"/>
    <m/>
    <m/>
  </r>
  <r>
    <n v="3515"/>
    <x v="43"/>
    <s v="Night"/>
    <x v="1"/>
    <n v="2000718406"/>
    <n v="1000"/>
    <n v="150"/>
    <n v="0"/>
    <s v="U30119"/>
    <s v="SHANKS"/>
    <x v="106"/>
    <m/>
    <m/>
    <m/>
    <n v="0"/>
    <m/>
    <m/>
  </r>
  <r>
    <n v="3516"/>
    <x v="43"/>
    <s v="Night"/>
    <x v="1"/>
    <n v="2000718407"/>
    <n v="700"/>
    <n v="140"/>
    <n v="0"/>
    <s v="U30119"/>
    <s v="SHANKS"/>
    <x v="24"/>
    <m/>
    <m/>
    <m/>
    <n v="0"/>
    <m/>
    <m/>
  </r>
  <r>
    <n v="3517"/>
    <x v="43"/>
    <s v="Night"/>
    <x v="1"/>
    <n v="2000718908"/>
    <n v="400"/>
    <n v="140"/>
    <n v="0"/>
    <s v="U30119"/>
    <s v="PSHV"/>
    <x v="25"/>
    <m/>
    <m/>
    <m/>
    <n v="0"/>
    <m/>
    <m/>
  </r>
  <r>
    <n v="3518"/>
    <x v="43"/>
    <s v="Night"/>
    <x v="1"/>
    <n v="2000718697"/>
    <n v="540"/>
    <n v="180"/>
    <n v="0"/>
    <s v="U30119"/>
    <s v="BORUTO"/>
    <x v="107"/>
    <m/>
    <m/>
    <m/>
    <n v="0"/>
    <m/>
    <m/>
  </r>
  <r>
    <n v="3519"/>
    <x v="44"/>
    <s v="Day"/>
    <x v="0"/>
    <n v="2000718328"/>
    <n v="1240"/>
    <n v="40"/>
    <n v="0"/>
    <s v="U27723"/>
    <s v="L1188/89"/>
    <x v="0"/>
    <m/>
    <m/>
    <m/>
    <n v="0"/>
    <m/>
    <m/>
  </r>
  <r>
    <n v="3520"/>
    <x v="44"/>
    <s v="Day"/>
    <x v="0"/>
    <n v="2000718834"/>
    <n v="360"/>
    <n v="318"/>
    <n v="0"/>
    <s v="U27723"/>
    <s v="L1188/89"/>
    <x v="72"/>
    <m/>
    <m/>
    <m/>
    <n v="0"/>
    <m/>
    <m/>
  </r>
  <r>
    <n v="3521"/>
    <x v="44"/>
    <s v="Day"/>
    <x v="0"/>
    <n v="2000715193"/>
    <n v="1680"/>
    <n v="240"/>
    <n v="0"/>
    <s v="U27723"/>
    <s v="L1193/94"/>
    <x v="248"/>
    <m/>
    <m/>
    <m/>
    <n v="0"/>
    <m/>
    <m/>
  </r>
  <r>
    <n v="3522"/>
    <x v="44"/>
    <s v="Day"/>
    <x v="0"/>
    <n v="2000718754"/>
    <n v="1306"/>
    <n v="228"/>
    <n v="0"/>
    <s v="U27723"/>
    <s v="L1188/89"/>
    <x v="43"/>
    <m/>
    <m/>
    <m/>
    <n v="0"/>
    <m/>
    <m/>
  </r>
  <r>
    <n v="3523"/>
    <x v="44"/>
    <s v="Day"/>
    <x v="0"/>
    <n v="2000719022"/>
    <n v="1680"/>
    <n v="40"/>
    <n v="0"/>
    <s v="U27723"/>
    <s v="L1188/89"/>
    <x v="98"/>
    <m/>
    <m/>
    <m/>
    <n v="0"/>
    <m/>
    <m/>
  </r>
  <r>
    <n v="3524"/>
    <x v="44"/>
    <s v="Day"/>
    <x v="0"/>
    <n v="2000718328"/>
    <n v="1240"/>
    <n v="20"/>
    <n v="0"/>
    <s v="U27687"/>
    <s v="L1188/89"/>
    <x v="0"/>
    <m/>
    <m/>
    <m/>
    <n v="0"/>
    <m/>
    <m/>
  </r>
  <r>
    <n v="3525"/>
    <x v="44"/>
    <s v="Day"/>
    <x v="0"/>
    <n v="2000718834"/>
    <n v="360"/>
    <n v="40"/>
    <n v="0"/>
    <s v="U27687"/>
    <s v="L1188/89"/>
    <x v="72"/>
    <m/>
    <m/>
    <m/>
    <n v="0"/>
    <m/>
    <m/>
  </r>
  <r>
    <n v="3526"/>
    <x v="44"/>
    <s v="Day"/>
    <x v="0"/>
    <n v="2000718186"/>
    <n v="280"/>
    <n v="200"/>
    <n v="0"/>
    <s v="U27687"/>
    <s v="L1172/73"/>
    <x v="145"/>
    <m/>
    <m/>
    <m/>
    <n v="0"/>
    <m/>
    <m/>
  </r>
  <r>
    <n v="3527"/>
    <x v="44"/>
    <s v="Day"/>
    <x v="0"/>
    <n v="2000718754"/>
    <n v="1306"/>
    <n v="80"/>
    <n v="0"/>
    <s v="U27687"/>
    <s v="L1188/89"/>
    <x v="43"/>
    <m/>
    <m/>
    <m/>
    <n v="0"/>
    <m/>
    <m/>
  </r>
  <r>
    <n v="3528"/>
    <x v="44"/>
    <s v="Day"/>
    <x v="0"/>
    <n v="2000718788"/>
    <n v="1600"/>
    <n v="120"/>
    <n v="0"/>
    <s v="U27687"/>
    <s v="L1188/89"/>
    <x v="59"/>
    <m/>
    <m/>
    <m/>
    <n v="0"/>
    <m/>
    <m/>
  </r>
  <r>
    <n v="3529"/>
    <x v="44"/>
    <s v="Day"/>
    <x v="0"/>
    <n v="2000719022"/>
    <n v="1680"/>
    <n v="40"/>
    <n v="0"/>
    <s v="U27687"/>
    <s v="L1188/89"/>
    <x v="98"/>
    <m/>
    <m/>
    <m/>
    <n v="0"/>
    <m/>
    <m/>
  </r>
  <r>
    <n v="3530"/>
    <x v="44"/>
    <s v="Day"/>
    <x v="0"/>
    <n v="2000718464"/>
    <n v="2000"/>
    <n v="45"/>
    <n v="0"/>
    <s v="U18660"/>
    <s v="L1209/10"/>
    <x v="249"/>
    <m/>
    <m/>
    <m/>
    <n v="0"/>
    <m/>
    <m/>
  </r>
  <r>
    <n v="3531"/>
    <x v="44"/>
    <s v="Day"/>
    <x v="0"/>
    <n v="2000719005"/>
    <n v="990"/>
    <n v="75"/>
    <n v="0"/>
    <s v="U18660"/>
    <s v="L1209/10"/>
    <x v="55"/>
    <m/>
    <m/>
    <m/>
    <n v="0"/>
    <m/>
    <m/>
  </r>
  <r>
    <n v="3532"/>
    <x v="44"/>
    <s v="Day"/>
    <x v="0"/>
    <n v="2000718722"/>
    <n v="950"/>
    <n v="60"/>
    <n v="0"/>
    <s v="U18660"/>
    <s v="L1172/73"/>
    <x v="18"/>
    <m/>
    <m/>
    <m/>
    <n v="0"/>
    <m/>
    <m/>
  </r>
  <r>
    <n v="3533"/>
    <x v="44"/>
    <s v="Day"/>
    <x v="0"/>
    <n v="2000718725"/>
    <n v="650"/>
    <n v="80"/>
    <n v="0"/>
    <s v="U18660"/>
    <s v="L1172/73"/>
    <x v="19"/>
    <m/>
    <m/>
    <m/>
    <n v="0"/>
    <m/>
    <m/>
  </r>
  <r>
    <n v="3534"/>
    <x v="44"/>
    <s v="Day"/>
    <x v="0"/>
    <n v="2000719056"/>
    <n v="170"/>
    <n v="20"/>
    <n v="0"/>
    <s v="U18660"/>
    <s v="L1106"/>
    <x v="70"/>
    <m/>
    <m/>
    <m/>
    <n v="0"/>
    <m/>
    <m/>
  </r>
  <r>
    <n v="3535"/>
    <x v="44"/>
    <s v="Day"/>
    <x v="0"/>
    <n v="2000714730"/>
    <n v="400"/>
    <n v="2"/>
    <n v="0"/>
    <s v="U18660"/>
    <s v="L1188/89"/>
    <x v="122"/>
    <m/>
    <m/>
    <m/>
    <n v="0"/>
    <m/>
    <m/>
  </r>
  <r>
    <n v="3536"/>
    <x v="44"/>
    <s v="Day"/>
    <x v="0"/>
    <n v="2000718868"/>
    <n v="1300"/>
    <n v="270"/>
    <n v="0"/>
    <s v="U18660"/>
    <s v="L1188/89"/>
    <x v="84"/>
    <m/>
    <m/>
    <m/>
    <n v="0"/>
    <m/>
    <m/>
  </r>
  <r>
    <n v="3537"/>
    <x v="44"/>
    <s v="Day"/>
    <x v="0"/>
    <n v="2000718712"/>
    <n v="3808"/>
    <n v="200"/>
    <n v="0"/>
    <s v="U18660"/>
    <s v="L1112/13"/>
    <x v="8"/>
    <m/>
    <m/>
    <m/>
    <n v="0"/>
    <m/>
    <m/>
  </r>
  <r>
    <n v="3538"/>
    <x v="44"/>
    <s v="Day"/>
    <x v="0"/>
    <n v="2000718781"/>
    <n v="1200"/>
    <n v="100"/>
    <n v="0"/>
    <s v="U07492"/>
    <s v="L1186"/>
    <x v="34"/>
    <m/>
    <m/>
    <m/>
    <n v="0"/>
    <m/>
    <m/>
  </r>
  <r>
    <n v="3539"/>
    <x v="44"/>
    <s v="Day"/>
    <x v="0"/>
    <n v="2000718783"/>
    <n v="1200"/>
    <n v="150"/>
    <n v="0"/>
    <s v="U07492"/>
    <s v="L1186"/>
    <x v="35"/>
    <m/>
    <m/>
    <m/>
    <n v="0"/>
    <m/>
    <m/>
  </r>
  <r>
    <n v="3540"/>
    <x v="44"/>
    <s v="Day"/>
    <x v="0"/>
    <n v="2000718219"/>
    <n v="2000"/>
    <n v="160"/>
    <n v="0"/>
    <s v="U07492"/>
    <s v="L1077"/>
    <x v="36"/>
    <m/>
    <m/>
    <m/>
    <n v="0"/>
    <m/>
    <m/>
  </r>
  <r>
    <n v="3541"/>
    <x v="44"/>
    <s v="Day"/>
    <x v="0"/>
    <n v="2000716805"/>
    <n v="2000"/>
    <n v="200"/>
    <n v="0"/>
    <s v="U07492"/>
    <s v="L1174/75"/>
    <x v="62"/>
    <m/>
    <m/>
    <m/>
    <n v="0"/>
    <m/>
    <m/>
  </r>
  <r>
    <n v="3542"/>
    <x v="44"/>
    <s v="Day"/>
    <x v="0"/>
    <n v="2000718444"/>
    <n v="340"/>
    <n v="293"/>
    <n v="0"/>
    <s v="U32991"/>
    <s v="L1193/94"/>
    <x v="21"/>
    <m/>
    <m/>
    <m/>
    <n v="0"/>
    <m/>
    <m/>
  </r>
  <r>
    <n v="3543"/>
    <x v="44"/>
    <s v="Day"/>
    <x v="0"/>
    <n v="2000719075"/>
    <n v="442"/>
    <n v="240"/>
    <n v="0"/>
    <s v="U32991"/>
    <s v="L1193/94"/>
    <x v="123"/>
    <m/>
    <m/>
    <m/>
    <n v="0"/>
    <m/>
    <m/>
  </r>
  <r>
    <n v="3544"/>
    <x v="44"/>
    <s v="Day"/>
    <x v="0"/>
    <n v="2000718756"/>
    <n v="2000"/>
    <n v="70"/>
    <n v="0"/>
    <s v="U36206"/>
    <s v="L1174/75"/>
    <x v="61"/>
    <m/>
    <m/>
    <m/>
    <n v="0"/>
    <m/>
    <m/>
  </r>
  <r>
    <n v="3545"/>
    <x v="44"/>
    <s v="Day"/>
    <x v="0"/>
    <n v="2000718775"/>
    <n v="490"/>
    <n v="80"/>
    <n v="0"/>
    <s v="U36206"/>
    <s v="T543"/>
    <x v="100"/>
    <m/>
    <m/>
    <m/>
    <n v="0"/>
    <m/>
    <m/>
  </r>
  <r>
    <n v="3546"/>
    <x v="44"/>
    <s v="Day"/>
    <x v="0"/>
    <n v="2000718757"/>
    <n v="850"/>
    <n v="80"/>
    <n v="0"/>
    <s v="U36206"/>
    <s v="L1174/75"/>
    <x v="40"/>
    <m/>
    <m/>
    <m/>
    <n v="0"/>
    <m/>
    <m/>
  </r>
  <r>
    <n v="3547"/>
    <x v="44"/>
    <s v="Day"/>
    <x v="0"/>
    <n v="2000718776"/>
    <n v="710"/>
    <n v="80"/>
    <n v="0"/>
    <s v="U36206"/>
    <s v="L1144/47"/>
    <x v="1"/>
    <m/>
    <m/>
    <m/>
    <n v="0"/>
    <m/>
    <m/>
  </r>
  <r>
    <n v="3548"/>
    <x v="44"/>
    <s v="Day"/>
    <x v="0"/>
    <n v="2000718220"/>
    <n v="2000"/>
    <n v="60"/>
    <n v="0"/>
    <s v="U36206"/>
    <s v="L1077"/>
    <x v="2"/>
    <m/>
    <m/>
    <m/>
    <n v="0"/>
    <m/>
    <m/>
  </r>
  <r>
    <n v="3549"/>
    <x v="44"/>
    <s v="Day"/>
    <x v="0"/>
    <n v="2000718464"/>
    <n v="2000"/>
    <n v="184"/>
    <n v="0"/>
    <s v="U29686"/>
    <s v="L1209/10"/>
    <x v="68"/>
    <m/>
    <m/>
    <m/>
    <n v="0"/>
    <m/>
    <m/>
  </r>
  <r>
    <n v="3550"/>
    <x v="44"/>
    <s v="Day"/>
    <x v="0"/>
    <n v="2000718868"/>
    <n v="1300"/>
    <n v="508"/>
    <n v="0"/>
    <s v="U29686"/>
    <s v="L1188/89"/>
    <x v="84"/>
    <m/>
    <m/>
    <m/>
    <n v="0"/>
    <m/>
    <m/>
  </r>
  <r>
    <n v="3551"/>
    <x v="44"/>
    <s v="Day"/>
    <x v="0"/>
    <n v="2000719005"/>
    <n v="990"/>
    <n v="60"/>
    <n v="0"/>
    <s v="U29686"/>
    <s v="L1209/10"/>
    <x v="55"/>
    <m/>
    <m/>
    <m/>
    <n v="0"/>
    <m/>
    <m/>
  </r>
  <r>
    <n v="3552"/>
    <x v="44"/>
    <s v="Day"/>
    <x v="0"/>
    <n v="2000718819"/>
    <n v="1800"/>
    <n v="440"/>
    <n v="0"/>
    <s v="U30500"/>
    <s v="L1151/52"/>
    <x v="85"/>
    <m/>
    <m/>
    <m/>
    <n v="0"/>
    <m/>
    <m/>
  </r>
  <r>
    <n v="3553"/>
    <x v="44"/>
    <s v="Day"/>
    <x v="0"/>
    <n v="2000718818"/>
    <n v="7860"/>
    <n v="300"/>
    <n v="0"/>
    <s v="U30500"/>
    <s v="L1112/13"/>
    <x v="75"/>
    <m/>
    <m/>
    <m/>
    <n v="0"/>
    <m/>
    <m/>
  </r>
  <r>
    <n v="3554"/>
    <x v="44"/>
    <s v="Day"/>
    <x v="0"/>
    <n v="2000718214"/>
    <n v="1800"/>
    <n v="150"/>
    <n v="0"/>
    <s v="U30500"/>
    <s v="L1077"/>
    <x v="33"/>
    <m/>
    <m/>
    <m/>
    <n v="0"/>
    <m/>
    <m/>
  </r>
  <r>
    <n v="3555"/>
    <x v="44"/>
    <s v="Day"/>
    <x v="0"/>
    <n v="2000716804"/>
    <n v="800"/>
    <n v="100"/>
    <n v="0"/>
    <s v="U30500"/>
    <s v="L1174/75"/>
    <x v="62"/>
    <m/>
    <m/>
    <m/>
    <n v="0"/>
    <m/>
    <m/>
  </r>
  <r>
    <n v="3556"/>
    <x v="44"/>
    <s v="Day"/>
    <x v="0"/>
    <n v="2000718433"/>
    <n v="1200"/>
    <n v="100"/>
    <n v="0"/>
    <s v="U30500"/>
    <s v="L1144/47"/>
    <x v="250"/>
    <m/>
    <m/>
    <m/>
    <n v="0"/>
    <m/>
    <m/>
  </r>
  <r>
    <n v="3557"/>
    <x v="44"/>
    <s v="Day"/>
    <x v="0"/>
    <n v="2000718434"/>
    <n v="1200"/>
    <n v="150"/>
    <n v="0"/>
    <s v="U30500"/>
    <s v="L1144/47"/>
    <x v="13"/>
    <m/>
    <m/>
    <m/>
    <n v="0"/>
    <m/>
    <m/>
  </r>
  <r>
    <n v="3558"/>
    <x v="44"/>
    <s v="Day"/>
    <x v="0"/>
    <n v="2000715192"/>
    <n v="3960"/>
    <n v="200"/>
    <n v="0"/>
    <s v="U30500"/>
    <s v="L1144/47"/>
    <x v="14"/>
    <m/>
    <m/>
    <m/>
    <n v="0"/>
    <m/>
    <m/>
  </r>
  <r>
    <n v="3559"/>
    <x v="44"/>
    <s v="Day"/>
    <x v="0"/>
    <n v="2000718782"/>
    <n v="1200"/>
    <n v="100"/>
    <n v="0"/>
    <s v="U30500"/>
    <s v="L1186"/>
    <x v="251"/>
    <m/>
    <m/>
    <m/>
    <n v="0"/>
    <m/>
    <m/>
  </r>
  <r>
    <n v="3560"/>
    <x v="44"/>
    <s v="Day"/>
    <x v="1"/>
    <n v="2000718407"/>
    <n v="700"/>
    <n v="175"/>
    <n v="0"/>
    <s v="U15759"/>
    <s v="SHANKS"/>
    <x v="24"/>
    <m/>
    <m/>
    <m/>
    <n v="0"/>
    <m/>
    <m/>
  </r>
  <r>
    <n v="3561"/>
    <x v="44"/>
    <s v="Day"/>
    <x v="1"/>
    <n v="2000718021"/>
    <n v="800"/>
    <n v="80"/>
    <n v="0"/>
    <s v="U15759"/>
    <s v="SHANKS"/>
    <x v="67"/>
    <m/>
    <m/>
    <m/>
    <n v="0"/>
    <m/>
    <m/>
  </r>
  <r>
    <n v="3562"/>
    <x v="44"/>
    <s v="Day"/>
    <x v="1"/>
    <n v="2000718697"/>
    <n v="540"/>
    <n v="360"/>
    <n v="0"/>
    <s v="U15759"/>
    <s v="BORUTO"/>
    <x v="107"/>
    <m/>
    <m/>
    <m/>
    <n v="0"/>
    <m/>
    <m/>
  </r>
  <r>
    <n v="3563"/>
    <x v="44"/>
    <s v="Day"/>
    <x v="1"/>
    <n v="2000718700"/>
    <n v="660"/>
    <n v="110"/>
    <n v="0"/>
    <s v="U15759"/>
    <s v="PSLV"/>
    <x v="153"/>
    <m/>
    <m/>
    <m/>
    <n v="0"/>
    <m/>
    <m/>
  </r>
  <r>
    <n v="3564"/>
    <x v="44"/>
    <s v="Day"/>
    <x v="1"/>
    <n v="2000718698"/>
    <n v="270"/>
    <n v="90"/>
    <n v="0"/>
    <s v="U15759"/>
    <s v="BORUTO"/>
    <x v="111"/>
    <m/>
    <m/>
    <m/>
    <n v="0"/>
    <m/>
    <m/>
  </r>
  <r>
    <n v="3565"/>
    <x v="44"/>
    <s v="Day"/>
    <x v="1"/>
    <n v="2000718018"/>
    <n v="350"/>
    <n v="70"/>
    <n v="0"/>
    <s v="U15759"/>
    <s v="PSHV"/>
    <x v="96"/>
    <m/>
    <m/>
    <m/>
    <n v="0"/>
    <m/>
    <m/>
  </r>
  <r>
    <n v="3566"/>
    <x v="44"/>
    <s v="Day"/>
    <x v="1"/>
    <n v="2000718692"/>
    <n v="300"/>
    <n v="60"/>
    <n v="0"/>
    <s v="U15759"/>
    <s v="PSHV"/>
    <x v="96"/>
    <m/>
    <m/>
    <m/>
    <n v="0"/>
    <m/>
    <m/>
  </r>
  <r>
    <n v="3567"/>
    <x v="44"/>
    <s v="Day"/>
    <x v="1"/>
    <n v="2000718404"/>
    <n v="190"/>
    <n v="30"/>
    <n v="0"/>
    <s v="U15759"/>
    <s v="PSLV"/>
    <x v="186"/>
    <m/>
    <m/>
    <m/>
    <n v="0"/>
    <m/>
    <m/>
  </r>
  <r>
    <n v="3568"/>
    <x v="44"/>
    <s v="Day"/>
    <x v="1"/>
    <n v="2000718981"/>
    <n v="945"/>
    <n v="90"/>
    <n v="0"/>
    <s v="U15759"/>
    <s v="PSHV"/>
    <x v="223"/>
    <m/>
    <m/>
    <m/>
    <n v="0"/>
    <m/>
    <m/>
  </r>
  <r>
    <n v="3569"/>
    <x v="44"/>
    <s v="Night"/>
    <x v="1"/>
    <n v="2000718692"/>
    <n v="300"/>
    <n v="90"/>
    <n v="0"/>
    <s v="U30119"/>
    <s v="PSHV"/>
    <x v="96"/>
    <m/>
    <m/>
    <m/>
    <n v="0"/>
    <m/>
    <m/>
  </r>
  <r>
    <n v="3570"/>
    <x v="44"/>
    <s v="Night"/>
    <x v="1"/>
    <n v="2000718695"/>
    <n v="300"/>
    <n v="150"/>
    <n v="0"/>
    <s v="U30119"/>
    <s v="SHANKS"/>
    <x v="147"/>
    <m/>
    <m/>
    <m/>
    <n v="0"/>
    <m/>
    <m/>
  </r>
  <r>
    <n v="3571"/>
    <x v="44"/>
    <s v="Night"/>
    <x v="1"/>
    <n v="2000716867"/>
    <n v="260"/>
    <n v="50"/>
    <n v="0"/>
    <s v="U30119"/>
    <s v="PSLV"/>
    <x v="23"/>
    <m/>
    <m/>
    <m/>
    <n v="0"/>
    <m/>
    <m/>
  </r>
  <r>
    <n v="3572"/>
    <x v="44"/>
    <s v="Night"/>
    <x v="1"/>
    <n v="2000718798"/>
    <n v="450"/>
    <n v="60"/>
    <n v="0"/>
    <s v="U30119"/>
    <s v="FLORA"/>
    <x v="28"/>
    <m/>
    <m/>
    <m/>
    <n v="0"/>
    <m/>
    <m/>
  </r>
  <r>
    <n v="3573"/>
    <x v="44"/>
    <s v="Night"/>
    <x v="1"/>
    <n v="2000718693"/>
    <n v="148"/>
    <n v="60"/>
    <n v="0"/>
    <s v="U30119"/>
    <s v="ZAKURO"/>
    <x v="114"/>
    <m/>
    <m/>
    <m/>
    <n v="0"/>
    <m/>
    <m/>
  </r>
  <r>
    <n v="3574"/>
    <x v="44"/>
    <s v="Night"/>
    <x v="1"/>
    <n v="2000718699"/>
    <n v="21"/>
    <n v="21"/>
    <n v="0"/>
    <s v="U30119"/>
    <s v="SHANKS"/>
    <x v="225"/>
    <m/>
    <m/>
    <m/>
    <n v="0"/>
    <m/>
    <m/>
  </r>
  <r>
    <n v="3575"/>
    <x v="44"/>
    <s v="Night"/>
    <x v="1"/>
    <n v="2000718694"/>
    <n v="96"/>
    <n v="96"/>
    <n v="0"/>
    <s v="U30119"/>
    <s v="SHANKS"/>
    <x v="52"/>
    <m/>
    <m/>
    <m/>
    <n v="0"/>
    <m/>
    <m/>
  </r>
  <r>
    <n v="3577"/>
    <x v="44"/>
    <s v="Night"/>
    <x v="1"/>
    <n v="2000718407"/>
    <n v="700"/>
    <n v="35"/>
    <n v="0"/>
    <s v="U30119"/>
    <s v="SHANKS"/>
    <x v="24"/>
    <m/>
    <m/>
    <m/>
    <n v="0"/>
    <m/>
    <m/>
  </r>
  <r>
    <n v="3578"/>
    <x v="44"/>
    <s v="Night"/>
    <x v="1"/>
    <n v="2000718696"/>
    <n v="700"/>
    <n v="35"/>
    <n v="0"/>
    <s v="U30119"/>
    <s v="SHANKS"/>
    <x v="24"/>
    <m/>
    <m/>
    <m/>
    <n v="0"/>
    <m/>
    <m/>
  </r>
  <r>
    <n v="3579"/>
    <x v="44"/>
    <s v="Night"/>
    <x v="0"/>
    <n v="2000713057"/>
    <n v="110"/>
    <n v="20"/>
    <n v="0"/>
    <s v="U26613"/>
    <s v="L1105"/>
    <x v="151"/>
    <m/>
    <m/>
    <m/>
    <n v="0"/>
    <m/>
    <m/>
  </r>
  <r>
    <n v="3580"/>
    <x v="44"/>
    <s v="Night"/>
    <x v="0"/>
    <n v="2000718822"/>
    <n v="4230"/>
    <n v="300"/>
    <n v="0"/>
    <s v="U26613"/>
    <s v="T515"/>
    <x v="15"/>
    <m/>
    <m/>
    <m/>
    <n v="0"/>
    <m/>
    <m/>
  </r>
  <r>
    <n v="3581"/>
    <x v="44"/>
    <s v="Night"/>
    <x v="0"/>
    <n v="2000716808"/>
    <n v="200"/>
    <n v="100"/>
    <n v="0"/>
    <s v="U26613"/>
    <s v="L1174/75"/>
    <x v="62"/>
    <m/>
    <m/>
    <m/>
    <n v="0"/>
    <m/>
    <m/>
  </r>
  <r>
    <n v="3582"/>
    <x v="44"/>
    <s v="Night"/>
    <x v="0"/>
    <n v="2000718753"/>
    <n v="850"/>
    <n v="200"/>
    <n v="0"/>
    <s v="U26613"/>
    <s v="L1174/75"/>
    <x v="62"/>
    <m/>
    <m/>
    <m/>
    <n v="0"/>
    <m/>
    <m/>
  </r>
  <r>
    <n v="3583"/>
    <x v="44"/>
    <s v="Night"/>
    <x v="0"/>
    <n v="2000718436"/>
    <n v="1200"/>
    <n v="100"/>
    <n v="0"/>
    <s v="U26613"/>
    <s v="L1144/47"/>
    <x v="92"/>
    <m/>
    <m/>
    <m/>
    <n v="0"/>
    <m/>
    <m/>
  </r>
  <r>
    <n v="3584"/>
    <x v="44"/>
    <s v="Night"/>
    <x v="0"/>
    <n v="2000718216"/>
    <n v="2000"/>
    <n v="150"/>
    <n v="0"/>
    <s v="U26613"/>
    <s v="L1077"/>
    <x v="10"/>
    <m/>
    <m/>
    <m/>
    <n v="0"/>
    <m/>
    <m/>
  </r>
  <r>
    <n v="3585"/>
    <x v="44"/>
    <s v="Night"/>
    <x v="0"/>
    <n v="2000719057"/>
    <n v="170"/>
    <n v="40"/>
    <n v="0"/>
    <s v="U26613"/>
    <s v="L1106"/>
    <x v="115"/>
    <m/>
    <m/>
    <m/>
    <n v="0"/>
    <m/>
    <m/>
  </r>
  <r>
    <n v="3586"/>
    <x v="44"/>
    <s v="Night"/>
    <x v="0"/>
    <n v="2000715913"/>
    <n v="300"/>
    <n v="150"/>
    <n v="0"/>
    <s v="U26613"/>
    <s v="L1172/73"/>
    <x v="175"/>
    <m/>
    <m/>
    <m/>
    <n v="0"/>
    <m/>
    <m/>
  </r>
  <r>
    <n v="3587"/>
    <x v="44"/>
    <s v="Night"/>
    <x v="0"/>
    <n v="2000718438"/>
    <n v="1200"/>
    <n v="150"/>
    <n v="0"/>
    <s v="U26613"/>
    <s v="L1144/47"/>
    <x v="13"/>
    <m/>
    <m/>
    <m/>
    <n v="0"/>
    <m/>
    <m/>
  </r>
  <r>
    <n v="3588"/>
    <x v="44"/>
    <s v="Night"/>
    <x v="0"/>
    <n v="2000719055"/>
    <n v="170"/>
    <n v="100"/>
    <n v="0"/>
    <s v="U26613"/>
    <s v="L1106"/>
    <x v="157"/>
    <m/>
    <m/>
    <m/>
    <n v="0"/>
    <m/>
    <m/>
  </r>
  <r>
    <n v="3589"/>
    <x v="44"/>
    <s v="Night"/>
    <x v="0"/>
    <n v="2000718755"/>
    <n v="2000"/>
    <n v="200"/>
    <n v="0"/>
    <s v="U26613"/>
    <s v="L1174/75"/>
    <x v="62"/>
    <m/>
    <m/>
    <m/>
    <n v="0"/>
    <m/>
    <m/>
  </r>
  <r>
    <n v="3590"/>
    <x v="44"/>
    <s v="Night"/>
    <x v="0"/>
    <n v="2000718437"/>
    <n v="1200"/>
    <n v="200"/>
    <n v="0"/>
    <s v="U26613"/>
    <s v="L1144/47"/>
    <x v="77"/>
    <m/>
    <m/>
    <m/>
    <n v="0"/>
    <m/>
    <m/>
  </r>
  <r>
    <n v="3591"/>
    <x v="44"/>
    <s v="Night"/>
    <x v="0"/>
    <n v="2000718819"/>
    <n v="1800"/>
    <n v="120"/>
    <n v="0"/>
    <s v="U26613"/>
    <s v="L1151/52"/>
    <x v="85"/>
    <m/>
    <m/>
    <m/>
    <n v="0"/>
    <m/>
    <m/>
  </r>
  <r>
    <n v="3592"/>
    <x v="44"/>
    <s v="Night"/>
    <x v="0"/>
    <n v="2000719035"/>
    <n v="1302"/>
    <n v="100"/>
    <n v="0"/>
    <s v="U26613"/>
    <s v="L1151/52"/>
    <x v="173"/>
    <m/>
    <m/>
    <m/>
    <n v="0"/>
    <m/>
    <m/>
  </r>
  <r>
    <n v="3593"/>
    <x v="44"/>
    <s v="Night"/>
    <x v="0"/>
    <n v="2000718664"/>
    <n v="1000"/>
    <n v="100"/>
    <n v="0"/>
    <s v="U26613"/>
    <s v="L1182"/>
    <x v="252"/>
    <m/>
    <m/>
    <m/>
    <n v="0"/>
    <m/>
    <m/>
  </r>
  <r>
    <n v="3594"/>
    <x v="44"/>
    <s v="Night"/>
    <x v="0"/>
    <n v="2000719022"/>
    <n v="1680"/>
    <n v="800"/>
    <n v="0"/>
    <s v="U27724"/>
    <s v="L1188/89"/>
    <x v="98"/>
    <m/>
    <m/>
    <m/>
    <n v="0"/>
    <m/>
    <m/>
  </r>
  <r>
    <n v="3595"/>
    <x v="44"/>
    <s v="Night"/>
    <x v="0"/>
    <n v="2000719022"/>
    <n v="1680"/>
    <n v="240"/>
    <n v="0"/>
    <s v="U05944"/>
    <s v="L1188/89"/>
    <x v="98"/>
    <m/>
    <m/>
    <m/>
    <n v="0"/>
    <m/>
    <m/>
  </r>
  <r>
    <n v="3596"/>
    <x v="44"/>
    <s v="Night"/>
    <x v="0"/>
    <n v="2000719075"/>
    <n v="442"/>
    <n v="205"/>
    <n v="0"/>
    <s v="U31065"/>
    <s v="L1193/94"/>
    <x v="123"/>
    <m/>
    <m/>
    <m/>
    <n v="0"/>
    <m/>
    <m/>
  </r>
  <r>
    <n v="3597"/>
    <x v="44"/>
    <s v="Night"/>
    <x v="0"/>
    <n v="2000718444"/>
    <n v="340"/>
    <n v="60"/>
    <n v="0"/>
    <s v="U31065"/>
    <s v="L1193/94"/>
    <x v="21"/>
    <m/>
    <m/>
    <m/>
    <n v="0"/>
    <m/>
    <m/>
  </r>
  <r>
    <n v="3598"/>
    <x v="44"/>
    <s v="Night"/>
    <x v="0"/>
    <n v="2000718765"/>
    <n v="660"/>
    <n v="360"/>
    <n v="1"/>
    <s v="U31065"/>
    <s v="L1193/94"/>
    <x v="192"/>
    <s v="Bong Pattern "/>
    <m/>
    <s v="VZ102"/>
    <n v="1"/>
    <s v="\\vn-file\QC Department\4.OQC\00. OQC Performance\03. Images\01. NG\20210317-NG-0344718765.jpg"/>
    <s v="\\vn-file\QC Department\4.OQC\00. OQC Performance\03. Images\02. OK\20210317-OK-0344718765.jpg"/>
  </r>
  <r>
    <n v="3599"/>
    <x v="44"/>
    <s v="Night"/>
    <x v="0"/>
    <n v="2000718170"/>
    <n v="670"/>
    <n v="30"/>
    <n v="0"/>
    <s v="U31065"/>
    <s v="L1193/94"/>
    <x v="116"/>
    <m/>
    <m/>
    <m/>
    <n v="0"/>
    <m/>
    <m/>
  </r>
  <r>
    <n v="3600"/>
    <x v="44"/>
    <s v="Night"/>
    <x v="0"/>
    <n v="2000719005"/>
    <n v="990"/>
    <n v="618"/>
    <n v="0"/>
    <s v="U23987"/>
    <s v="L1209/10"/>
    <x v="55"/>
    <m/>
    <m/>
    <m/>
    <n v="0"/>
    <m/>
    <m/>
  </r>
  <r>
    <n v="3601"/>
    <x v="44"/>
    <s v="Night"/>
    <x v="0"/>
    <n v="2000718831"/>
    <n v="910"/>
    <n v="225"/>
    <n v="0"/>
    <s v="U23987"/>
    <s v="L1209/10"/>
    <x v="196"/>
    <m/>
    <m/>
    <m/>
    <n v="0"/>
    <m/>
    <m/>
  </r>
  <r>
    <n v="3602"/>
    <x v="44"/>
    <s v="Night"/>
    <x v="0"/>
    <n v="2000718868"/>
    <n v="1300"/>
    <n v="45"/>
    <n v="0"/>
    <s v="U23987"/>
    <s v="L1188/89"/>
    <x v="84"/>
    <m/>
    <m/>
    <m/>
    <n v="0"/>
    <m/>
    <m/>
  </r>
  <r>
    <n v="3603"/>
    <x v="44"/>
    <s v="Night"/>
    <x v="0"/>
    <n v="2000719005"/>
    <n v="990"/>
    <n v="225"/>
    <n v="0"/>
    <s v="U30119"/>
    <s v="L1209/10"/>
    <x v="55"/>
    <m/>
    <m/>
    <m/>
    <n v="0"/>
    <m/>
    <m/>
  </r>
  <r>
    <n v="3604"/>
    <x v="44"/>
    <s v="Night"/>
    <x v="0"/>
    <n v="2000718868"/>
    <n v="1300"/>
    <n v="450"/>
    <n v="0"/>
    <s v="U30119"/>
    <s v="L1188/89"/>
    <x v="84"/>
    <m/>
    <m/>
    <m/>
    <n v="0"/>
    <m/>
    <m/>
  </r>
  <r>
    <n v="3605"/>
    <x v="44"/>
    <s v="Night"/>
    <x v="0"/>
    <n v="2000718723"/>
    <n v="700"/>
    <n v="90"/>
    <n v="0"/>
    <s v="U30425"/>
    <s v="L1172/73"/>
    <x v="18"/>
    <m/>
    <m/>
    <m/>
    <n v="0"/>
    <m/>
    <m/>
  </r>
  <r>
    <n v="3606"/>
    <x v="44"/>
    <s v="Night"/>
    <x v="0"/>
    <n v="2000719074"/>
    <n v="900"/>
    <n v="80"/>
    <n v="0"/>
    <s v="U30425"/>
    <s v="L1172/73"/>
    <x v="83"/>
    <m/>
    <m/>
    <m/>
    <n v="0"/>
    <m/>
    <m/>
  </r>
  <r>
    <n v="3607"/>
    <x v="44"/>
    <s v="Night"/>
    <x v="0"/>
    <n v="2000719090"/>
    <n v="1000"/>
    <n v="80"/>
    <n v="0"/>
    <s v="U30425"/>
    <s v="L1144/47"/>
    <x v="5"/>
    <m/>
    <m/>
    <m/>
    <n v="0"/>
    <m/>
    <m/>
  </r>
  <r>
    <n v="3608"/>
    <x v="44"/>
    <s v="Night"/>
    <x v="0"/>
    <n v="2000718724"/>
    <n v="240"/>
    <n v="30"/>
    <n v="0"/>
    <s v="U30425"/>
    <s v="L1172/73"/>
    <x v="18"/>
    <m/>
    <m/>
    <m/>
    <n v="0"/>
    <m/>
    <m/>
  </r>
  <r>
    <n v="3609"/>
    <x v="44"/>
    <s v="Night"/>
    <x v="0"/>
    <n v="2000719071"/>
    <n v="950"/>
    <n v="80"/>
    <n v="0"/>
    <s v="U30425"/>
    <s v="L1174/75"/>
    <x v="40"/>
    <m/>
    <m/>
    <m/>
    <n v="0"/>
    <m/>
    <m/>
  </r>
  <r>
    <n v="3610"/>
    <x v="44"/>
    <s v="Night"/>
    <x v="0"/>
    <n v="2000718994"/>
    <n v="2352"/>
    <n v="120"/>
    <n v="0"/>
    <s v="U30425"/>
    <s v="L1128/29"/>
    <x v="11"/>
    <m/>
    <m/>
    <m/>
    <n v="0"/>
    <m/>
    <m/>
  </r>
  <r>
    <n v="3611"/>
    <x v="44"/>
    <s v="Night"/>
    <x v="0"/>
    <n v="2000718995"/>
    <n v="950"/>
    <n v="30"/>
    <n v="0"/>
    <s v="U30425"/>
    <s v="L1172/73"/>
    <x v="18"/>
    <m/>
    <m/>
    <m/>
    <n v="0"/>
    <m/>
    <m/>
  </r>
  <r>
    <n v="3612"/>
    <x v="44"/>
    <s v="Night"/>
    <x v="0"/>
    <n v="2000719309"/>
    <n v="1700"/>
    <n v="110"/>
    <n v="0"/>
    <s v="U30425"/>
    <s v="L1174/75"/>
    <x v="61"/>
    <m/>
    <m/>
    <m/>
    <n v="0"/>
    <m/>
    <m/>
  </r>
  <r>
    <n v="3613"/>
    <x v="44"/>
    <s v="Night"/>
    <x v="0"/>
    <n v="2000719022"/>
    <n v="1680"/>
    <n v="320"/>
    <n v="1"/>
    <s v="U09854"/>
    <s v="L1188/89"/>
    <x v="98"/>
    <s v="Dị Vật "/>
    <m/>
    <s v="J919"/>
    <n v="1"/>
    <s v="\\vn-file\QC Department\4.OQC\00. OQC Performance\03. Images\01. NG\20210317-NG-0759719022.jpg"/>
    <s v="\\vn-file\QC Department\4.OQC\00. OQC Performance\03. Images\02. OK\20210317-OK-0759719022.jpg"/>
  </r>
  <r>
    <n v="3614"/>
    <x v="44"/>
    <s v="Night"/>
    <x v="0"/>
    <n v="2000719117"/>
    <n v="210"/>
    <n v="209"/>
    <n v="0"/>
    <s v="U09854"/>
    <s v="L1172/73"/>
    <x v="169"/>
    <m/>
    <m/>
    <m/>
    <n v="0"/>
    <m/>
    <m/>
  </r>
  <r>
    <n v="3615"/>
    <x v="44"/>
    <s v="Night"/>
    <x v="0"/>
    <n v="2000718754"/>
    <n v="1306"/>
    <n v="160"/>
    <n v="0"/>
    <s v="U09854"/>
    <s v="L1188/89"/>
    <x v="43"/>
    <m/>
    <m/>
    <m/>
    <n v="0"/>
    <m/>
    <m/>
  </r>
  <r>
    <n v="3616"/>
    <x v="45"/>
    <s v="Day"/>
    <x v="0"/>
    <n v="2000718765"/>
    <n v="660"/>
    <n v="240"/>
    <n v="0"/>
    <s v="U32991"/>
    <s v="L1193/94"/>
    <x v="192"/>
    <m/>
    <m/>
    <m/>
    <n v="0"/>
    <m/>
    <m/>
  </r>
  <r>
    <n v="3617"/>
    <x v="45"/>
    <s v="Day"/>
    <x v="0"/>
    <n v="2000718764"/>
    <n v="300"/>
    <n v="156"/>
    <n v="0"/>
    <s v="U32991"/>
    <s v="L1193/94"/>
    <x v="104"/>
    <m/>
    <m/>
    <m/>
    <n v="0"/>
    <m/>
    <m/>
  </r>
  <r>
    <n v="3618"/>
    <x v="45"/>
    <s v="Day"/>
    <x v="0"/>
    <n v="2000719078"/>
    <n v="700"/>
    <n v="150"/>
    <n v="0"/>
    <s v="U32991"/>
    <s v="L1193/94"/>
    <x v="116"/>
    <m/>
    <m/>
    <m/>
    <n v="0"/>
    <m/>
    <m/>
  </r>
  <r>
    <n v="3619"/>
    <x v="45"/>
    <s v="Day"/>
    <x v="0"/>
    <n v="2000719309"/>
    <n v="1700"/>
    <n v="20"/>
    <n v="0"/>
    <s v="U36206"/>
    <s v="L1174/75"/>
    <x v="61"/>
    <m/>
    <m/>
    <m/>
    <n v="0"/>
    <m/>
    <m/>
  </r>
  <r>
    <n v="3620"/>
    <x v="45"/>
    <s v="Day"/>
    <x v="0"/>
    <n v="2000718220"/>
    <n v="2000"/>
    <n v="60"/>
    <n v="0"/>
    <s v="U36206"/>
    <s v="L1077"/>
    <x v="2"/>
    <m/>
    <m/>
    <m/>
    <n v="0"/>
    <m/>
    <m/>
  </r>
  <r>
    <n v="3621"/>
    <x v="45"/>
    <s v="Day"/>
    <x v="0"/>
    <n v="2000719098"/>
    <n v="570"/>
    <n v="80"/>
    <n v="0"/>
    <s v="U36206"/>
    <s v="L1144/47"/>
    <x v="120"/>
    <m/>
    <m/>
    <m/>
    <n v="0"/>
    <m/>
    <m/>
  </r>
  <r>
    <n v="3622"/>
    <x v="45"/>
    <s v="Day"/>
    <x v="0"/>
    <n v="2000719063"/>
    <n v="2800"/>
    <n v="120"/>
    <n v="0"/>
    <s v="U36206"/>
    <s v="L1144/47"/>
    <x v="59"/>
    <m/>
    <m/>
    <m/>
    <n v="0"/>
    <m/>
    <m/>
  </r>
  <r>
    <n v="3623"/>
    <x v="45"/>
    <s v="Day"/>
    <x v="0"/>
    <n v="2000719340"/>
    <n v="1830"/>
    <n v="120"/>
    <n v="0"/>
    <s v="U36206"/>
    <s v="L1144/47"/>
    <x v="120"/>
    <m/>
    <m/>
    <m/>
    <n v="0"/>
    <m/>
    <m/>
  </r>
  <r>
    <n v="3624"/>
    <x v="45"/>
    <s v="Day"/>
    <x v="0"/>
    <n v="2000719070"/>
    <n v="2000"/>
    <n v="70"/>
    <n v="0"/>
    <s v="U36206"/>
    <s v="L1174/75"/>
    <x v="3"/>
    <m/>
    <m/>
    <m/>
    <n v="0"/>
    <m/>
    <m/>
  </r>
  <r>
    <n v="3625"/>
    <x v="45"/>
    <s v="Day"/>
    <x v="0"/>
    <n v="2000719022"/>
    <n v="1680"/>
    <n v="80"/>
    <n v="0"/>
    <s v="U27687"/>
    <s v="L1188/89"/>
    <x v="98"/>
    <m/>
    <m/>
    <m/>
    <n v="0"/>
    <m/>
    <m/>
  </r>
  <r>
    <n v="3626"/>
    <x v="45"/>
    <s v="Day"/>
    <x v="0"/>
    <n v="2000718754"/>
    <n v="1306"/>
    <n v="80"/>
    <n v="0"/>
    <s v="U27687"/>
    <s v="L1188/89"/>
    <x v="253"/>
    <m/>
    <m/>
    <m/>
    <n v="0"/>
    <m/>
    <m/>
  </r>
  <r>
    <n v="3627"/>
    <x v="45"/>
    <s v="Day"/>
    <x v="0"/>
    <n v="2000719563"/>
    <n v="356"/>
    <n v="40"/>
    <n v="0"/>
    <s v="U27687"/>
    <s v="L1172/73"/>
    <x v="193"/>
    <m/>
    <m/>
    <m/>
    <n v="0"/>
    <m/>
    <m/>
  </r>
  <r>
    <n v="3628"/>
    <x v="45"/>
    <s v="Day"/>
    <x v="0"/>
    <n v="2000719023"/>
    <n v="290"/>
    <n v="120"/>
    <n v="0"/>
    <s v="U27687"/>
    <s v="L1188/89"/>
    <x v="0"/>
    <m/>
    <m/>
    <m/>
    <n v="0"/>
    <m/>
    <m/>
  </r>
  <r>
    <n v="3629"/>
    <x v="45"/>
    <s v="Day"/>
    <x v="0"/>
    <n v="2000716466"/>
    <n v="360"/>
    <n v="2"/>
    <n v="0"/>
    <s v="U27687"/>
    <s v="L1188/89"/>
    <x v="16"/>
    <m/>
    <m/>
    <m/>
    <n v="0"/>
    <m/>
    <m/>
  </r>
  <r>
    <n v="3630"/>
    <x v="45"/>
    <s v="Day"/>
    <x v="0"/>
    <n v="2000719281"/>
    <n v="280"/>
    <n v="120"/>
    <n v="0"/>
    <s v="U27687"/>
    <s v="L1188/89"/>
    <x v="130"/>
    <m/>
    <m/>
    <m/>
    <n v="0"/>
    <m/>
    <m/>
  </r>
  <r>
    <n v="3631"/>
    <x v="45"/>
    <s v="Day"/>
    <x v="0"/>
    <n v="2000719504"/>
    <n v="48"/>
    <n v="48"/>
    <n v="0"/>
    <s v="U27687"/>
    <s v="L1172/73"/>
    <x v="19"/>
    <m/>
    <m/>
    <m/>
    <n v="0"/>
    <m/>
    <m/>
  </r>
  <r>
    <n v="3632"/>
    <x v="45"/>
    <s v="Day"/>
    <x v="0"/>
    <n v="2000719503"/>
    <n v="4"/>
    <n v="4"/>
    <n v="0"/>
    <s v="U27687"/>
    <s v="L1172/73"/>
    <x v="19"/>
    <m/>
    <m/>
    <m/>
    <n v="0"/>
    <m/>
    <m/>
  </r>
  <r>
    <n v="3633"/>
    <x v="45"/>
    <s v="Day"/>
    <x v="0"/>
    <n v="2000719505"/>
    <n v="4"/>
    <n v="4"/>
    <n v="0"/>
    <s v="U27687"/>
    <s v="L1172/73"/>
    <x v="145"/>
    <m/>
    <m/>
    <m/>
    <n v="0"/>
    <m/>
    <m/>
  </r>
  <r>
    <n v="3634"/>
    <x v="45"/>
    <s v="Day"/>
    <x v="0"/>
    <n v="2000719022"/>
    <n v="1680"/>
    <n v="147"/>
    <n v="0"/>
    <s v="U27723"/>
    <s v="L1188/89"/>
    <x v="98"/>
    <m/>
    <m/>
    <m/>
    <n v="0"/>
    <m/>
    <m/>
  </r>
  <r>
    <n v="3635"/>
    <x v="45"/>
    <s v="Day"/>
    <x v="0"/>
    <n v="2000718754"/>
    <n v="1306"/>
    <n v="413"/>
    <n v="0"/>
    <s v="U27723"/>
    <s v="L1188/89"/>
    <x v="43"/>
    <m/>
    <m/>
    <m/>
    <n v="0"/>
    <m/>
    <m/>
  </r>
  <r>
    <n v="3636"/>
    <x v="45"/>
    <s v="Day"/>
    <x v="0"/>
    <n v="2000719023"/>
    <n v="290"/>
    <n v="170"/>
    <n v="0"/>
    <s v="U27723"/>
    <s v="L1188/89"/>
    <x v="0"/>
    <m/>
    <m/>
    <m/>
    <n v="0"/>
    <m/>
    <m/>
  </r>
  <r>
    <n v="3637"/>
    <x v="45"/>
    <s v="Day"/>
    <x v="0"/>
    <n v="2000718831"/>
    <n v="910"/>
    <n v="505"/>
    <n v="0"/>
    <s v="U29686"/>
    <s v="L1209/10"/>
    <x v="196"/>
    <m/>
    <m/>
    <m/>
    <n v="0"/>
    <m/>
    <m/>
  </r>
  <r>
    <n v="3638"/>
    <x v="45"/>
    <s v="Day"/>
    <x v="0"/>
    <n v="2000719268"/>
    <n v="810"/>
    <n v="255"/>
    <n v="0"/>
    <s v="U29686"/>
    <s v="L1209/10"/>
    <x v="196"/>
    <m/>
    <m/>
    <m/>
    <n v="0"/>
    <m/>
    <m/>
  </r>
  <r>
    <n v="3639"/>
    <x v="45"/>
    <s v="Day"/>
    <x v="0"/>
    <n v="2000718831"/>
    <n v="910"/>
    <n v="45"/>
    <n v="0"/>
    <s v="U18660"/>
    <s v="L1209/10"/>
    <x v="196"/>
    <m/>
    <m/>
    <m/>
    <n v="0"/>
    <m/>
    <m/>
  </r>
  <r>
    <n v="3640"/>
    <x v="45"/>
    <s v="Day"/>
    <x v="0"/>
    <n v="2000718325"/>
    <n v="2004"/>
    <n v="120"/>
    <n v="0"/>
    <s v="U18660"/>
    <s v="L1168/69"/>
    <x v="37"/>
    <m/>
    <m/>
    <m/>
    <n v="0"/>
    <m/>
    <m/>
  </r>
  <r>
    <n v="3641"/>
    <x v="45"/>
    <s v="Day"/>
    <x v="0"/>
    <n v="2000718714"/>
    <n v="1317"/>
    <n v="120"/>
    <n v="0"/>
    <s v="U18660"/>
    <s v="L1168/69"/>
    <x v="93"/>
    <m/>
    <m/>
    <m/>
    <n v="0"/>
    <m/>
    <m/>
  </r>
  <r>
    <n v="3642"/>
    <x v="45"/>
    <s v="Day"/>
    <x v="0"/>
    <n v="2000718995"/>
    <n v="950"/>
    <n v="60"/>
    <n v="0"/>
    <s v="U18660"/>
    <s v="L1172/73"/>
    <x v="18"/>
    <m/>
    <m/>
    <m/>
    <n v="0"/>
    <m/>
    <m/>
  </r>
  <r>
    <n v="3643"/>
    <x v="45"/>
    <s v="Day"/>
    <x v="0"/>
    <n v="2000718764"/>
    <n v="300"/>
    <n v="150"/>
    <n v="0"/>
    <s v="U18660"/>
    <s v="L1193/94"/>
    <x v="104"/>
    <m/>
    <m/>
    <m/>
    <n v="0"/>
    <m/>
    <m/>
  </r>
  <r>
    <n v="3644"/>
    <x v="45"/>
    <s v="Day"/>
    <x v="0"/>
    <n v="2000719078"/>
    <n v="700"/>
    <n v="150"/>
    <n v="0"/>
    <s v="U18660"/>
    <s v="L1193/94"/>
    <x v="254"/>
    <m/>
    <m/>
    <m/>
    <n v="0"/>
    <m/>
    <m/>
  </r>
  <r>
    <n v="3645"/>
    <x v="45"/>
    <s v="Day"/>
    <x v="0"/>
    <n v="2000719035"/>
    <n v="1302"/>
    <n v="325"/>
    <n v="0"/>
    <s v="U30500"/>
    <s v="L1151/52"/>
    <x v="173"/>
    <m/>
    <m/>
    <m/>
    <n v="0"/>
    <m/>
    <m/>
  </r>
  <r>
    <n v="3646"/>
    <x v="45"/>
    <s v="Day"/>
    <x v="0"/>
    <n v="2000718825"/>
    <n v="860"/>
    <n v="378"/>
    <n v="0"/>
    <s v="U30500"/>
    <s v="L1151/52"/>
    <x v="185"/>
    <m/>
    <m/>
    <m/>
    <n v="0"/>
    <m/>
    <m/>
  </r>
  <r>
    <n v="3647"/>
    <x v="45"/>
    <s v="Day"/>
    <x v="0"/>
    <n v="2000718821"/>
    <n v="1480"/>
    <n v="240"/>
    <n v="0"/>
    <s v="U30500"/>
    <s v="L1193/94"/>
    <x v="30"/>
    <m/>
    <m/>
    <m/>
    <n v="0"/>
    <m/>
    <m/>
  </r>
  <r>
    <n v="3648"/>
    <x v="45"/>
    <s v="Day"/>
    <x v="0"/>
    <n v="2000718785"/>
    <n v="160"/>
    <n v="200"/>
    <n v="0"/>
    <s v="U30500"/>
    <s v="L1144/47"/>
    <x v="92"/>
    <m/>
    <m/>
    <m/>
    <n v="0"/>
    <m/>
    <m/>
  </r>
  <r>
    <n v="3649"/>
    <x v="45"/>
    <s v="Day"/>
    <x v="0"/>
    <n v="2000718787"/>
    <n v="1500"/>
    <n v="150"/>
    <n v="0"/>
    <s v="U30500"/>
    <s v="L1144/47"/>
    <x v="13"/>
    <m/>
    <m/>
    <m/>
    <n v="0"/>
    <m/>
    <m/>
  </r>
  <r>
    <n v="3650"/>
    <x v="45"/>
    <s v="Day"/>
    <x v="0"/>
    <n v="2000718826"/>
    <n v="3000"/>
    <n v="300"/>
    <n v="0"/>
    <s v="U03968"/>
    <s v="L1174/75"/>
    <x v="139"/>
    <m/>
    <m/>
    <m/>
    <n v="0"/>
    <m/>
    <m/>
  </r>
  <r>
    <n v="3651"/>
    <x v="45"/>
    <s v="Day"/>
    <x v="0"/>
    <n v="2000718823"/>
    <n v="7830"/>
    <n v="300"/>
    <n v="0"/>
    <s v="U03968"/>
    <s v="L1112/13"/>
    <x v="75"/>
    <m/>
    <m/>
    <m/>
    <n v="0"/>
    <m/>
    <m/>
  </r>
  <r>
    <n v="3652"/>
    <x v="45"/>
    <s v="Day"/>
    <x v="0"/>
    <n v="2000718825"/>
    <n v="860"/>
    <n v="480"/>
    <n v="0"/>
    <s v="U03968"/>
    <s v="L1151/52"/>
    <x v="185"/>
    <m/>
    <m/>
    <m/>
    <n v="0"/>
    <m/>
    <m/>
  </r>
  <r>
    <n v="3653"/>
    <x v="45"/>
    <s v="Day"/>
    <x v="0"/>
    <n v="2000718218"/>
    <n v="2000"/>
    <n v="200"/>
    <n v="0"/>
    <s v="U03968"/>
    <s v="L1172/73"/>
    <x v="6"/>
    <m/>
    <m/>
    <m/>
    <n v="0"/>
    <m/>
    <m/>
  </r>
  <r>
    <n v="3654"/>
    <x v="45"/>
    <s v="Day"/>
    <x v="0"/>
    <n v="2000715913"/>
    <n v="300"/>
    <n v="150"/>
    <n v="0"/>
    <s v="U03968"/>
    <s v="L1172/73"/>
    <x v="175"/>
    <m/>
    <m/>
    <m/>
    <n v="0"/>
    <m/>
    <m/>
  </r>
  <r>
    <n v="3655"/>
    <x v="45"/>
    <s v="Day"/>
    <x v="0"/>
    <n v="2000717881"/>
    <n v="912"/>
    <n v="150"/>
    <n v="0"/>
    <s v="U03968"/>
    <s v="L1105"/>
    <x v="174"/>
    <m/>
    <m/>
    <m/>
    <n v="0"/>
    <m/>
    <m/>
  </r>
  <r>
    <n v="3656"/>
    <x v="45"/>
    <s v="Day"/>
    <x v="0"/>
    <n v="2000719069"/>
    <n v="2000"/>
    <n v="200"/>
    <n v="0"/>
    <s v="U03968"/>
    <s v="L1174/75"/>
    <x v="62"/>
    <m/>
    <m/>
    <m/>
    <n v="0"/>
    <m/>
    <m/>
  </r>
  <r>
    <n v="3657"/>
    <x v="45"/>
    <s v="Day"/>
    <x v="0"/>
    <n v="2000718786"/>
    <n v="1600"/>
    <n v="150"/>
    <n v="0"/>
    <s v="U03968"/>
    <s v="L1144/47"/>
    <x v="236"/>
    <m/>
    <m/>
    <m/>
    <n v="0"/>
    <m/>
    <m/>
  </r>
  <r>
    <n v="3658"/>
    <x v="45"/>
    <s v="Day"/>
    <x v="0"/>
    <n v="2000719353"/>
    <n v="600"/>
    <n v="53"/>
    <n v="0"/>
    <s v="U03968"/>
    <s v="L1172/73"/>
    <x v="175"/>
    <m/>
    <m/>
    <m/>
    <n v="0"/>
    <m/>
    <m/>
  </r>
  <r>
    <n v="3659"/>
    <x v="45"/>
    <s v="Day"/>
    <x v="0"/>
    <n v="2000719036"/>
    <n v="600"/>
    <n v="3"/>
    <n v="0"/>
    <s v="U03968"/>
    <s v="L1172/73"/>
    <x v="165"/>
    <m/>
    <m/>
    <m/>
    <n v="0"/>
    <m/>
    <m/>
  </r>
  <r>
    <n v="3660"/>
    <x v="45"/>
    <s v="Day"/>
    <x v="0"/>
    <n v="2000719039"/>
    <n v="1800"/>
    <n v="200"/>
    <n v="0"/>
    <s v="U03968"/>
    <s v="L1174/75"/>
    <x v="139"/>
    <m/>
    <m/>
    <m/>
    <n v="0"/>
    <m/>
    <m/>
  </r>
  <r>
    <n v="3661"/>
    <x v="45"/>
    <s v="Day"/>
    <x v="0"/>
    <n v="2000712816"/>
    <n v="752"/>
    <n v="97"/>
    <n v="0"/>
    <s v="U07492"/>
    <s v="L1172/73"/>
    <x v="175"/>
    <m/>
    <m/>
    <m/>
    <n v="0"/>
    <m/>
    <m/>
  </r>
  <r>
    <n v="3662"/>
    <x v="45"/>
    <s v="Day"/>
    <x v="0"/>
    <n v="2000719035"/>
    <n v="1302"/>
    <n v="300"/>
    <n v="0"/>
    <s v="U07492"/>
    <s v="L1151/52"/>
    <x v="173"/>
    <m/>
    <m/>
    <m/>
    <n v="0"/>
    <m/>
    <m/>
  </r>
  <r>
    <n v="3663"/>
    <x v="45"/>
    <s v="Day"/>
    <x v="1"/>
    <n v="2000718946"/>
    <n v="450"/>
    <n v="228"/>
    <n v="0"/>
    <s v="U15759"/>
    <s v="PSHV"/>
    <x v="29"/>
    <m/>
    <m/>
    <m/>
    <n v="0"/>
    <m/>
    <m/>
  </r>
  <r>
    <n v="3664"/>
    <x v="45"/>
    <s v="Day"/>
    <x v="1"/>
    <n v="2000718405"/>
    <n v="800"/>
    <n v="180"/>
    <n v="0"/>
    <s v="U15759"/>
    <s v="SHANKS"/>
    <x v="67"/>
    <m/>
    <m/>
    <m/>
    <n v="0"/>
    <m/>
    <m/>
  </r>
  <r>
    <n v="3665"/>
    <x v="45"/>
    <s v="Day"/>
    <x v="1"/>
    <n v="2000718982"/>
    <n v="210"/>
    <n v="60"/>
    <n v="0"/>
    <s v="U15759"/>
    <s v="PSLV"/>
    <x v="135"/>
    <m/>
    <m/>
    <m/>
    <n v="0"/>
    <m/>
    <m/>
  </r>
  <r>
    <n v="3666"/>
    <x v="45"/>
    <s v="Day"/>
    <x v="1"/>
    <n v="2000718696"/>
    <n v="700"/>
    <n v="210"/>
    <n v="0"/>
    <s v="U15759"/>
    <s v="SHANKS"/>
    <x v="24"/>
    <m/>
    <m/>
    <m/>
    <n v="0"/>
    <m/>
    <m/>
  </r>
  <r>
    <n v="3667"/>
    <x v="45"/>
    <s v="Day"/>
    <x v="1"/>
    <n v="2000718985"/>
    <n v="700"/>
    <n v="105"/>
    <n v="0"/>
    <s v="U15759"/>
    <s v="SHANKS"/>
    <x v="24"/>
    <m/>
    <m/>
    <m/>
    <n v="0"/>
    <m/>
    <m/>
  </r>
  <r>
    <n v="3668"/>
    <x v="45"/>
    <s v="Day"/>
    <x v="1"/>
    <n v="2000718987"/>
    <n v="185"/>
    <n v="185"/>
    <n v="0"/>
    <s v="U15759"/>
    <s v="PSLV"/>
    <x v="91"/>
    <m/>
    <m/>
    <m/>
    <n v="0"/>
    <m/>
    <m/>
  </r>
  <r>
    <n v="3669"/>
    <x v="45"/>
    <s v="Day"/>
    <x v="1"/>
    <n v="2000718695"/>
    <n v="300"/>
    <n v="60"/>
    <n v="0"/>
    <s v="U15759"/>
    <s v="SHANKS"/>
    <x v="147"/>
    <m/>
    <m/>
    <m/>
    <n v="0"/>
    <m/>
    <m/>
  </r>
  <r>
    <n v="3670"/>
    <x v="45"/>
    <s v="Day"/>
    <x v="1"/>
    <n v="2000717315"/>
    <n v="326"/>
    <n v="1"/>
    <n v="0"/>
    <s v="U15759"/>
    <s v="PSLV"/>
    <x v="91"/>
    <m/>
    <m/>
    <m/>
    <n v="0"/>
    <m/>
    <m/>
  </r>
  <r>
    <n v="3671"/>
    <x v="45"/>
    <s v="Day"/>
    <x v="1"/>
    <n v="2000718798"/>
    <n v="450"/>
    <n v="90"/>
    <n v="1"/>
    <s v="U15759"/>
    <s v="FLORA"/>
    <x v="28"/>
    <s v="Bong Pattern "/>
    <m/>
    <s v="RT101"/>
    <n v="1"/>
    <s v="\\vn-file\QC Department\4.OQC\00. OQC Performance\03. Images\01. NG\20210318-NG-1300718798.jpg"/>
    <s v="\\vn-file\QC Department\4.OQC\00. OQC Performance\03. Images\02. OK\20210318-OK-1300718798.jpg"/>
  </r>
  <r>
    <n v="3672"/>
    <x v="45"/>
    <s v="Night"/>
    <x v="1"/>
    <n v="2000718798"/>
    <n v="450"/>
    <n v="230"/>
    <n v="0"/>
    <s v="U30119"/>
    <s v="FLORA"/>
    <x v="28"/>
    <m/>
    <m/>
    <m/>
    <n v="0"/>
    <m/>
    <m/>
  </r>
  <r>
    <n v="3673"/>
    <x v="45"/>
    <s v="Night"/>
    <x v="1"/>
    <n v="2000719231"/>
    <n v="450"/>
    <n v="100"/>
    <n v="0"/>
    <s v="U30119"/>
    <s v="PSHV"/>
    <x v="223"/>
    <m/>
    <m/>
    <m/>
    <n v="0"/>
    <m/>
    <m/>
  </r>
  <r>
    <n v="3674"/>
    <x v="45"/>
    <s v="Night"/>
    <x v="1"/>
    <n v="2000718698"/>
    <n v="270"/>
    <n v="180"/>
    <n v="0"/>
    <s v="U30119"/>
    <s v="BORUTO"/>
    <x v="111"/>
    <m/>
    <m/>
    <m/>
    <n v="0"/>
    <m/>
    <m/>
  </r>
  <r>
    <n v="3675"/>
    <x v="45"/>
    <s v="Night"/>
    <x v="1"/>
    <n v="2000719235"/>
    <n v="600"/>
    <n v="90"/>
    <n v="0"/>
    <s v="U30119"/>
    <s v="SHANKS"/>
    <x v="22"/>
    <m/>
    <m/>
    <m/>
    <n v="0"/>
    <m/>
    <m/>
  </r>
  <r>
    <n v="3676"/>
    <x v="45"/>
    <s v="Night"/>
    <x v="1"/>
    <n v="2000718985"/>
    <n v="700"/>
    <n v="175"/>
    <n v="0"/>
    <s v="U30119"/>
    <s v="SHANKS"/>
    <x v="24"/>
    <m/>
    <m/>
    <m/>
    <n v="0"/>
    <m/>
    <m/>
  </r>
  <r>
    <n v="3677"/>
    <x v="45"/>
    <s v="Night"/>
    <x v="1"/>
    <n v="2000719518"/>
    <n v="480"/>
    <n v="160"/>
    <n v="1"/>
    <s v="U30119"/>
    <s v="PSHV"/>
    <x v="80"/>
    <s v="Dính thiếc "/>
    <m/>
    <s v="T201"/>
    <n v="1"/>
    <s v="\\vn-file\QC Department\4.OQC\00. OQC Performance\03. Images\01. NG\20210318-NG-0630719518.jpg"/>
    <s v="\\vn-file\QC Department\4.OQC\00. OQC Performance\03. Images\02. OK\20210318-OK-0630719518.jpg"/>
  </r>
  <r>
    <n v="3678"/>
    <x v="45"/>
    <s v="Night"/>
    <x v="1"/>
    <n v="2000719506"/>
    <n v="450"/>
    <n v="70"/>
    <n v="0"/>
    <s v="U30119"/>
    <s v="SHANKS"/>
    <x v="24"/>
    <m/>
    <m/>
    <m/>
    <n v="0"/>
    <m/>
    <m/>
  </r>
  <r>
    <n v="3679"/>
    <x v="45"/>
    <s v="Night"/>
    <x v="1"/>
    <n v="2000719227"/>
    <n v="400"/>
    <n v="60"/>
    <n v="0"/>
    <s v="U30119"/>
    <s v="PSHV"/>
    <x v="121"/>
    <m/>
    <m/>
    <m/>
    <n v="0"/>
    <m/>
    <m/>
  </r>
  <r>
    <n v="3680"/>
    <x v="45"/>
    <s v="Night"/>
    <x v="0"/>
    <n v="2000719078"/>
    <n v="700"/>
    <n v="397"/>
    <n v="0"/>
    <s v="U31065"/>
    <s v="L1193/94"/>
    <x v="116"/>
    <m/>
    <m/>
    <m/>
    <n v="0"/>
    <m/>
    <m/>
  </r>
  <r>
    <n v="3681"/>
    <x v="45"/>
    <s v="Night"/>
    <x v="0"/>
    <n v="2000718445"/>
    <n v="1060"/>
    <n v="8"/>
    <n v="0"/>
    <s v="U31065"/>
    <s v="L1193/94"/>
    <x v="116"/>
    <m/>
    <m/>
    <m/>
    <n v="0"/>
    <m/>
    <m/>
  </r>
  <r>
    <n v="3682"/>
    <x v="45"/>
    <s v="Night"/>
    <x v="0"/>
    <n v="2000708688"/>
    <n v="810"/>
    <n v="3"/>
    <n v="0"/>
    <s v="U31065"/>
    <s v="L1193/94"/>
    <x v="21"/>
    <m/>
    <m/>
    <m/>
    <n v="0"/>
    <m/>
    <m/>
  </r>
  <r>
    <n v="3683"/>
    <x v="45"/>
    <s v="Night"/>
    <x v="0"/>
    <n v="2000718172"/>
    <n v="1400"/>
    <n v="10"/>
    <n v="0"/>
    <s v="U31065"/>
    <s v="L1193/94"/>
    <x v="192"/>
    <m/>
    <m/>
    <m/>
    <n v="0"/>
    <m/>
    <m/>
  </r>
  <r>
    <n v="3684"/>
    <x v="45"/>
    <s v="Night"/>
    <x v="0"/>
    <n v="2000719312"/>
    <n v="290"/>
    <n v="180"/>
    <n v="0"/>
    <s v="U31065"/>
    <s v="L1193/94"/>
    <x v="146"/>
    <m/>
    <m/>
    <m/>
    <n v="0"/>
    <m/>
    <m/>
  </r>
  <r>
    <n v="3685"/>
    <x v="45"/>
    <s v="Night"/>
    <x v="0"/>
    <n v="2000718765"/>
    <n v="660"/>
    <n v="1"/>
    <n v="0"/>
    <s v="U31065"/>
    <s v="L1193/94"/>
    <x v="192"/>
    <m/>
    <m/>
    <m/>
    <n v="0"/>
    <m/>
    <m/>
  </r>
  <r>
    <n v="3686"/>
    <x v="45"/>
    <s v="Night"/>
    <x v="0"/>
    <n v="2000719281"/>
    <n v="280"/>
    <n v="39"/>
    <n v="0"/>
    <s v="U36008"/>
    <s v="L1188/89"/>
    <x v="130"/>
    <m/>
    <m/>
    <m/>
    <n v="0"/>
    <m/>
    <m/>
  </r>
  <r>
    <n v="3687"/>
    <x v="45"/>
    <s v="Night"/>
    <x v="0"/>
    <n v="2000719024"/>
    <n v="1680"/>
    <n v="180"/>
    <n v="0"/>
    <s v="U36008"/>
    <s v="L1188/89"/>
    <x v="16"/>
    <m/>
    <m/>
    <m/>
    <n v="0"/>
    <m/>
    <m/>
  </r>
  <r>
    <n v="3688"/>
    <x v="45"/>
    <s v="Night"/>
    <x v="0"/>
    <n v="2000719701"/>
    <n v="320"/>
    <n v="318"/>
    <n v="0"/>
    <s v="U36008"/>
    <s v="L1188/89"/>
    <x v="212"/>
    <m/>
    <m/>
    <m/>
    <n v="0"/>
    <m/>
    <m/>
  </r>
  <r>
    <n v="3689"/>
    <x v="45"/>
    <s v="Night"/>
    <x v="0"/>
    <n v="2000719268"/>
    <n v="810"/>
    <n v="445"/>
    <n v="0"/>
    <s v="U23987"/>
    <s v="L1209/10"/>
    <x v="196"/>
    <m/>
    <m/>
    <m/>
    <n v="0"/>
    <m/>
    <m/>
  </r>
  <r>
    <n v="3690"/>
    <x v="45"/>
    <s v="Night"/>
    <x v="0"/>
    <n v="2000719660"/>
    <n v="990"/>
    <n v="270"/>
    <n v="0"/>
    <s v="U23987"/>
    <s v="L1209/10"/>
    <x v="44"/>
    <m/>
    <m/>
    <m/>
    <n v="0"/>
    <m/>
    <m/>
  </r>
  <r>
    <n v="3691"/>
    <x v="45"/>
    <s v="Night"/>
    <x v="0"/>
    <n v="2000719268"/>
    <n v="810"/>
    <n v="90"/>
    <n v="0"/>
    <s v="U30119"/>
    <s v="L1209/10"/>
    <x v="196"/>
    <m/>
    <m/>
    <m/>
    <n v="0"/>
    <m/>
    <m/>
  </r>
  <r>
    <n v="3692"/>
    <x v="45"/>
    <s v="Night"/>
    <x v="0"/>
    <n v="2000719036"/>
    <n v="600"/>
    <n v="150"/>
    <n v="0"/>
    <s v="U26613"/>
    <s v="L1172/73"/>
    <x v="165"/>
    <m/>
    <m/>
    <m/>
    <n v="0"/>
    <m/>
    <m/>
  </r>
  <r>
    <n v="3693"/>
    <x v="45"/>
    <s v="Night"/>
    <x v="0"/>
    <n v="2000719040"/>
    <n v="3600"/>
    <n v="300"/>
    <n v="0"/>
    <s v="U26613"/>
    <s v="L1172/73"/>
    <x v="7"/>
    <m/>
    <m/>
    <m/>
    <n v="0"/>
    <m/>
    <m/>
  </r>
  <r>
    <n v="3694"/>
    <x v="45"/>
    <s v="Night"/>
    <x v="0"/>
    <n v="2000719041"/>
    <n v="3200"/>
    <n v="400"/>
    <n v="0"/>
    <s v="U26613"/>
    <s v="L1193/94"/>
    <x v="119"/>
    <m/>
    <m/>
    <m/>
    <n v="0"/>
    <m/>
    <m/>
  </r>
  <r>
    <n v="3695"/>
    <x v="45"/>
    <s v="Night"/>
    <x v="0"/>
    <n v="2000719035"/>
    <n v="1302"/>
    <n v="125"/>
    <n v="0"/>
    <s v="U26613"/>
    <s v="L1151/52"/>
    <x v="173"/>
    <m/>
    <m/>
    <m/>
    <n v="0"/>
    <m/>
    <m/>
  </r>
  <r>
    <n v="3696"/>
    <x v="45"/>
    <s v="Night"/>
    <x v="0"/>
    <n v="2000719350"/>
    <n v="7860"/>
    <n v="300"/>
    <n v="0"/>
    <s v="U26613"/>
    <s v="L1112/13"/>
    <x v="75"/>
    <m/>
    <m/>
    <m/>
    <n v="0"/>
    <m/>
    <m/>
  </r>
  <r>
    <n v="3697"/>
    <x v="45"/>
    <s v="Night"/>
    <x v="0"/>
    <n v="2000719037"/>
    <n v="900"/>
    <n v="150"/>
    <n v="0"/>
    <s v="U26613"/>
    <s v="L1067"/>
    <x v="234"/>
    <m/>
    <m/>
    <m/>
    <n v="0"/>
    <m/>
    <m/>
  </r>
  <r>
    <n v="3698"/>
    <x v="45"/>
    <s v="Night"/>
    <x v="0"/>
    <n v="2000719041"/>
    <n v="3200"/>
    <n v="400"/>
    <n v="0"/>
    <s v="U26613"/>
    <s v="L1193/94"/>
    <x v="119"/>
    <m/>
    <m/>
    <m/>
    <n v="0"/>
    <m/>
    <m/>
  </r>
  <r>
    <n v="3699"/>
    <x v="45"/>
    <s v="Night"/>
    <x v="0"/>
    <n v="2000718824"/>
    <n v="1140"/>
    <n v="280"/>
    <n v="0"/>
    <s v="U26613"/>
    <s v="L1151/52"/>
    <x v="85"/>
    <m/>
    <m/>
    <m/>
    <n v="0"/>
    <m/>
    <m/>
  </r>
  <r>
    <n v="3700"/>
    <x v="45"/>
    <s v="Night"/>
    <x v="0"/>
    <n v="2000719281"/>
    <n v="280"/>
    <n v="40"/>
    <n v="0"/>
    <s v="U27724"/>
    <s v="L1188/89"/>
    <x v="130"/>
    <m/>
    <m/>
    <m/>
    <n v="0"/>
    <m/>
    <m/>
  </r>
  <r>
    <n v="3701"/>
    <x v="45"/>
    <s v="Night"/>
    <x v="0"/>
    <n v="2000718754"/>
    <n v="1306"/>
    <n v="100"/>
    <n v="0"/>
    <s v="U27724"/>
    <s v="L1188/89"/>
    <x v="43"/>
    <m/>
    <m/>
    <m/>
    <n v="0"/>
    <m/>
    <m/>
  </r>
  <r>
    <n v="3702"/>
    <x v="45"/>
    <s v="Night"/>
    <x v="0"/>
    <n v="2000719024"/>
    <n v="1680"/>
    <n v="628"/>
    <n v="0"/>
    <s v="U27724"/>
    <s v="L1188/89"/>
    <x v="16"/>
    <m/>
    <m/>
    <m/>
    <n v="0"/>
    <m/>
    <m/>
  </r>
  <r>
    <n v="3703"/>
    <x v="45"/>
    <s v="Night"/>
    <x v="0"/>
    <n v="2000719268"/>
    <n v="810"/>
    <n v="15"/>
    <n v="0"/>
    <s v="U05944"/>
    <s v="L1209/10"/>
    <x v="196"/>
    <m/>
    <m/>
    <m/>
    <n v="0"/>
    <m/>
    <m/>
  </r>
  <r>
    <n v="3704"/>
    <x v="45"/>
    <s v="Night"/>
    <x v="0"/>
    <n v="2000719281"/>
    <n v="280"/>
    <n v="80"/>
    <n v="0"/>
    <s v="U05944"/>
    <s v="L1188/89"/>
    <x v="130"/>
    <m/>
    <m/>
    <m/>
    <n v="0"/>
    <m/>
    <m/>
  </r>
  <r>
    <n v="3705"/>
    <x v="45"/>
    <s v="Night"/>
    <x v="0"/>
    <n v="2000718754"/>
    <n v="1306"/>
    <n v="240"/>
    <n v="0"/>
    <s v="U05944"/>
    <s v="L1188/89"/>
    <x v="43"/>
    <m/>
    <m/>
    <m/>
    <n v="0"/>
    <m/>
    <m/>
  </r>
  <r>
    <n v="3706"/>
    <x v="45"/>
    <s v="Night"/>
    <x v="0"/>
    <n v="2000719024"/>
    <n v="1680"/>
    <n v="240"/>
    <n v="0"/>
    <s v="U05944"/>
    <s v="L1188/89"/>
    <x v="16"/>
    <m/>
    <m/>
    <m/>
    <n v="0"/>
    <m/>
    <m/>
  </r>
  <r>
    <n v="3707"/>
    <x v="45"/>
    <s v="Night"/>
    <x v="0"/>
    <n v="2000719070"/>
    <n v="2000"/>
    <n v="50"/>
    <n v="0"/>
    <s v="U30425"/>
    <s v="L1174/75"/>
    <x v="3"/>
    <m/>
    <m/>
    <m/>
    <n v="0"/>
    <m/>
    <m/>
  </r>
  <r>
    <n v="3708"/>
    <x v="45"/>
    <s v="Night"/>
    <x v="0"/>
    <n v="2000719567"/>
    <n v="420"/>
    <n v="80"/>
    <n v="0"/>
    <s v="U30425"/>
    <s v="T541"/>
    <x v="188"/>
    <m/>
    <m/>
    <m/>
    <n v="0"/>
    <m/>
    <m/>
  </r>
  <r>
    <n v="3709"/>
    <x v="45"/>
    <s v="Night"/>
    <x v="0"/>
    <n v="2000719256"/>
    <n v="950"/>
    <n v="90"/>
    <n v="0"/>
    <s v="U30425"/>
    <s v="L1172/73"/>
    <x v="18"/>
    <m/>
    <m/>
    <m/>
    <n v="0"/>
    <m/>
    <m/>
  </r>
  <r>
    <n v="3710"/>
    <x v="45"/>
    <s v="Night"/>
    <x v="0"/>
    <n v="2000718473"/>
    <n v="1600"/>
    <n v="80"/>
    <n v="0"/>
    <s v="U30425"/>
    <s v="L1077"/>
    <x v="2"/>
    <m/>
    <m/>
    <m/>
    <n v="0"/>
    <m/>
    <m/>
  </r>
  <r>
    <n v="3711"/>
    <x v="45"/>
    <s v="Night"/>
    <x v="0"/>
    <n v="2000719568"/>
    <n v="890"/>
    <n v="80"/>
    <n v="0"/>
    <s v="U30425"/>
    <s v="T541"/>
    <x v="94"/>
    <m/>
    <m/>
    <m/>
    <n v="0"/>
    <m/>
    <m/>
  </r>
  <r>
    <n v="3712"/>
    <x v="45"/>
    <s v="Night"/>
    <x v="0"/>
    <n v="2000718993"/>
    <n v="3824"/>
    <n v="200"/>
    <n v="0"/>
    <s v="U30425"/>
    <s v="L1112/13"/>
    <x v="8"/>
    <m/>
    <m/>
    <m/>
    <n v="0"/>
    <m/>
    <m/>
  </r>
  <r>
    <n v="3713"/>
    <x v="45"/>
    <s v="Night"/>
    <x v="0"/>
    <n v="2000719249"/>
    <n v="2704"/>
    <n v="120"/>
    <n v="0"/>
    <s v="U30425"/>
    <s v="L1128/29"/>
    <x v="11"/>
    <m/>
    <m/>
    <m/>
    <n v="0"/>
    <m/>
    <m/>
  </r>
  <r>
    <n v="3714"/>
    <x v="45"/>
    <s v="Night"/>
    <x v="0"/>
    <n v="2000719341"/>
    <n v="580"/>
    <n v="40"/>
    <n v="0"/>
    <s v="U30425"/>
    <s v="L1144/47"/>
    <x v="1"/>
    <m/>
    <m/>
    <m/>
    <n v="0"/>
    <m/>
    <m/>
  </r>
  <r>
    <n v="3715"/>
    <x v="45"/>
    <s v="Night"/>
    <x v="0"/>
    <n v="2000719505"/>
    <n v="4"/>
    <n v="4"/>
    <n v="0"/>
    <s v="U09854"/>
    <s v="L1172/73"/>
    <x v="145"/>
    <m/>
    <m/>
    <m/>
    <n v="0"/>
    <m/>
    <m/>
  </r>
  <r>
    <n v="3716"/>
    <x v="45"/>
    <s v="Night"/>
    <x v="0"/>
    <n v="2000719503"/>
    <n v="4"/>
    <n v="4"/>
    <n v="0"/>
    <s v="U09854"/>
    <s v="L1172/73"/>
    <x v="19"/>
    <m/>
    <m/>
    <m/>
    <n v="0"/>
    <m/>
    <m/>
  </r>
  <r>
    <n v="3717"/>
    <x v="45"/>
    <s v="Night"/>
    <x v="0"/>
    <n v="2000719504"/>
    <n v="48"/>
    <n v="48"/>
    <n v="0"/>
    <s v="U09854"/>
    <s v="L1172/73"/>
    <x v="19"/>
    <m/>
    <m/>
    <m/>
    <n v="0"/>
    <m/>
    <m/>
  </r>
  <r>
    <n v="3718"/>
    <x v="45"/>
    <s v="Night"/>
    <x v="0"/>
    <n v="2000719293"/>
    <n v="260"/>
    <n v="260"/>
    <n v="1"/>
    <s v="U09854"/>
    <s v="L1172/73"/>
    <x v="145"/>
    <s v="Khác "/>
    <s v="fh1102 biến dạng"/>
    <s v="FH1102"/>
    <n v="1"/>
    <s v="\\vn-file\QC Department\4.OQC\00. OQC Performance\03. Images\01. NG\20210318-NG-0125719293.jpg"/>
    <s v="\\vn-file\QC Department\4.OQC\00. OQC Performance\03. Images\02. OK\20210318-OK-0125719293.jpg"/>
  </r>
  <r>
    <n v="3719"/>
    <x v="45"/>
    <s v="Night"/>
    <x v="0"/>
    <n v="2000719117"/>
    <n v="210"/>
    <n v="1"/>
    <n v="0"/>
    <s v="U09854"/>
    <s v="L1172/73"/>
    <x v="169"/>
    <m/>
    <m/>
    <m/>
    <n v="0"/>
    <m/>
    <m/>
  </r>
  <r>
    <n v="3720"/>
    <x v="45"/>
    <s v="Night"/>
    <x v="0"/>
    <n v="2000719536"/>
    <n v="356"/>
    <n v="305"/>
    <n v="0"/>
    <s v="U09854"/>
    <s v="L1172/73"/>
    <x v="193"/>
    <m/>
    <m/>
    <m/>
    <n v="0"/>
    <m/>
    <m/>
  </r>
  <r>
    <n v="3721"/>
    <x v="45"/>
    <s v="Night"/>
    <x v="0"/>
    <n v="2000719660"/>
    <n v="990"/>
    <n v="90"/>
    <n v="0"/>
    <s v="U09854"/>
    <s v="L1209/10"/>
    <x v="44"/>
    <m/>
    <m/>
    <m/>
    <n v="0"/>
    <m/>
    <m/>
  </r>
  <r>
    <n v="3722"/>
    <x v="46"/>
    <s v="Day"/>
    <x v="0"/>
    <n v="2000719660"/>
    <n v="990"/>
    <n v="328"/>
    <n v="0"/>
    <s v="U29686"/>
    <s v="L1209/10"/>
    <x v="44"/>
    <m/>
    <m/>
    <m/>
    <n v="0"/>
    <m/>
    <m/>
  </r>
  <r>
    <n v="3723"/>
    <x v="46"/>
    <s v="Day"/>
    <x v="0"/>
    <n v="2000719269"/>
    <n v="180"/>
    <n v="179"/>
    <n v="0"/>
    <s v="U29686"/>
    <s v="L1170/71"/>
    <x v="117"/>
    <m/>
    <m/>
    <m/>
    <n v="0"/>
    <m/>
    <m/>
  </r>
  <r>
    <n v="3724"/>
    <x v="46"/>
    <s v="Day"/>
    <x v="0"/>
    <n v="2000719270"/>
    <n v="450"/>
    <n v="270"/>
    <n v="0"/>
    <s v="U29686"/>
    <s v="L1170/71"/>
    <x v="46"/>
    <m/>
    <m/>
    <m/>
    <n v="0"/>
    <m/>
    <m/>
  </r>
  <r>
    <n v="3725"/>
    <x v="46"/>
    <s v="Day"/>
    <x v="0"/>
    <n v="2000719341"/>
    <n v="580"/>
    <n v="40"/>
    <n v="0"/>
    <s v="U36206"/>
    <s v="L1144/47"/>
    <x v="1"/>
    <m/>
    <m/>
    <m/>
    <n v="0"/>
    <m/>
    <m/>
  </r>
  <r>
    <n v="3726"/>
    <x v="46"/>
    <s v="Day"/>
    <x v="0"/>
    <n v="2000719966"/>
    <n v="780"/>
    <n v="80"/>
    <n v="0"/>
    <s v="U36206"/>
    <s v="T541"/>
    <x v="94"/>
    <m/>
    <m/>
    <m/>
    <n v="0"/>
    <m/>
    <m/>
  </r>
  <r>
    <n v="3727"/>
    <x v="46"/>
    <s v="Day"/>
    <x v="0"/>
    <n v="2000719311"/>
    <n v="3700"/>
    <n v="200"/>
    <n v="0"/>
    <s v="U36206"/>
    <s v="L1174/75"/>
    <x v="3"/>
    <m/>
    <m/>
    <m/>
    <n v="0"/>
    <m/>
    <m/>
  </r>
  <r>
    <n v="3728"/>
    <x v="46"/>
    <s v="Day"/>
    <x v="0"/>
    <n v="2000719968"/>
    <n v="1030"/>
    <n v="120"/>
    <n v="0"/>
    <s v="U36206"/>
    <s v="L1144/47"/>
    <x v="120"/>
    <m/>
    <m/>
    <m/>
    <n v="0"/>
    <m/>
    <m/>
  </r>
  <r>
    <n v="3729"/>
    <x v="46"/>
    <s v="Day"/>
    <x v="0"/>
    <n v="2000719667"/>
    <n v="1900"/>
    <n v="90"/>
    <n v="0"/>
    <s v="U18660"/>
    <s v="L1172/73"/>
    <x v="18"/>
    <m/>
    <m/>
    <m/>
    <n v="0"/>
    <m/>
    <m/>
  </r>
  <r>
    <n v="3730"/>
    <x v="46"/>
    <s v="Day"/>
    <x v="0"/>
    <n v="2000719294"/>
    <n v="900"/>
    <n v="80"/>
    <n v="0"/>
    <s v="U18660"/>
    <s v="L1172/73"/>
    <x v="83"/>
    <m/>
    <m/>
    <m/>
    <n v="0"/>
    <m/>
    <m/>
  </r>
  <r>
    <n v="3731"/>
    <x v="46"/>
    <s v="Day"/>
    <x v="0"/>
    <n v="2000718451"/>
    <n v="2004"/>
    <n v="120"/>
    <n v="0"/>
    <s v="U18660"/>
    <s v="L1168/69"/>
    <x v="37"/>
    <m/>
    <m/>
    <m/>
    <n v="0"/>
    <m/>
    <m/>
  </r>
  <r>
    <n v="3732"/>
    <x v="46"/>
    <s v="Day"/>
    <x v="0"/>
    <n v="2000719662"/>
    <n v="130"/>
    <n v="130"/>
    <n v="0"/>
    <s v="U18660"/>
    <s v="L1209/10"/>
    <x v="69"/>
    <m/>
    <m/>
    <m/>
    <n v="0"/>
    <m/>
    <m/>
  </r>
  <r>
    <n v="3733"/>
    <x v="46"/>
    <s v="Day"/>
    <x v="0"/>
    <n v="2000719702"/>
    <n v="720"/>
    <n v="300"/>
    <n v="0"/>
    <s v="U18660"/>
    <s v="L1188/89"/>
    <x v="168"/>
    <m/>
    <m/>
    <m/>
    <n v="0"/>
    <m/>
    <m/>
  </r>
  <r>
    <n v="3734"/>
    <x v="46"/>
    <s v="Day"/>
    <x v="0"/>
    <n v="2000719024"/>
    <n v="1680"/>
    <n v="290"/>
    <n v="0"/>
    <s v="U27687"/>
    <s v="L1188/89"/>
    <x v="16"/>
    <m/>
    <m/>
    <m/>
    <n v="0"/>
    <m/>
    <m/>
  </r>
  <r>
    <n v="3735"/>
    <x v="46"/>
    <s v="Day"/>
    <x v="0"/>
    <n v="2000719716"/>
    <n v="1970"/>
    <n v="320"/>
    <n v="0"/>
    <s v="U27687"/>
    <s v="L1188/89"/>
    <x v="16"/>
    <m/>
    <m/>
    <m/>
    <n v="0"/>
    <m/>
    <m/>
  </r>
  <r>
    <n v="3736"/>
    <x v="46"/>
    <s v="Day"/>
    <x v="0"/>
    <n v="2000719965"/>
    <n v="240"/>
    <n v="20"/>
    <n v="0"/>
    <s v="U27687"/>
    <s v="T541"/>
    <x v="133"/>
    <m/>
    <m/>
    <m/>
    <n v="0"/>
    <m/>
    <m/>
  </r>
  <r>
    <n v="3737"/>
    <x v="46"/>
    <s v="Day"/>
    <x v="0"/>
    <n v="2000719024"/>
    <n v="1680"/>
    <n v="340"/>
    <n v="0"/>
    <s v="U27723"/>
    <s v="L1188/89"/>
    <x v="16"/>
    <m/>
    <m/>
    <m/>
    <n v="0"/>
    <m/>
    <m/>
  </r>
  <r>
    <n v="3738"/>
    <x v="46"/>
    <s v="Day"/>
    <x v="0"/>
    <n v="2000719716"/>
    <n v="1970"/>
    <n v="440"/>
    <n v="0"/>
    <s v="U27723"/>
    <s v="L1188/89"/>
    <x v="16"/>
    <m/>
    <m/>
    <m/>
    <n v="0"/>
    <m/>
    <m/>
  </r>
  <r>
    <n v="3739"/>
    <x v="46"/>
    <s v="Day"/>
    <x v="0"/>
    <n v="2000719312"/>
    <n v="290"/>
    <n v="110"/>
    <n v="0"/>
    <s v="U32991"/>
    <s v="L1193/94"/>
    <x v="146"/>
    <m/>
    <m/>
    <m/>
    <n v="0"/>
    <m/>
    <m/>
  </r>
  <r>
    <n v="3740"/>
    <x v="46"/>
    <s v="Day"/>
    <x v="0"/>
    <n v="2000719313"/>
    <n v="410"/>
    <n v="292"/>
    <n v="0"/>
    <s v="U32991"/>
    <s v="L1193/94"/>
    <x v="104"/>
    <m/>
    <m/>
    <m/>
    <n v="0"/>
    <m/>
    <m/>
  </r>
  <r>
    <n v="3741"/>
    <x v="46"/>
    <s v="Day"/>
    <x v="0"/>
    <n v="2000710876"/>
    <n v="390"/>
    <n v="8"/>
    <n v="0"/>
    <s v="U32991"/>
    <s v="L1193/94"/>
    <x v="146"/>
    <m/>
    <m/>
    <m/>
    <n v="0"/>
    <m/>
    <m/>
  </r>
  <r>
    <n v="3742"/>
    <x v="46"/>
    <s v="Day"/>
    <x v="0"/>
    <n v="2000719549"/>
    <n v="522"/>
    <n v="150"/>
    <n v="0"/>
    <s v="U32991"/>
    <s v="L1193/94"/>
    <x v="123"/>
    <m/>
    <m/>
    <m/>
    <n v="0"/>
    <m/>
    <m/>
  </r>
  <r>
    <n v="3743"/>
    <x v="46"/>
    <s v="Day"/>
    <x v="0"/>
    <n v="2000719041"/>
    <n v="3200"/>
    <n v="800"/>
    <n v="0"/>
    <s v="U07492"/>
    <s v="L1193/94"/>
    <x v="119"/>
    <m/>
    <m/>
    <m/>
    <n v="0"/>
    <m/>
    <m/>
  </r>
  <r>
    <n v="3744"/>
    <x v="46"/>
    <s v="Day"/>
    <x v="0"/>
    <n v="2000719038"/>
    <n v="2088"/>
    <n v="108"/>
    <n v="0"/>
    <s v="U07492"/>
    <s v="L1151/52"/>
    <x v="167"/>
    <m/>
    <m/>
    <m/>
    <n v="0"/>
    <m/>
    <m/>
  </r>
  <r>
    <n v="3745"/>
    <x v="46"/>
    <s v="Day"/>
    <x v="0"/>
    <n v="2000719308"/>
    <n v="1700"/>
    <n v="200"/>
    <n v="0"/>
    <s v="U03968"/>
    <s v="L1174/75"/>
    <x v="62"/>
    <m/>
    <m/>
    <m/>
    <n v="0"/>
    <m/>
    <m/>
  </r>
  <r>
    <n v="3746"/>
    <x v="46"/>
    <s v="Day"/>
    <x v="0"/>
    <n v="2000719351"/>
    <n v="3000"/>
    <n v="200"/>
    <n v="0"/>
    <s v="U03968"/>
    <s v="L1174/75"/>
    <x v="66"/>
    <m/>
    <m/>
    <m/>
    <n v="0"/>
    <m/>
    <m/>
  </r>
  <r>
    <n v="3747"/>
    <x v="46"/>
    <s v="Day"/>
    <x v="0"/>
    <n v="2000719042"/>
    <n v="4240"/>
    <n v="300"/>
    <n v="0"/>
    <s v="U03968"/>
    <s v="T515"/>
    <x v="15"/>
    <m/>
    <m/>
    <m/>
    <n v="0"/>
    <m/>
    <m/>
  </r>
  <r>
    <n v="3748"/>
    <x v="46"/>
    <s v="Day"/>
    <x v="0"/>
    <n v="2000718821"/>
    <n v="1480"/>
    <n v="240"/>
    <n v="0"/>
    <s v="U03968"/>
    <s v="L1193/94"/>
    <x v="30"/>
    <m/>
    <m/>
    <m/>
    <n v="0"/>
    <m/>
    <m/>
  </r>
  <r>
    <n v="3749"/>
    <x v="46"/>
    <s v="Day"/>
    <x v="0"/>
    <n v="2000719041"/>
    <n v="3200"/>
    <n v="1200"/>
    <n v="0"/>
    <s v="U03968"/>
    <s v="L1193/94"/>
    <x v="119"/>
    <m/>
    <m/>
    <m/>
    <n v="0"/>
    <m/>
    <m/>
  </r>
  <r>
    <n v="3750"/>
    <x v="46"/>
    <s v="Day"/>
    <x v="0"/>
    <n v="2000719060"/>
    <n v="2800"/>
    <n v="200"/>
    <n v="0"/>
    <s v="U03968"/>
    <s v="L1144/47"/>
    <x v="92"/>
    <m/>
    <m/>
    <m/>
    <n v="0"/>
    <m/>
    <m/>
  </r>
  <r>
    <n v="3751"/>
    <x v="46"/>
    <s v="Day"/>
    <x v="0"/>
    <n v="2000719062"/>
    <n v="2800"/>
    <n v="150"/>
    <n v="0"/>
    <s v="U03968"/>
    <s v="L1144/47"/>
    <x v="13"/>
    <m/>
    <m/>
    <m/>
    <n v="0"/>
    <m/>
    <m/>
  </r>
  <r>
    <n v="3752"/>
    <x v="46"/>
    <s v="Day"/>
    <x v="0"/>
    <n v="2000718472"/>
    <n v="1600"/>
    <n v="160"/>
    <n v="0"/>
    <s v="U03968"/>
    <s v="L1077"/>
    <x v="36"/>
    <m/>
    <m/>
    <m/>
    <n v="0"/>
    <m/>
    <m/>
  </r>
  <r>
    <n v="3753"/>
    <x v="46"/>
    <s v="Day"/>
    <x v="0"/>
    <n v="2000719310"/>
    <n v="3700"/>
    <n v="200"/>
    <n v="0"/>
    <s v="U03968"/>
    <s v="L1174/75"/>
    <x v="62"/>
    <m/>
    <m/>
    <m/>
    <n v="0"/>
    <m/>
    <m/>
  </r>
  <r>
    <n v="3754"/>
    <x v="46"/>
    <s v="Day"/>
    <x v="0"/>
    <n v="2000718824"/>
    <n v="1140"/>
    <n v="120"/>
    <n v="0"/>
    <s v="U03968"/>
    <s v="L1151/52"/>
    <x v="85"/>
    <m/>
    <m/>
    <m/>
    <n v="0"/>
    <m/>
    <m/>
  </r>
  <r>
    <n v="3755"/>
    <x v="46"/>
    <s v="Day"/>
    <x v="0"/>
    <n v="2000718824"/>
    <n v="1140"/>
    <n v="160"/>
    <n v="0"/>
    <s v="U30500"/>
    <s v="L1151/52"/>
    <x v="85"/>
    <m/>
    <m/>
    <m/>
    <n v="0"/>
    <m/>
    <m/>
  </r>
  <r>
    <n v="3756"/>
    <x v="46"/>
    <s v="Day"/>
    <x v="0"/>
    <n v="2000718819"/>
    <n v="1800"/>
    <n v="80"/>
    <n v="0"/>
    <s v="U30500"/>
    <s v="L1151/52"/>
    <x v="85"/>
    <m/>
    <m/>
    <m/>
    <n v="0"/>
    <m/>
    <m/>
  </r>
  <r>
    <n v="3757"/>
    <x v="46"/>
    <s v="Day"/>
    <x v="0"/>
    <n v="2000719035"/>
    <n v="1302"/>
    <n v="452"/>
    <n v="0"/>
    <s v="U30500"/>
    <s v="L1151/52"/>
    <x v="173"/>
    <m/>
    <m/>
    <m/>
    <n v="0"/>
    <m/>
    <m/>
  </r>
  <r>
    <n v="3758"/>
    <x v="46"/>
    <s v="Day"/>
    <x v="0"/>
    <n v="2000719038"/>
    <n v="2088"/>
    <n v="990"/>
    <n v="0"/>
    <s v="U30500"/>
    <s v="L1151/52"/>
    <x v="167"/>
    <m/>
    <m/>
    <m/>
    <n v="0"/>
    <m/>
    <m/>
  </r>
  <r>
    <n v="3759"/>
    <x v="46"/>
    <s v="Day"/>
    <x v="0"/>
    <n v="2000718217"/>
    <n v="2000"/>
    <n v="150"/>
    <n v="0"/>
    <s v="U30500"/>
    <s v="L1077"/>
    <x v="33"/>
    <m/>
    <m/>
    <m/>
    <n v="0"/>
    <m/>
    <m/>
  </r>
  <r>
    <n v="3760"/>
    <x v="46"/>
    <s v="Day"/>
    <x v="1"/>
    <n v="2000718798"/>
    <n v="450"/>
    <n v="50"/>
    <n v="0"/>
    <s v="U15759"/>
    <s v="FLORA"/>
    <x v="28"/>
    <m/>
    <m/>
    <m/>
    <n v="0"/>
    <m/>
    <m/>
  </r>
  <r>
    <n v="3761"/>
    <x v="46"/>
    <s v="Day"/>
    <x v="1"/>
    <n v="2000719228"/>
    <n v="600"/>
    <n v="40"/>
    <n v="0"/>
    <s v="U15759"/>
    <s v="PSLV"/>
    <x v="53"/>
    <m/>
    <m/>
    <m/>
    <n v="0"/>
    <m/>
    <m/>
  </r>
  <r>
    <n v="3762"/>
    <x v="46"/>
    <s v="Day"/>
    <x v="1"/>
    <n v="2000719227"/>
    <n v="400"/>
    <n v="198"/>
    <n v="0"/>
    <s v="U15759"/>
    <s v="PSHV"/>
    <x v="121"/>
    <m/>
    <m/>
    <m/>
    <n v="0"/>
    <m/>
    <m/>
  </r>
  <r>
    <n v="3763"/>
    <x v="46"/>
    <s v="Day"/>
    <x v="1"/>
    <n v="2000719506"/>
    <n v="450"/>
    <n v="70"/>
    <n v="0"/>
    <s v="U15759"/>
    <s v="SHANKS"/>
    <x v="24"/>
    <m/>
    <m/>
    <m/>
    <n v="0"/>
    <m/>
    <m/>
  </r>
  <r>
    <n v="3764"/>
    <x v="46"/>
    <s v="Day"/>
    <x v="1"/>
    <n v="2000719507"/>
    <n v="450"/>
    <n v="140"/>
    <n v="0"/>
    <s v="U15759"/>
    <s v="SHANKS"/>
    <x v="24"/>
    <m/>
    <m/>
    <m/>
    <n v="0"/>
    <m/>
    <m/>
  </r>
  <r>
    <n v="3765"/>
    <x v="46"/>
    <s v="Day"/>
    <x v="1"/>
    <n v="2000715658"/>
    <n v="400"/>
    <n v="19"/>
    <n v="0"/>
    <s v="U15759"/>
    <s v="FLORA"/>
    <x v="180"/>
    <m/>
    <m/>
    <m/>
    <n v="0"/>
    <m/>
    <m/>
  </r>
  <r>
    <n v="3766"/>
    <x v="46"/>
    <s v="Day"/>
    <x v="1"/>
    <n v="2000718984"/>
    <n v="620"/>
    <n v="120"/>
    <n v="0"/>
    <s v="U15759"/>
    <s v="FLORA"/>
    <x v="180"/>
    <m/>
    <m/>
    <m/>
    <n v="0"/>
    <m/>
    <m/>
  </r>
  <r>
    <n v="3767"/>
    <x v="46"/>
    <s v="Day"/>
    <x v="1"/>
    <n v="2000719527"/>
    <n v="380"/>
    <n v="160"/>
    <n v="0"/>
    <s v="U15759"/>
    <s v="PSHV"/>
    <x v="50"/>
    <m/>
    <m/>
    <m/>
    <n v="0"/>
    <m/>
    <m/>
  </r>
  <r>
    <n v="3768"/>
    <x v="46"/>
    <s v="Day"/>
    <x v="1"/>
    <n v="2000719004"/>
    <n v="15"/>
    <n v="15"/>
    <n v="0"/>
    <s v="U15759"/>
    <s v="PSLV"/>
    <x v="112"/>
    <m/>
    <m/>
    <m/>
    <n v="0"/>
    <m/>
    <m/>
  </r>
  <r>
    <n v="3769"/>
    <x v="46"/>
    <s v="Day"/>
    <x v="1"/>
    <n v="2000717315"/>
    <n v="326"/>
    <n v="1"/>
    <n v="0"/>
    <s v="U15759"/>
    <s v="PSLV"/>
    <x v="91"/>
    <m/>
    <m/>
    <m/>
    <n v="0"/>
    <m/>
    <m/>
  </r>
  <r>
    <n v="3770"/>
    <x v="46"/>
    <s v="Day"/>
    <x v="1"/>
    <n v="2000719232"/>
    <n v="945"/>
    <n v="10"/>
    <n v="0"/>
    <s v="U15759"/>
    <s v="PSHV"/>
    <x v="223"/>
    <m/>
    <m/>
    <m/>
    <n v="0"/>
    <m/>
    <m/>
  </r>
  <r>
    <n v="3771"/>
    <x v="46"/>
    <s v="Night"/>
    <x v="0"/>
    <n v="2000719716"/>
    <n v="1970"/>
    <n v="520"/>
    <n v="0"/>
    <s v="U36008"/>
    <s v="L1188/89"/>
    <x v="16"/>
    <m/>
    <m/>
    <m/>
    <n v="0"/>
    <m/>
    <m/>
  </r>
  <r>
    <n v="3772"/>
    <x v="46"/>
    <s v="Night"/>
    <x v="0"/>
    <n v="2000719270"/>
    <n v="450"/>
    <n v="173"/>
    <n v="0"/>
    <s v="U23987"/>
    <s v="L1170/71"/>
    <x v="46"/>
    <m/>
    <m/>
    <m/>
    <n v="0"/>
    <m/>
    <m/>
  </r>
  <r>
    <n v="3773"/>
    <x v="46"/>
    <s v="Night"/>
    <x v="0"/>
    <n v="2000719271"/>
    <n v="1300"/>
    <n v="585"/>
    <n v="1"/>
    <s v="U23987"/>
    <s v="L1209/10"/>
    <x v="68"/>
    <s v="Nối chân,cực"/>
    <m/>
    <s v="IC1"/>
    <n v="1"/>
    <s v="\\vn-file\QC Department\4.OQC\00. OQC Performance\03. Images\01. NG\20210319-NG-0232719271.jpg"/>
    <s v="\\vn-file\QC Department\4.OQC\00. OQC Performance\03. Images\02. OK\20210319-OK-0232719271.jpg"/>
  </r>
  <r>
    <n v="3774"/>
    <x v="46"/>
    <s v="Night"/>
    <x v="0"/>
    <n v="2000719271"/>
    <n v="1300"/>
    <n v="90"/>
    <n v="0"/>
    <s v="U30119"/>
    <s v="L1209/10"/>
    <x v="68"/>
    <m/>
    <m/>
    <m/>
    <n v="0"/>
    <m/>
    <m/>
  </r>
  <r>
    <n v="3775"/>
    <x v="46"/>
    <s v="Night"/>
    <x v="0"/>
    <n v="2000719061"/>
    <n v="2800"/>
    <n v="200"/>
    <n v="0"/>
    <s v="U26613"/>
    <s v="L1144/47"/>
    <x v="77"/>
    <m/>
    <m/>
    <m/>
    <n v="0"/>
    <m/>
    <m/>
  </r>
  <r>
    <n v="3776"/>
    <x v="46"/>
    <s v="Night"/>
    <x v="0"/>
    <n v="2000718469"/>
    <n v="1600"/>
    <n v="150"/>
    <n v="0"/>
    <s v="U26613"/>
    <s v="L1077"/>
    <x v="10"/>
    <m/>
    <m/>
    <m/>
    <n v="0"/>
    <m/>
    <m/>
  </r>
  <r>
    <n v="3777"/>
    <x v="46"/>
    <s v="Night"/>
    <x v="0"/>
    <n v="2000719041"/>
    <n v="3200"/>
    <n v="400"/>
    <n v="0"/>
    <s v="U26613"/>
    <s v="L1193/94"/>
    <x v="119"/>
    <m/>
    <m/>
    <m/>
    <n v="0"/>
    <m/>
    <m/>
  </r>
  <r>
    <n v="3778"/>
    <x v="46"/>
    <s v="Night"/>
    <x v="0"/>
    <n v="2000718824"/>
    <n v="1140"/>
    <n v="160"/>
    <n v="0"/>
    <s v="U26613"/>
    <s v="L1151/52"/>
    <x v="85"/>
    <m/>
    <m/>
    <m/>
    <n v="0"/>
    <m/>
    <m/>
  </r>
  <r>
    <n v="3779"/>
    <x v="46"/>
    <s v="Night"/>
    <x v="0"/>
    <n v="2000719038"/>
    <n v="2088"/>
    <n v="990"/>
    <n v="0"/>
    <s v="U26613"/>
    <s v="L1151/52"/>
    <x v="167"/>
    <m/>
    <m/>
    <m/>
    <n v="0"/>
    <m/>
    <m/>
  </r>
  <r>
    <n v="3780"/>
    <x v="46"/>
    <s v="Night"/>
    <x v="0"/>
    <n v="2000719736"/>
    <n v="7890"/>
    <n v="300"/>
    <n v="0"/>
    <s v="U26613"/>
    <s v="L1112/13"/>
    <x v="75"/>
    <m/>
    <m/>
    <m/>
    <n v="0"/>
    <m/>
    <m/>
  </r>
  <r>
    <n v="3781"/>
    <x v="46"/>
    <s v="Night"/>
    <x v="0"/>
    <n v="2000719353"/>
    <n v="600"/>
    <n v="150"/>
    <n v="0"/>
    <s v="U26613"/>
    <s v="L1172/73"/>
    <x v="175"/>
    <m/>
    <m/>
    <m/>
    <n v="0"/>
    <m/>
    <m/>
  </r>
  <r>
    <n v="3782"/>
    <x v="46"/>
    <s v="Night"/>
    <x v="0"/>
    <n v="2000719779"/>
    <n v="140"/>
    <n v="100"/>
    <n v="0"/>
    <s v="U26613"/>
    <s v="L1106"/>
    <x v="157"/>
    <m/>
    <m/>
    <m/>
    <n v="0"/>
    <m/>
    <m/>
  </r>
  <r>
    <n v="3783"/>
    <x v="46"/>
    <s v="Night"/>
    <x v="0"/>
    <n v="2000719702"/>
    <n v="720"/>
    <n v="100"/>
    <n v="0"/>
    <s v="U05944"/>
    <s v="L1188/89"/>
    <x v="168"/>
    <m/>
    <m/>
    <m/>
    <n v="0"/>
    <m/>
    <m/>
  </r>
  <r>
    <n v="3784"/>
    <x v="46"/>
    <s v="Night"/>
    <x v="0"/>
    <n v="2000719716"/>
    <n v="1970"/>
    <n v="160"/>
    <n v="0"/>
    <s v="U05944"/>
    <s v="L1188/89"/>
    <x v="16"/>
    <m/>
    <m/>
    <m/>
    <n v="0"/>
    <m/>
    <m/>
  </r>
  <r>
    <n v="3785"/>
    <x v="46"/>
    <s v="Night"/>
    <x v="0"/>
    <n v="2000719021"/>
    <n v="602"/>
    <n v="198"/>
    <n v="0"/>
    <s v="U05944"/>
    <s v="L1188/89"/>
    <x v="122"/>
    <m/>
    <m/>
    <m/>
    <n v="0"/>
    <m/>
    <m/>
  </r>
  <r>
    <n v="3786"/>
    <x v="46"/>
    <s v="Night"/>
    <x v="0"/>
    <n v="2000719708"/>
    <n v="60"/>
    <n v="60"/>
    <n v="0"/>
    <s v="U05944"/>
    <s v="L1188/89"/>
    <x v="43"/>
    <m/>
    <m/>
    <m/>
    <n v="0"/>
    <m/>
    <m/>
  </r>
  <r>
    <n v="3787"/>
    <x v="46"/>
    <s v="Night"/>
    <x v="0"/>
    <n v="2000719022"/>
    <n v="1680"/>
    <n v="14"/>
    <n v="0"/>
    <s v="U05944"/>
    <s v="L1188/89"/>
    <x v="98"/>
    <m/>
    <m/>
    <m/>
    <n v="0"/>
    <m/>
    <m/>
  </r>
  <r>
    <n v="3788"/>
    <x v="46"/>
    <s v="Night"/>
    <x v="0"/>
    <n v="2000719716"/>
    <n v="1970"/>
    <n v="120"/>
    <n v="0"/>
    <s v="U27724"/>
    <s v="L1188/89"/>
    <x v="16"/>
    <m/>
    <m/>
    <m/>
    <n v="0"/>
    <m/>
    <m/>
  </r>
  <r>
    <n v="3789"/>
    <x v="46"/>
    <s v="Night"/>
    <x v="0"/>
    <n v="2000719702"/>
    <n v="720"/>
    <n v="318"/>
    <n v="0"/>
    <s v="U27724"/>
    <s v="L1188/89"/>
    <x v="168"/>
    <m/>
    <m/>
    <m/>
    <n v="0"/>
    <m/>
    <m/>
  </r>
  <r>
    <n v="3790"/>
    <x v="46"/>
    <s v="Night"/>
    <x v="0"/>
    <n v="2000719021"/>
    <n v="602"/>
    <n v="162"/>
    <n v="0"/>
    <s v="U27724"/>
    <s v="L1188/89"/>
    <x v="122"/>
    <m/>
    <m/>
    <m/>
    <n v="0"/>
    <m/>
    <m/>
  </r>
  <r>
    <n v="3791"/>
    <x v="46"/>
    <s v="Night"/>
    <x v="0"/>
    <n v="2000719288"/>
    <n v="40"/>
    <n v="40"/>
    <n v="0"/>
    <s v="U27724"/>
    <s v="L1188/89"/>
    <x v="122"/>
    <m/>
    <m/>
    <m/>
    <n v="0"/>
    <m/>
    <m/>
  </r>
  <r>
    <n v="3792"/>
    <x v="46"/>
    <s v="Night"/>
    <x v="0"/>
    <n v="2000720020"/>
    <n v="680"/>
    <n v="160"/>
    <n v="0"/>
    <s v="U27724"/>
    <s v="L1188/89"/>
    <x v="98"/>
    <m/>
    <m/>
    <m/>
    <n v="0"/>
    <m/>
    <m/>
  </r>
  <r>
    <n v="3793"/>
    <x v="46"/>
    <s v="Night"/>
    <x v="0"/>
    <n v="2000719667"/>
    <n v="1900"/>
    <n v="30"/>
    <n v="0"/>
    <s v="U30425"/>
    <s v="L1172/73"/>
    <x v="18"/>
    <m/>
    <m/>
    <m/>
    <n v="0"/>
    <m/>
    <m/>
  </r>
  <r>
    <n v="3794"/>
    <x v="46"/>
    <s v="Night"/>
    <x v="0"/>
    <n v="2000719569"/>
    <n v="360"/>
    <n v="80"/>
    <n v="0"/>
    <s v="U30425"/>
    <s v="L1144/47"/>
    <x v="71"/>
    <m/>
    <m/>
    <m/>
    <n v="0"/>
    <m/>
    <m/>
  </r>
  <r>
    <n v="3795"/>
    <x v="46"/>
    <s v="Night"/>
    <x v="0"/>
    <n v="2000719585"/>
    <n v="2800"/>
    <n v="120"/>
    <n v="0"/>
    <s v="U30425"/>
    <s v="L1144/47"/>
    <x v="59"/>
    <m/>
    <m/>
    <m/>
    <n v="0"/>
    <m/>
    <m/>
  </r>
  <r>
    <n v="3796"/>
    <x v="46"/>
    <s v="Night"/>
    <x v="0"/>
    <n v="2000719342"/>
    <n v="600"/>
    <n v="80"/>
    <n v="0"/>
    <s v="U30425"/>
    <s v="L1144/47"/>
    <x v="56"/>
    <m/>
    <m/>
    <m/>
    <n v="0"/>
    <m/>
    <m/>
  </r>
  <r>
    <n v="3797"/>
    <x v="46"/>
    <s v="Night"/>
    <x v="0"/>
    <n v="2000719331"/>
    <n v="60"/>
    <n v="20"/>
    <n v="0"/>
    <s v="U30425"/>
    <s v="L1144/47"/>
    <x v="58"/>
    <m/>
    <m/>
    <m/>
    <n v="0"/>
    <m/>
    <m/>
  </r>
  <r>
    <n v="3798"/>
    <x v="46"/>
    <s v="Night"/>
    <x v="0"/>
    <n v="2000719780"/>
    <n v="140"/>
    <n v="20"/>
    <n v="0"/>
    <s v="U30425"/>
    <s v="L1106"/>
    <x v="70"/>
    <m/>
    <m/>
    <m/>
    <n v="0"/>
    <m/>
    <m/>
  </r>
  <r>
    <n v="3799"/>
    <x v="46"/>
    <s v="Night"/>
    <x v="0"/>
    <n v="2000719248"/>
    <n v="3808"/>
    <n v="200"/>
    <n v="0"/>
    <s v="U30425"/>
    <s v="L1112/13"/>
    <x v="8"/>
    <m/>
    <m/>
    <m/>
    <n v="0"/>
    <m/>
    <m/>
  </r>
  <r>
    <n v="3800"/>
    <x v="46"/>
    <s v="Night"/>
    <x v="0"/>
    <n v="2000719605"/>
    <n v="1664"/>
    <n v="120"/>
    <n v="0"/>
    <s v="U30425"/>
    <s v="L1128/29"/>
    <x v="11"/>
    <m/>
    <m/>
    <m/>
    <n v="0"/>
    <m/>
    <m/>
  </r>
  <r>
    <n v="3801"/>
    <x v="46"/>
    <s v="Night"/>
    <x v="0"/>
    <n v="2000719967"/>
    <n v="210"/>
    <n v="20"/>
    <n v="0"/>
    <s v="U30425"/>
    <s v="T543"/>
    <x v="100"/>
    <m/>
    <m/>
    <m/>
    <n v="0"/>
    <m/>
    <m/>
  </r>
  <r>
    <n v="3802"/>
    <x v="46"/>
    <s v="Night"/>
    <x v="0"/>
    <n v="2000718473"/>
    <n v="1600"/>
    <n v="40"/>
    <n v="0"/>
    <s v="U30425"/>
    <s v="L1077"/>
    <x v="2"/>
    <m/>
    <m/>
    <m/>
    <n v="0"/>
    <m/>
    <m/>
  </r>
  <r>
    <n v="3803"/>
    <x v="46"/>
    <s v="Night"/>
    <x v="0"/>
    <n v="2000719579"/>
    <n v="138"/>
    <n v="20"/>
    <n v="0"/>
    <s v="U30425"/>
    <s v="L1144/47"/>
    <x v="89"/>
    <m/>
    <m/>
    <m/>
    <n v="0"/>
    <m/>
    <m/>
  </r>
  <r>
    <n v="3804"/>
    <x v="46"/>
    <s v="Night"/>
    <x v="0"/>
    <n v="2000719549"/>
    <n v="522"/>
    <n v="210"/>
    <n v="0"/>
    <s v="U31065"/>
    <s v="L1193/94"/>
    <x v="123"/>
    <m/>
    <m/>
    <m/>
    <n v="0"/>
    <m/>
    <m/>
  </r>
  <r>
    <n v="3805"/>
    <x v="46"/>
    <s v="Night"/>
    <x v="0"/>
    <n v="2000718765"/>
    <n v="660"/>
    <n v="30"/>
    <n v="0"/>
    <s v="U31065"/>
    <s v="L1193/94"/>
    <x v="192"/>
    <m/>
    <m/>
    <m/>
    <n v="0"/>
    <m/>
    <m/>
  </r>
  <r>
    <n v="3806"/>
    <x v="46"/>
    <s v="Night"/>
    <x v="0"/>
    <n v="2000718172"/>
    <n v="1400"/>
    <n v="39"/>
    <n v="0"/>
    <s v="U31065"/>
    <s v="L1193/94"/>
    <x v="192"/>
    <m/>
    <m/>
    <m/>
    <n v="0"/>
    <m/>
    <m/>
  </r>
  <r>
    <n v="3807"/>
    <x v="46"/>
    <s v="Night"/>
    <x v="0"/>
    <n v="2000718445"/>
    <n v="1060"/>
    <n v="390"/>
    <n v="0"/>
    <s v="U31065"/>
    <s v="L1193/94"/>
    <x v="116"/>
    <m/>
    <m/>
    <m/>
    <n v="0"/>
    <m/>
    <m/>
  </r>
  <r>
    <n v="3808"/>
    <x v="46"/>
    <s v="Night"/>
    <x v="0"/>
    <n v="2000719716"/>
    <n v="1970"/>
    <n v="40"/>
    <n v="0"/>
    <s v="U09854"/>
    <s v="L1188/89"/>
    <x v="16"/>
    <m/>
    <m/>
    <m/>
    <n v="0"/>
    <m/>
    <m/>
  </r>
  <r>
    <n v="3809"/>
    <x v="46"/>
    <s v="Night"/>
    <x v="0"/>
    <n v="2000718824"/>
    <n v="1140"/>
    <n v="120"/>
    <n v="0"/>
    <s v="U09854"/>
    <s v="L1151/52"/>
    <x v="85"/>
    <m/>
    <m/>
    <m/>
    <n v="0"/>
    <m/>
    <m/>
  </r>
  <r>
    <n v="3810"/>
    <x v="46"/>
    <s v="Night"/>
    <x v="0"/>
    <n v="2000719549"/>
    <n v="522"/>
    <n v="153"/>
    <n v="0"/>
    <s v="U09854"/>
    <s v="L1193/94"/>
    <x v="123"/>
    <m/>
    <m/>
    <m/>
    <n v="0"/>
    <m/>
    <m/>
  </r>
  <r>
    <n v="3811"/>
    <x v="46"/>
    <s v="Night"/>
    <x v="0"/>
    <n v="2000719314"/>
    <n v="880"/>
    <n v="420"/>
    <n v="0"/>
    <s v="U09854"/>
    <s v="L1193/94"/>
    <x v="192"/>
    <m/>
    <m/>
    <m/>
    <n v="0"/>
    <m/>
    <m/>
  </r>
  <r>
    <n v="3812"/>
    <x v="46"/>
    <s v="Night"/>
    <x v="1"/>
    <n v="2000719232"/>
    <n v="945"/>
    <n v="120"/>
    <n v="0"/>
    <s v="U30119"/>
    <s v="PSHV"/>
    <x v="223"/>
    <m/>
    <m/>
    <m/>
    <n v="0"/>
    <m/>
    <m/>
  </r>
  <r>
    <n v="3813"/>
    <x v="46"/>
    <s v="Night"/>
    <x v="1"/>
    <n v="2000718984"/>
    <n v="620"/>
    <n v="260"/>
    <n v="0"/>
    <s v="U30119"/>
    <s v="FLORA"/>
    <x v="180"/>
    <m/>
    <m/>
    <m/>
    <n v="0"/>
    <m/>
    <m/>
  </r>
  <r>
    <n v="3814"/>
    <x v="46"/>
    <s v="Night"/>
    <x v="1"/>
    <n v="2000718798"/>
    <n v="450"/>
    <n v="20"/>
    <n v="0"/>
    <s v="U30119"/>
    <s v="FLORA"/>
    <x v="28"/>
    <m/>
    <m/>
    <m/>
    <n v="0"/>
    <m/>
    <m/>
  </r>
  <r>
    <n v="3815"/>
    <x v="46"/>
    <s v="Night"/>
    <x v="1"/>
    <n v="2000719527"/>
    <n v="380"/>
    <n v="80"/>
    <n v="0"/>
    <s v="U30119"/>
    <s v="PSHV"/>
    <x v="50"/>
    <m/>
    <m/>
    <m/>
    <n v="0"/>
    <m/>
    <m/>
  </r>
  <r>
    <n v="3816"/>
    <x v="46"/>
    <s v="Night"/>
    <x v="1"/>
    <n v="2000716867"/>
    <n v="260"/>
    <n v="100"/>
    <n v="0"/>
    <s v="U30119"/>
    <s v="PSLV"/>
    <x v="23"/>
    <m/>
    <m/>
    <m/>
    <n v="0"/>
    <m/>
    <m/>
  </r>
  <r>
    <n v="3817"/>
    <x v="46"/>
    <s v="Night"/>
    <x v="1"/>
    <n v="2000719769"/>
    <n v="450"/>
    <n v="140"/>
    <n v="0"/>
    <s v="U30119"/>
    <s v="SHANKS"/>
    <x v="24"/>
    <m/>
    <m/>
    <m/>
    <n v="0"/>
    <m/>
    <m/>
  </r>
  <r>
    <n v="3818"/>
    <x v="46"/>
    <s v="Night"/>
    <x v="1"/>
    <n v="2000719227"/>
    <n v="400"/>
    <n v="140"/>
    <n v="0"/>
    <s v="U30119"/>
    <s v="PSHV"/>
    <x v="121"/>
    <m/>
    <m/>
    <m/>
    <n v="0"/>
    <m/>
    <m/>
  </r>
  <r>
    <n v="3819"/>
    <x v="47"/>
    <s v="Day"/>
    <x v="0"/>
    <n v="2000718471"/>
    <n v="1600"/>
    <n v="160"/>
    <n v="0"/>
    <s v="U03968"/>
    <s v="L1077"/>
    <x v="6"/>
    <m/>
    <m/>
    <m/>
    <n v="0"/>
    <m/>
    <m/>
  </r>
  <r>
    <n v="3820"/>
    <x v="47"/>
    <s v="Day"/>
    <x v="0"/>
    <n v="2000719778"/>
    <n v="140"/>
    <n v="40"/>
    <n v="0"/>
    <s v="U03968"/>
    <s v="L1106"/>
    <x v="115"/>
    <m/>
    <m/>
    <m/>
    <n v="0"/>
    <m/>
    <m/>
  </r>
  <r>
    <n v="3821"/>
    <x v="47"/>
    <s v="Day"/>
    <x v="0"/>
    <n v="2000718821"/>
    <n v="1480"/>
    <n v="240"/>
    <n v="0"/>
    <s v="U03968"/>
    <s v="L1193/94"/>
    <x v="30"/>
    <m/>
    <m/>
    <m/>
    <n v="0"/>
    <m/>
    <m/>
  </r>
  <r>
    <n v="3822"/>
    <x v="47"/>
    <s v="Day"/>
    <x v="0"/>
    <n v="2000719036"/>
    <n v="600"/>
    <n v="300"/>
    <n v="0"/>
    <s v="U03968"/>
    <s v="L1172/73"/>
    <x v="165"/>
    <m/>
    <m/>
    <m/>
    <n v="0"/>
    <m/>
    <m/>
  </r>
  <r>
    <n v="3823"/>
    <x v="47"/>
    <s v="Day"/>
    <x v="0"/>
    <n v="2000719584"/>
    <n v="2800"/>
    <n v="300"/>
    <n v="0"/>
    <s v="U03968"/>
    <s v="L1144/47"/>
    <x v="13"/>
    <m/>
    <m/>
    <m/>
    <n v="0"/>
    <m/>
    <m/>
  </r>
  <r>
    <n v="3824"/>
    <x v="47"/>
    <s v="Day"/>
    <x v="0"/>
    <n v="2000719582"/>
    <n v="2800"/>
    <n v="300"/>
    <n v="0"/>
    <s v="U03968"/>
    <s v="L1144/47"/>
    <x v="92"/>
    <m/>
    <m/>
    <m/>
    <n v="0"/>
    <m/>
    <m/>
  </r>
  <r>
    <n v="3825"/>
    <x v="47"/>
    <s v="Day"/>
    <x v="0"/>
    <n v="2000719583"/>
    <n v="2800"/>
    <n v="200"/>
    <n v="0"/>
    <s v="U03968"/>
    <s v="L1144/47"/>
    <x v="77"/>
    <m/>
    <m/>
    <m/>
    <n v="0"/>
    <m/>
    <m/>
  </r>
  <r>
    <n v="3826"/>
    <x v="47"/>
    <s v="Day"/>
    <x v="0"/>
    <n v="2000719547"/>
    <n v="2500"/>
    <n v="200"/>
    <n v="0"/>
    <s v="U03968"/>
    <s v="L1174/75"/>
    <x v="62"/>
    <m/>
    <m/>
    <m/>
    <n v="0"/>
    <m/>
    <m/>
  </r>
  <r>
    <n v="3827"/>
    <x v="47"/>
    <s v="Day"/>
    <x v="0"/>
    <n v="2000718824"/>
    <n v="1140"/>
    <n v="200"/>
    <n v="0"/>
    <s v="U03968"/>
    <s v="L1151/52"/>
    <x v="85"/>
    <m/>
    <m/>
    <m/>
    <n v="0"/>
    <m/>
    <m/>
  </r>
  <r>
    <n v="3828"/>
    <x v="47"/>
    <s v="Day"/>
    <x v="0"/>
    <n v="2000719352"/>
    <n v="2609"/>
    <n v="240"/>
    <n v="0"/>
    <s v="U03968"/>
    <s v="L1172/73"/>
    <x v="7"/>
    <m/>
    <m/>
    <m/>
    <n v="0"/>
    <m/>
    <m/>
  </r>
  <r>
    <n v="3829"/>
    <x v="47"/>
    <s v="Day"/>
    <x v="0"/>
    <n v="2000719737"/>
    <n v="896"/>
    <n v="100"/>
    <n v="0"/>
    <s v="U07492"/>
    <s v="L1105"/>
    <x v="244"/>
    <m/>
    <m/>
    <m/>
    <n v="0"/>
    <m/>
    <m/>
  </r>
  <r>
    <n v="3830"/>
    <x v="47"/>
    <s v="Day"/>
    <x v="0"/>
    <n v="2000720028"/>
    <n v="1048"/>
    <n v="100"/>
    <n v="0"/>
    <s v="U07492"/>
    <s v="L1144/47"/>
    <x v="138"/>
    <m/>
    <m/>
    <m/>
    <n v="0"/>
    <m/>
    <m/>
  </r>
  <r>
    <n v="3831"/>
    <x v="47"/>
    <s v="Day"/>
    <x v="0"/>
    <n v="2000719314"/>
    <n v="880"/>
    <n v="346"/>
    <n v="0"/>
    <s v="U32991"/>
    <s v="L1193/94"/>
    <x v="192"/>
    <m/>
    <m/>
    <m/>
    <n v="0"/>
    <m/>
    <m/>
  </r>
  <r>
    <n v="3832"/>
    <x v="47"/>
    <s v="Day"/>
    <x v="0"/>
    <n v="2000715552"/>
    <n v="1010"/>
    <n v="1"/>
    <n v="0"/>
    <s v="U32991"/>
    <s v="L1193/94"/>
    <x v="104"/>
    <m/>
    <m/>
    <m/>
    <n v="0"/>
    <m/>
    <m/>
  </r>
  <r>
    <n v="3833"/>
    <x v="47"/>
    <s v="Day"/>
    <x v="0"/>
    <n v="2000719313"/>
    <n v="410"/>
    <n v="10"/>
    <n v="0"/>
    <s v="U32991"/>
    <s v="L1193/94"/>
    <x v="104"/>
    <m/>
    <m/>
    <m/>
    <n v="0"/>
    <m/>
    <m/>
  </r>
  <r>
    <n v="3834"/>
    <x v="47"/>
    <s v="Day"/>
    <x v="0"/>
    <n v="2000719600"/>
    <n v="120"/>
    <n v="55"/>
    <n v="0"/>
    <s v="U32991"/>
    <s v="L1151/52"/>
    <x v="154"/>
    <m/>
    <m/>
    <m/>
    <n v="0"/>
    <m/>
    <m/>
  </r>
  <r>
    <n v="3835"/>
    <x v="47"/>
    <s v="Day"/>
    <x v="0"/>
    <n v="2000719492"/>
    <n v="320"/>
    <n v="5"/>
    <n v="0"/>
    <s v="U32991"/>
    <s v="L1151/52"/>
    <x v="154"/>
    <m/>
    <m/>
    <m/>
    <n v="0"/>
    <m/>
    <m/>
  </r>
  <r>
    <n v="3836"/>
    <x v="47"/>
    <s v="Day"/>
    <x v="0"/>
    <n v="2000719971"/>
    <n v="650"/>
    <n v="80"/>
    <n v="0"/>
    <s v="U36206"/>
    <s v="L1144/47"/>
    <x v="5"/>
    <m/>
    <m/>
    <m/>
    <n v="0"/>
    <m/>
    <m/>
  </r>
  <r>
    <n v="3837"/>
    <x v="47"/>
    <s v="Day"/>
    <x v="0"/>
    <n v="2000719311"/>
    <n v="3700"/>
    <n v="30"/>
    <n v="0"/>
    <s v="U36206"/>
    <s v="L1174/75"/>
    <x v="3"/>
    <m/>
    <m/>
    <m/>
    <n v="0"/>
    <m/>
    <m/>
  </r>
  <r>
    <n v="3838"/>
    <x v="47"/>
    <s v="Day"/>
    <x v="0"/>
    <n v="2000718795"/>
    <n v="1000"/>
    <n v="80"/>
    <n v="0"/>
    <s v="U36206"/>
    <s v="L1077"/>
    <x v="2"/>
    <m/>
    <m/>
    <m/>
    <n v="0"/>
    <m/>
    <m/>
  </r>
  <r>
    <n v="3839"/>
    <x v="47"/>
    <s v="Day"/>
    <x v="0"/>
    <n v="2000719548"/>
    <n v="2500"/>
    <n v="140"/>
    <n v="0"/>
    <s v="U36206"/>
    <s v="L1174/75"/>
    <x v="3"/>
    <m/>
    <m/>
    <m/>
    <n v="0"/>
    <m/>
    <m/>
  </r>
  <r>
    <n v="3840"/>
    <x v="47"/>
    <s v="Day"/>
    <x v="0"/>
    <n v="2000715875"/>
    <n v="540"/>
    <n v="80"/>
    <n v="0"/>
    <s v="U36206"/>
    <s v="L1182"/>
    <x v="189"/>
    <m/>
    <m/>
    <m/>
    <n v="0"/>
    <m/>
    <m/>
  </r>
  <r>
    <n v="3841"/>
    <x v="47"/>
    <s v="Day"/>
    <x v="0"/>
    <n v="2000719581"/>
    <n v="720"/>
    <n v="50"/>
    <n v="0"/>
    <s v="U36206"/>
    <s v="L1144/47"/>
    <x v="56"/>
    <m/>
    <m/>
    <m/>
    <n v="0"/>
    <m/>
    <m/>
  </r>
  <r>
    <n v="3842"/>
    <x v="47"/>
    <s v="Day"/>
    <x v="0"/>
    <n v="2000719716"/>
    <n v="1970"/>
    <n v="273"/>
    <n v="0"/>
    <s v="U27723"/>
    <s v="L1188/89"/>
    <x v="16"/>
    <m/>
    <m/>
    <m/>
    <n v="0"/>
    <m/>
    <m/>
  </r>
  <r>
    <n v="3843"/>
    <x v="47"/>
    <s v="Day"/>
    <x v="0"/>
    <n v="2000720020"/>
    <n v="680"/>
    <n v="505"/>
    <n v="0"/>
    <s v="U27723"/>
    <s v="L1188/89"/>
    <x v="98"/>
    <m/>
    <m/>
    <m/>
    <n v="0"/>
    <m/>
    <m/>
  </r>
  <r>
    <n v="3844"/>
    <x v="47"/>
    <s v="Day"/>
    <x v="0"/>
    <n v="2000719716"/>
    <n v="1970"/>
    <n v="80"/>
    <n v="0"/>
    <s v="U27687"/>
    <s v="L1188/89"/>
    <x v="16"/>
    <m/>
    <m/>
    <m/>
    <n v="0"/>
    <m/>
    <m/>
  </r>
  <r>
    <n v="3845"/>
    <x v="47"/>
    <s v="Day"/>
    <x v="0"/>
    <n v="2000719287"/>
    <n v="800"/>
    <n v="480"/>
    <n v="0"/>
    <s v="U27687"/>
    <s v="L1188/89"/>
    <x v="17"/>
    <m/>
    <m/>
    <m/>
    <n v="0"/>
    <m/>
    <m/>
  </r>
  <r>
    <n v="3846"/>
    <x v="47"/>
    <s v="Day"/>
    <x v="0"/>
    <n v="2000719581"/>
    <n v="720"/>
    <n v="30"/>
    <n v="0"/>
    <s v="U27687"/>
    <s v="L1144/47"/>
    <x v="56"/>
    <m/>
    <m/>
    <m/>
    <n v="0"/>
    <m/>
    <m/>
  </r>
  <r>
    <n v="3847"/>
    <x v="47"/>
    <s v="Day"/>
    <x v="0"/>
    <n v="2000719271"/>
    <n v="1300"/>
    <n v="45"/>
    <n v="0"/>
    <s v="U18660"/>
    <s v="L1209/10"/>
    <x v="68"/>
    <m/>
    <m/>
    <m/>
    <n v="0"/>
    <m/>
    <m/>
  </r>
  <r>
    <n v="3848"/>
    <x v="47"/>
    <s v="Day"/>
    <x v="0"/>
    <n v="2000719668"/>
    <n v="1920"/>
    <n v="60"/>
    <n v="0"/>
    <s v="U18660"/>
    <s v="L1172/73"/>
    <x v="99"/>
    <m/>
    <m/>
    <m/>
    <n v="0"/>
    <m/>
    <m/>
  </r>
  <r>
    <n v="3849"/>
    <x v="47"/>
    <s v="Day"/>
    <x v="0"/>
    <n v="2000719537"/>
    <n v="900"/>
    <n v="80"/>
    <n v="0"/>
    <s v="U18660"/>
    <s v="L1172/73"/>
    <x v="19"/>
    <m/>
    <m/>
    <m/>
    <n v="0"/>
    <m/>
    <m/>
  </r>
  <r>
    <n v="3850"/>
    <x v="47"/>
    <s v="Day"/>
    <x v="0"/>
    <n v="2000719267"/>
    <n v="2001"/>
    <n v="120"/>
    <n v="0"/>
    <s v="U18660"/>
    <s v="L1168/69"/>
    <x v="37"/>
    <m/>
    <m/>
    <m/>
    <n v="0"/>
    <m/>
    <m/>
  </r>
  <r>
    <n v="3851"/>
    <x v="47"/>
    <s v="Day"/>
    <x v="0"/>
    <n v="2000719550"/>
    <n v="1000"/>
    <n v="270"/>
    <n v="0"/>
    <s v="U18660"/>
    <s v="L1193/94"/>
    <x v="104"/>
    <m/>
    <m/>
    <m/>
    <n v="0"/>
    <m/>
    <m/>
  </r>
  <r>
    <n v="3852"/>
    <x v="47"/>
    <s v="Day"/>
    <x v="0"/>
    <n v="2000719271"/>
    <n v="1300"/>
    <n v="270"/>
    <n v="0"/>
    <s v="U29686"/>
    <s v="L1209/10"/>
    <x v="68"/>
    <m/>
    <m/>
    <m/>
    <n v="0"/>
    <m/>
    <m/>
  </r>
  <r>
    <n v="3853"/>
    <x v="47"/>
    <s v="Day"/>
    <x v="0"/>
    <n v="2000719663"/>
    <n v="2000"/>
    <n v="450"/>
    <n v="0"/>
    <s v="U29686"/>
    <s v="L1188/89"/>
    <x v="109"/>
    <m/>
    <m/>
    <m/>
    <n v="0"/>
    <m/>
    <m/>
  </r>
  <r>
    <n v="3854"/>
    <x v="47"/>
    <s v="Day"/>
    <x v="1"/>
    <n v="2000718984"/>
    <n v="620"/>
    <n v="240"/>
    <n v="0"/>
    <s v="U15759"/>
    <s v="FLORA"/>
    <x v="180"/>
    <m/>
    <m/>
    <m/>
    <n v="0"/>
    <m/>
    <m/>
  </r>
  <r>
    <n v="3855"/>
    <x v="47"/>
    <s v="Day"/>
    <x v="1"/>
    <n v="2000719769"/>
    <n v="450"/>
    <n v="70"/>
    <n v="0"/>
    <s v="U15759"/>
    <s v="SHANKS"/>
    <x v="24"/>
    <m/>
    <m/>
    <m/>
    <n v="0"/>
    <m/>
    <m/>
  </r>
  <r>
    <n v="3856"/>
    <x v="47"/>
    <s v="Day"/>
    <x v="1"/>
    <n v="2000719770"/>
    <n v="450"/>
    <n v="140"/>
    <n v="0"/>
    <s v="U15759"/>
    <s v="SHANKS"/>
    <x v="24"/>
    <m/>
    <m/>
    <m/>
    <n v="0"/>
    <m/>
    <m/>
  </r>
  <r>
    <n v="3857"/>
    <x v="47"/>
    <s v="Day"/>
    <x v="1"/>
    <n v="2000719229"/>
    <n v="310"/>
    <n v="10"/>
    <n v="0"/>
    <s v="U15759"/>
    <s v="FLORA"/>
    <x v="180"/>
    <m/>
    <m/>
    <m/>
    <n v="0"/>
    <m/>
    <m/>
  </r>
  <r>
    <n v="3858"/>
    <x v="47"/>
    <s v="Day"/>
    <x v="1"/>
    <n v="2000719527"/>
    <n v="380"/>
    <n v="99"/>
    <n v="0"/>
    <s v="U15759"/>
    <s v="PSHV"/>
    <x v="50"/>
    <m/>
    <m/>
    <m/>
    <n v="0"/>
    <m/>
    <m/>
  </r>
  <r>
    <n v="3859"/>
    <x v="47"/>
    <s v="Day"/>
    <x v="1"/>
    <n v="2000719235"/>
    <n v="600"/>
    <n v="30"/>
    <n v="0"/>
    <s v="U15759"/>
    <s v="SHANKS"/>
    <x v="22"/>
    <m/>
    <m/>
    <m/>
    <n v="0"/>
    <m/>
    <m/>
  </r>
  <r>
    <n v="3860"/>
    <x v="47"/>
    <s v="Day"/>
    <x v="1"/>
    <n v="2000719828"/>
    <n v="796"/>
    <n v="150"/>
    <n v="0"/>
    <s v="U15759"/>
    <s v="SHANKS"/>
    <x v="22"/>
    <m/>
    <m/>
    <m/>
    <n v="0"/>
    <m/>
    <m/>
  </r>
  <r>
    <n v="3861"/>
    <x v="47"/>
    <s v="Day"/>
    <x v="1"/>
    <n v="2000718986"/>
    <n v="620"/>
    <n v="620"/>
    <n v="0"/>
    <s v="U15759"/>
    <s v="PSHV"/>
    <x v="29"/>
    <m/>
    <m/>
    <m/>
    <n v="0"/>
    <m/>
    <m/>
  </r>
  <r>
    <n v="3862"/>
    <x v="47"/>
    <s v="Day"/>
    <x v="1"/>
    <n v="2000719533"/>
    <n v="500"/>
    <n v="60"/>
    <n v="0"/>
    <s v="U15759"/>
    <s v="SHIBUKI"/>
    <x v="113"/>
    <m/>
    <m/>
    <m/>
    <n v="0"/>
    <m/>
    <m/>
  </r>
  <r>
    <n v="3863"/>
    <x v="47"/>
    <s v="Night"/>
    <x v="0"/>
    <n v="2000719287"/>
    <n v="800"/>
    <n v="40"/>
    <n v="0"/>
    <s v="U36008"/>
    <s v="L1188/89"/>
    <x v="17"/>
    <m/>
    <m/>
    <m/>
    <n v="0"/>
    <m/>
    <m/>
  </r>
  <r>
    <n v="3864"/>
    <x v="47"/>
    <s v="Night"/>
    <x v="0"/>
    <n v="2000720021"/>
    <n v="320"/>
    <n v="80"/>
    <n v="0"/>
    <s v="U36008"/>
    <s v="L1188/89"/>
    <x v="16"/>
    <m/>
    <m/>
    <m/>
    <n v="0"/>
    <m/>
    <m/>
  </r>
  <r>
    <n v="3865"/>
    <x v="47"/>
    <s v="Night"/>
    <x v="0"/>
    <n v="2000718328"/>
    <n v="1240"/>
    <n v="80"/>
    <n v="0"/>
    <s v="U36008"/>
    <s v="L1188/89"/>
    <x v="0"/>
    <m/>
    <m/>
    <m/>
    <n v="0"/>
    <m/>
    <m/>
  </r>
  <r>
    <n v="3866"/>
    <x v="47"/>
    <s v="Night"/>
    <x v="0"/>
    <n v="2000717861"/>
    <n v="760"/>
    <n v="40"/>
    <n v="0"/>
    <s v="U36008"/>
    <s v="L1188/89"/>
    <x v="0"/>
    <m/>
    <m/>
    <m/>
    <n v="0"/>
    <m/>
    <m/>
  </r>
  <r>
    <n v="3867"/>
    <x v="47"/>
    <s v="Night"/>
    <x v="0"/>
    <n v="2000720384"/>
    <n v="1840"/>
    <n v="280"/>
    <n v="0"/>
    <s v="U36008"/>
    <s v="L1188/89"/>
    <x v="0"/>
    <m/>
    <m/>
    <m/>
    <n v="0"/>
    <m/>
    <m/>
  </r>
  <r>
    <n v="3868"/>
    <x v="47"/>
    <s v="Night"/>
    <x v="0"/>
    <n v="2000719600"/>
    <n v="120"/>
    <n v="60"/>
    <n v="0"/>
    <s v="U31065"/>
    <s v="L1151/52"/>
    <x v="154"/>
    <m/>
    <m/>
    <m/>
    <n v="0"/>
    <m/>
    <m/>
  </r>
  <r>
    <n v="3869"/>
    <x v="47"/>
    <s v="Night"/>
    <x v="0"/>
    <n v="2000719550"/>
    <n v="1000"/>
    <n v="180"/>
    <n v="0"/>
    <s v="U31065"/>
    <s v="L1193/94"/>
    <x v="104"/>
    <m/>
    <m/>
    <m/>
    <n v="0"/>
    <m/>
    <m/>
  </r>
  <r>
    <n v="3870"/>
    <x v="47"/>
    <s v="Night"/>
    <x v="0"/>
    <n v="2000720384"/>
    <n v="1840"/>
    <n v="40"/>
    <n v="0"/>
    <s v="U31065"/>
    <s v="L1188/89"/>
    <x v="0"/>
    <m/>
    <m/>
    <m/>
    <n v="0"/>
    <m/>
    <m/>
  </r>
  <r>
    <n v="3871"/>
    <x v="47"/>
    <s v="Night"/>
    <x v="0"/>
    <n v="2000719663"/>
    <n v="2000"/>
    <n v="180"/>
    <n v="0"/>
    <s v="U31065"/>
    <s v="L1188/89"/>
    <x v="109"/>
    <m/>
    <m/>
    <m/>
    <n v="0"/>
    <m/>
    <m/>
  </r>
  <r>
    <n v="3872"/>
    <x v="47"/>
    <s v="Night"/>
    <x v="0"/>
    <n v="2000719581"/>
    <n v="720"/>
    <n v="50"/>
    <n v="0"/>
    <s v="U30425"/>
    <s v="L1144/47"/>
    <x v="56"/>
    <m/>
    <m/>
    <m/>
    <n v="0"/>
    <m/>
    <m/>
  </r>
  <r>
    <n v="3873"/>
    <x v="47"/>
    <s v="Night"/>
    <x v="0"/>
    <n v="2000719668"/>
    <n v="1920"/>
    <n v="60"/>
    <n v="0"/>
    <s v="U30425"/>
    <s v="L1172/73"/>
    <x v="99"/>
    <m/>
    <m/>
    <m/>
    <n v="0"/>
    <m/>
    <m/>
  </r>
  <r>
    <n v="3874"/>
    <x v="47"/>
    <s v="Night"/>
    <x v="0"/>
    <n v="2000719594"/>
    <n v="1240"/>
    <n v="120"/>
    <n v="0"/>
    <s v="U30425"/>
    <s v="L1182"/>
    <x v="189"/>
    <m/>
    <m/>
    <m/>
    <n v="0"/>
    <m/>
    <m/>
  </r>
  <r>
    <n v="3875"/>
    <x v="47"/>
    <s v="Night"/>
    <x v="0"/>
    <n v="2000719671"/>
    <n v="3999"/>
    <n v="120"/>
    <n v="0"/>
    <s v="U30425"/>
    <s v="L1168/69"/>
    <x v="37"/>
    <m/>
    <m/>
    <m/>
    <n v="0"/>
    <m/>
    <m/>
  </r>
  <r>
    <n v="3876"/>
    <x v="47"/>
    <s v="Night"/>
    <x v="0"/>
    <n v="2000719607"/>
    <n v="2720"/>
    <n v="120"/>
    <n v="0"/>
    <s v="U30425"/>
    <s v="L1128/29"/>
    <x v="11"/>
    <m/>
    <m/>
    <m/>
    <n v="0"/>
    <m/>
    <m/>
  </r>
  <r>
    <n v="3877"/>
    <x v="47"/>
    <s v="Night"/>
    <x v="0"/>
    <n v="2000719986"/>
    <n v="1300"/>
    <n v="90"/>
    <n v="0"/>
    <s v="U30425"/>
    <s v="L1172/73"/>
    <x v="18"/>
    <m/>
    <m/>
    <m/>
    <n v="0"/>
    <m/>
    <m/>
  </r>
  <r>
    <n v="3878"/>
    <x v="47"/>
    <s v="Night"/>
    <x v="0"/>
    <n v="2000719580"/>
    <n v="830"/>
    <n v="80"/>
    <n v="0"/>
    <s v="U30425"/>
    <s v="L1144/47"/>
    <x v="101"/>
    <m/>
    <m/>
    <m/>
    <n v="0"/>
    <m/>
    <m/>
  </r>
  <r>
    <n v="3879"/>
    <x v="47"/>
    <s v="Night"/>
    <x v="0"/>
    <n v="2000719287"/>
    <n v="800"/>
    <n v="278"/>
    <n v="0"/>
    <s v="U27724"/>
    <s v="L1188/89"/>
    <x v="17"/>
    <m/>
    <m/>
    <m/>
    <n v="0"/>
    <m/>
    <m/>
  </r>
  <r>
    <n v="3880"/>
    <x v="47"/>
    <s v="Night"/>
    <x v="0"/>
    <n v="2000719702"/>
    <n v="720"/>
    <n v="2"/>
    <n v="0"/>
    <s v="U27724"/>
    <s v="L1188/89"/>
    <x v="168"/>
    <m/>
    <m/>
    <m/>
    <n v="0"/>
    <m/>
    <m/>
  </r>
  <r>
    <n v="3881"/>
    <x v="47"/>
    <s v="Night"/>
    <x v="0"/>
    <n v="2000718748"/>
    <n v="560"/>
    <n v="6"/>
    <n v="0"/>
    <s v="U27724"/>
    <s v="L1188/89"/>
    <x v="168"/>
    <m/>
    <m/>
    <m/>
    <n v="0"/>
    <m/>
    <m/>
  </r>
  <r>
    <n v="3882"/>
    <x v="47"/>
    <s v="Night"/>
    <x v="0"/>
    <n v="2000720385"/>
    <n v="720"/>
    <n v="480"/>
    <n v="0"/>
    <s v="U27724"/>
    <s v="L1188/89"/>
    <x v="168"/>
    <m/>
    <m/>
    <m/>
    <n v="0"/>
    <m/>
    <m/>
  </r>
  <r>
    <n v="3883"/>
    <x v="47"/>
    <s v="Night"/>
    <x v="0"/>
    <n v="2000720021"/>
    <n v="320"/>
    <n v="160"/>
    <n v="1"/>
    <s v="U05944"/>
    <s v="L1188/89"/>
    <x v="16"/>
    <s v="Bi thiếc "/>
    <m/>
    <s v="J920"/>
    <n v="1"/>
    <s v="\\vn-file\QC Department\4.OQC\00. OQC Performance\03. Images\01. NG\20210320-NG-2150720021.jpg"/>
    <s v="\\vn-file\QC Department\4.OQC\00. OQC Performance\03. Images\02. OK\20210320-OK-2150720021.jpg"/>
  </r>
  <r>
    <n v="3884"/>
    <x v="47"/>
    <s v="Night"/>
    <x v="0"/>
    <n v="2000718328"/>
    <n v="1240"/>
    <n v="40"/>
    <n v="0"/>
    <s v="U05944"/>
    <s v="L1188/89"/>
    <x v="0"/>
    <m/>
    <m/>
    <m/>
    <n v="0"/>
    <m/>
    <m/>
  </r>
  <r>
    <n v="3885"/>
    <x v="47"/>
    <s v="Night"/>
    <x v="0"/>
    <n v="2000717861"/>
    <n v="760"/>
    <n v="80"/>
    <n v="0"/>
    <s v="U05944"/>
    <s v="L1188/89"/>
    <x v="0"/>
    <m/>
    <m/>
    <m/>
    <n v="0"/>
    <m/>
    <m/>
  </r>
  <r>
    <n v="3886"/>
    <x v="47"/>
    <s v="Night"/>
    <x v="0"/>
    <n v="2000720384"/>
    <n v="1840"/>
    <n v="400"/>
    <n v="0"/>
    <s v="U05944"/>
    <s v="L1188/89"/>
    <x v="0"/>
    <m/>
    <m/>
    <m/>
    <n v="0"/>
    <m/>
    <m/>
  </r>
  <r>
    <n v="3887"/>
    <x v="47"/>
    <s v="Night"/>
    <x v="0"/>
    <n v="2000719663"/>
    <n v="2000"/>
    <n v="900"/>
    <n v="0"/>
    <s v="U23987"/>
    <s v="L1188/89"/>
    <x v="109"/>
    <m/>
    <m/>
    <m/>
    <n v="0"/>
    <m/>
    <m/>
  </r>
  <r>
    <n v="3888"/>
    <x v="47"/>
    <s v="Night"/>
    <x v="0"/>
    <n v="2000715877"/>
    <n v="540"/>
    <n v="200"/>
    <n v="0"/>
    <s v="U26613"/>
    <s v="L1182"/>
    <x v="142"/>
    <m/>
    <m/>
    <m/>
    <n v="0"/>
    <m/>
    <m/>
  </r>
  <r>
    <n v="3889"/>
    <x v="47"/>
    <s v="Night"/>
    <x v="0"/>
    <n v="2000719353"/>
    <n v="600"/>
    <n v="300"/>
    <n v="0"/>
    <s v="U26613"/>
    <s v="L1172/73"/>
    <x v="175"/>
    <m/>
    <m/>
    <m/>
    <n v="0"/>
    <m/>
    <m/>
  </r>
  <r>
    <n v="3890"/>
    <x v="47"/>
    <s v="Night"/>
    <x v="0"/>
    <n v="2000715878"/>
    <n v="540"/>
    <n v="150"/>
    <n v="0"/>
    <s v="U26613"/>
    <s v="L1182"/>
    <x v="143"/>
    <m/>
    <m/>
    <m/>
    <n v="0"/>
    <m/>
    <m/>
  </r>
  <r>
    <n v="3891"/>
    <x v="47"/>
    <s v="Night"/>
    <x v="0"/>
    <n v="2000715876"/>
    <n v="540"/>
    <n v="200"/>
    <n v="0"/>
    <s v="U26613"/>
    <s v="L1182"/>
    <x v="144"/>
    <m/>
    <m/>
    <m/>
    <n v="0"/>
    <m/>
    <m/>
  </r>
  <r>
    <n v="3892"/>
    <x v="47"/>
    <s v="Night"/>
    <x v="0"/>
    <n v="2000644659"/>
    <n v="60"/>
    <n v="60"/>
    <n v="0"/>
    <s v="U26613"/>
    <s v="L1182"/>
    <x v="142"/>
    <m/>
    <m/>
    <m/>
    <n v="0"/>
    <m/>
    <m/>
  </r>
  <r>
    <n v="3893"/>
    <x v="47"/>
    <s v="Night"/>
    <x v="0"/>
    <n v="2000718470"/>
    <n v="1600"/>
    <n v="200"/>
    <n v="0"/>
    <s v="U26613"/>
    <s v="L1077"/>
    <x v="33"/>
    <m/>
    <m/>
    <m/>
    <n v="0"/>
    <m/>
    <m/>
  </r>
  <r>
    <n v="3894"/>
    <x v="47"/>
    <s v="Night"/>
    <x v="0"/>
    <n v="2000718821"/>
    <n v="1480"/>
    <n v="240"/>
    <n v="0"/>
    <s v="U26613"/>
    <s v="L1193/94"/>
    <x v="30"/>
    <m/>
    <m/>
    <m/>
    <n v="0"/>
    <m/>
    <m/>
  </r>
  <r>
    <n v="3895"/>
    <x v="47"/>
    <s v="Night"/>
    <x v="0"/>
    <n v="2000720183"/>
    <n v="7890"/>
    <n v="300"/>
    <n v="0"/>
    <s v="U26613"/>
    <s v="L1112/13"/>
    <x v="75"/>
    <m/>
    <m/>
    <m/>
    <n v="0"/>
    <m/>
    <m/>
  </r>
  <r>
    <n v="3896"/>
    <x v="47"/>
    <s v="Night"/>
    <x v="0"/>
    <n v="2000718824"/>
    <n v="1140"/>
    <n v="100"/>
    <n v="0"/>
    <s v="U26613"/>
    <s v="L1151/52"/>
    <x v="85"/>
    <m/>
    <m/>
    <m/>
    <n v="0"/>
    <m/>
    <m/>
  </r>
  <r>
    <n v="3897"/>
    <x v="47"/>
    <s v="Night"/>
    <x v="0"/>
    <n v="2000720021"/>
    <n v="320"/>
    <n v="79"/>
    <n v="0"/>
    <s v="U09854"/>
    <s v="L1188/89"/>
    <x v="16"/>
    <m/>
    <m/>
    <m/>
    <n v="0"/>
    <m/>
    <m/>
  </r>
  <r>
    <n v="3898"/>
    <x v="47"/>
    <s v="Night"/>
    <x v="0"/>
    <n v="2000719550"/>
    <n v="1000"/>
    <n v="537"/>
    <n v="1"/>
    <s v="U09854"/>
    <s v="L1193/94"/>
    <x v="104"/>
    <s v="Bong, vỡ linh kiện"/>
    <m/>
    <s v="TH201"/>
    <n v="1"/>
    <s v="\\vn-file\QC Department\4.OQC\00. OQC Performance\03. Images\01. NG\20210320-NG-2137719550.jpg"/>
    <s v="\\vn-file\QC Department\4.OQC\00. OQC Performance\03. Images\02. OK\20210320-OK-2137719550.jpg"/>
  </r>
  <r>
    <n v="3899"/>
    <x v="47"/>
    <s v="Night"/>
    <x v="0"/>
    <n v="2000720384"/>
    <n v="1840"/>
    <n v="80"/>
    <n v="0"/>
    <s v="U09854"/>
    <s v="L1188/89"/>
    <x v="0"/>
    <m/>
    <m/>
    <m/>
    <n v="0"/>
    <m/>
    <m/>
  </r>
  <r>
    <n v="3900"/>
    <x v="47"/>
    <s v="Night"/>
    <x v="1"/>
    <n v="2000719229"/>
    <n v="310"/>
    <n v="250"/>
    <n v="0"/>
    <s v="U30119"/>
    <s v="FLORA"/>
    <x v="180"/>
    <m/>
    <m/>
    <m/>
    <n v="0"/>
    <m/>
    <m/>
  </r>
  <r>
    <n v="3901"/>
    <x v="47"/>
    <s v="Night"/>
    <x v="1"/>
    <n v="2000719829"/>
    <n v="960"/>
    <n v="192"/>
    <n v="0"/>
    <s v="U30119"/>
    <s v="FRANKY"/>
    <x v="51"/>
    <m/>
    <m/>
    <m/>
    <n v="0"/>
    <m/>
    <m/>
  </r>
  <r>
    <n v="3902"/>
    <x v="47"/>
    <s v="Night"/>
    <x v="1"/>
    <n v="2000719527"/>
    <n v="380"/>
    <n v="40"/>
    <n v="0"/>
    <s v="U30119"/>
    <s v="PSHV"/>
    <x v="50"/>
    <m/>
    <m/>
    <m/>
    <n v="0"/>
    <m/>
    <m/>
  </r>
  <r>
    <n v="3903"/>
    <x v="47"/>
    <s v="Night"/>
    <x v="1"/>
    <n v="2000719530"/>
    <n v="945"/>
    <n v="100"/>
    <n v="0"/>
    <s v="U30119"/>
    <s v="PSHV"/>
    <x v="223"/>
    <m/>
    <m/>
    <m/>
    <n v="0"/>
    <m/>
    <m/>
  </r>
  <r>
    <n v="3904"/>
    <x v="47"/>
    <s v="Night"/>
    <x v="1"/>
    <n v="2000719533"/>
    <n v="500"/>
    <n v="165"/>
    <n v="0"/>
    <s v="U30119"/>
    <s v="SHIBUKI"/>
    <x v="113"/>
    <m/>
    <m/>
    <m/>
    <n v="0"/>
    <m/>
    <m/>
  </r>
  <r>
    <n v="3905"/>
    <x v="47"/>
    <s v="Night"/>
    <x v="1"/>
    <n v="2000720112"/>
    <n v="80"/>
    <n v="40"/>
    <n v="0"/>
    <s v="U30119"/>
    <s v="PSLV"/>
    <x v="23"/>
    <m/>
    <m/>
    <m/>
    <n v="0"/>
    <m/>
    <m/>
  </r>
  <r>
    <n v="3906"/>
    <x v="48"/>
    <s v="Night"/>
    <x v="0"/>
    <n v="2000718464"/>
    <n v="2000"/>
    <n v="199"/>
    <n v="0"/>
    <s v="U15759"/>
    <s v="L1209/10"/>
    <x v="68"/>
    <m/>
    <m/>
    <m/>
    <n v="0"/>
    <m/>
    <m/>
  </r>
  <r>
    <n v="3907"/>
    <x v="48"/>
    <s v="Night"/>
    <x v="0"/>
    <n v="2000716481"/>
    <n v="700"/>
    <n v="6"/>
    <n v="0"/>
    <s v="U15759"/>
    <s v="L1209/10"/>
    <x v="68"/>
    <m/>
    <m/>
    <m/>
    <n v="0"/>
    <m/>
    <m/>
  </r>
  <r>
    <n v="3908"/>
    <x v="48"/>
    <s v="Night"/>
    <x v="0"/>
    <n v="2000719271"/>
    <n v="1300"/>
    <n v="323"/>
    <n v="0"/>
    <s v="U15759"/>
    <s v="L1209/10"/>
    <x v="68"/>
    <m/>
    <m/>
    <m/>
    <n v="0"/>
    <m/>
    <m/>
  </r>
  <r>
    <n v="3909"/>
    <x v="48"/>
    <s v="Night"/>
    <x v="0"/>
    <n v="2000718831"/>
    <n v="910"/>
    <n v="45"/>
    <n v="0"/>
    <s v="U15759"/>
    <s v="L1209/10"/>
    <x v="196"/>
    <m/>
    <m/>
    <m/>
    <n v="0"/>
    <m/>
    <m/>
  </r>
  <r>
    <n v="3910"/>
    <x v="48"/>
    <s v="Night"/>
    <x v="0"/>
    <n v="2000719660"/>
    <n v="990"/>
    <n v="45"/>
    <n v="0"/>
    <s v="U15759"/>
    <s v="L1209/10"/>
    <x v="44"/>
    <m/>
    <m/>
    <m/>
    <n v="0"/>
    <m/>
    <m/>
  </r>
  <r>
    <n v="3911"/>
    <x v="48"/>
    <s v="Night"/>
    <x v="0"/>
    <n v="2000718464"/>
    <n v="2000"/>
    <n v="225"/>
    <n v="0"/>
    <s v="U18660"/>
    <s v="L1209/10"/>
    <x v="68"/>
    <m/>
    <m/>
    <m/>
    <n v="0"/>
    <m/>
    <m/>
  </r>
  <r>
    <n v="3912"/>
    <x v="48"/>
    <s v="Night"/>
    <x v="0"/>
    <n v="2000719660"/>
    <n v="990"/>
    <n v="90"/>
    <n v="0"/>
    <s v="U18660"/>
    <s v="L1209/10"/>
    <x v="44"/>
    <m/>
    <m/>
    <m/>
    <n v="0"/>
    <m/>
    <m/>
  </r>
  <r>
    <n v="3913"/>
    <x v="48"/>
    <s v="Night"/>
    <x v="0"/>
    <n v="2000719606"/>
    <n v="3824"/>
    <n v="240"/>
    <n v="0"/>
    <s v="U18660"/>
    <s v="L1112/13"/>
    <x v="8"/>
    <m/>
    <m/>
    <m/>
    <n v="0"/>
    <m/>
    <m/>
  </r>
  <r>
    <n v="3914"/>
    <x v="48"/>
    <s v="Night"/>
    <x v="0"/>
    <n v="2000719301"/>
    <n v="1050"/>
    <n v="80"/>
    <n v="0"/>
    <s v="U18660"/>
    <s v="L1077"/>
    <x v="2"/>
    <m/>
    <m/>
    <m/>
    <n v="0"/>
    <m/>
    <m/>
  </r>
  <r>
    <n v="3915"/>
    <x v="48"/>
    <s v="Night"/>
    <x v="0"/>
    <n v="2000719589"/>
    <n v="800"/>
    <n v="80"/>
    <n v="0"/>
    <s v="U18660"/>
    <s v="L1144/47"/>
    <x v="117"/>
    <m/>
    <m/>
    <m/>
    <n v="0"/>
    <m/>
    <m/>
  </r>
  <r>
    <n v="3916"/>
    <x v="48"/>
    <s v="Night"/>
    <x v="0"/>
    <n v="2000712038"/>
    <n v="1840"/>
    <n v="80"/>
    <n v="0"/>
    <s v="U05944"/>
    <s v="L1188/89"/>
    <x v="0"/>
    <m/>
    <m/>
    <m/>
    <n v="0"/>
    <m/>
    <m/>
  </r>
  <r>
    <n v="3917"/>
    <x v="48"/>
    <s v="Night"/>
    <x v="0"/>
    <n v="2000719596"/>
    <n v="1240"/>
    <n v="250"/>
    <n v="0"/>
    <s v="U05944"/>
    <s v="L1182"/>
    <x v="142"/>
    <m/>
    <m/>
    <m/>
    <n v="0"/>
    <m/>
    <m/>
  </r>
  <r>
    <n v="3918"/>
    <x v="48"/>
    <s v="Night"/>
    <x v="0"/>
    <n v="2000719595"/>
    <n v="1240"/>
    <n v="300"/>
    <n v="0"/>
    <s v="U05944"/>
    <s v="L1182"/>
    <x v="144"/>
    <m/>
    <m/>
    <m/>
    <n v="0"/>
    <m/>
    <m/>
  </r>
  <r>
    <n v="3919"/>
    <x v="48"/>
    <s v="Night"/>
    <x v="0"/>
    <n v="2000719597"/>
    <n v="1240"/>
    <n v="300"/>
    <n v="0"/>
    <s v="U05944"/>
    <s v="L1182"/>
    <x v="143"/>
    <m/>
    <m/>
    <m/>
    <n v="0"/>
    <m/>
    <m/>
  </r>
  <r>
    <n v="3920"/>
    <x v="48"/>
    <s v="Night"/>
    <x v="0"/>
    <n v="2000718831"/>
    <n v="910"/>
    <n v="90"/>
    <n v="0"/>
    <s v="U05944"/>
    <s v="L1209/10"/>
    <x v="196"/>
    <m/>
    <m/>
    <m/>
    <n v="0"/>
    <m/>
    <m/>
  </r>
  <r>
    <n v="3921"/>
    <x v="48"/>
    <s v="Night"/>
    <x v="0"/>
    <n v="2000719660"/>
    <n v="990"/>
    <n v="90"/>
    <n v="0"/>
    <s v="U05944"/>
    <s v="L1209/10"/>
    <x v="44"/>
    <m/>
    <m/>
    <m/>
    <n v="0"/>
    <m/>
    <m/>
  </r>
  <r>
    <n v="3922"/>
    <x v="49"/>
    <s v="Day"/>
    <x v="1"/>
    <n v="2000720112"/>
    <n v="80"/>
    <n v="40"/>
    <n v="0"/>
    <s v="U31065"/>
    <s v="PSLV"/>
    <x v="255"/>
    <m/>
    <m/>
    <m/>
    <n v="0"/>
    <m/>
    <m/>
  </r>
  <r>
    <n v="3923"/>
    <x v="49"/>
    <s v="Day"/>
    <x v="1"/>
    <n v="2000720210"/>
    <n v="350"/>
    <n v="180"/>
    <n v="0"/>
    <s v="U31065"/>
    <s v="PSLV"/>
    <x v="255"/>
    <m/>
    <m/>
    <m/>
    <n v="0"/>
    <m/>
    <m/>
  </r>
  <r>
    <n v="3924"/>
    <x v="49"/>
    <s v="Day"/>
    <x v="1"/>
    <n v="2000719837"/>
    <n v="450"/>
    <n v="70"/>
    <n v="0"/>
    <s v="U31065"/>
    <s v="SHANKS"/>
    <x v="24"/>
    <m/>
    <m/>
    <m/>
    <n v="0"/>
    <m/>
    <m/>
  </r>
  <r>
    <n v="3925"/>
    <x v="49"/>
    <s v="Day"/>
    <x v="1"/>
    <n v="2000719838"/>
    <n v="450"/>
    <n v="105"/>
    <n v="0"/>
    <s v="U31065"/>
    <s v="SHANKS"/>
    <x v="24"/>
    <m/>
    <m/>
    <m/>
    <n v="0"/>
    <m/>
    <m/>
  </r>
  <r>
    <n v="3926"/>
    <x v="49"/>
    <s v="Day"/>
    <x v="1"/>
    <n v="2000720157"/>
    <n v="500"/>
    <n v="70"/>
    <n v="0"/>
    <s v="U31065"/>
    <s v="PSLV"/>
    <x v="255"/>
    <m/>
    <m/>
    <m/>
    <n v="0"/>
    <m/>
    <m/>
  </r>
  <r>
    <n v="3927"/>
    <x v="49"/>
    <s v="Day"/>
    <x v="1"/>
    <n v="2000719533"/>
    <n v="500"/>
    <n v="275"/>
    <n v="0"/>
    <s v="U31065"/>
    <s v="SHIBUKI"/>
    <x v="113"/>
    <m/>
    <m/>
    <m/>
    <n v="0"/>
    <m/>
    <m/>
  </r>
  <r>
    <n v="3928"/>
    <x v="49"/>
    <s v="Day"/>
    <x v="1"/>
    <n v="2000719229"/>
    <n v="310"/>
    <n v="40"/>
    <n v="0"/>
    <s v="U31065"/>
    <s v="FLORA"/>
    <x v="180"/>
    <m/>
    <m/>
    <m/>
    <n v="0"/>
    <m/>
    <m/>
  </r>
  <r>
    <n v="3929"/>
    <x v="49"/>
    <s v="Day"/>
    <x v="0"/>
    <n v="2000719663"/>
    <n v="2000"/>
    <n v="180"/>
    <n v="0"/>
    <s v="U36008"/>
    <s v="L1188/89"/>
    <x v="109"/>
    <m/>
    <m/>
    <m/>
    <n v="0"/>
    <m/>
    <m/>
  </r>
  <r>
    <n v="3930"/>
    <x v="49"/>
    <s v="Day"/>
    <x v="0"/>
    <n v="2000716662"/>
    <n v="1000"/>
    <n v="45"/>
    <n v="0"/>
    <s v="U36008"/>
    <s v="L1188/89"/>
    <x v="109"/>
    <m/>
    <m/>
    <m/>
    <n v="0"/>
    <m/>
    <m/>
  </r>
  <r>
    <n v="3931"/>
    <x v="49"/>
    <s v="Day"/>
    <x v="0"/>
    <n v="2000720377"/>
    <n v="216"/>
    <n v="45"/>
    <n v="0"/>
    <s v="U36008"/>
    <s v="L1209/10"/>
    <x v="216"/>
    <m/>
    <m/>
    <m/>
    <n v="0"/>
    <m/>
    <m/>
  </r>
  <r>
    <n v="3932"/>
    <x v="49"/>
    <s v="Day"/>
    <x v="0"/>
    <n v="2000720384"/>
    <n v="1840"/>
    <n v="40"/>
    <n v="0"/>
    <s v="U36008"/>
    <s v="L1188/89"/>
    <x v="0"/>
    <m/>
    <m/>
    <m/>
    <n v="0"/>
    <m/>
    <m/>
  </r>
  <r>
    <n v="3933"/>
    <x v="49"/>
    <s v="Day"/>
    <x v="0"/>
    <n v="2000720386"/>
    <n v="400"/>
    <n v="162"/>
    <n v="0"/>
    <s v="U36008"/>
    <s v="L1188/89"/>
    <x v="54"/>
    <m/>
    <m/>
    <m/>
    <n v="0"/>
    <m/>
    <m/>
  </r>
  <r>
    <n v="3934"/>
    <x v="49"/>
    <s v="Day"/>
    <x v="0"/>
    <n v="2000720635"/>
    <n v="1784"/>
    <n v="135"/>
    <n v="0"/>
    <s v="U36008"/>
    <s v="L1188/89"/>
    <x v="84"/>
    <m/>
    <m/>
    <m/>
    <n v="0"/>
    <m/>
    <m/>
  </r>
  <r>
    <n v="3935"/>
    <x v="49"/>
    <s v="Day"/>
    <x v="0"/>
    <n v="2000720635"/>
    <n v="1784"/>
    <n v="270"/>
    <n v="0"/>
    <s v="U07492"/>
    <s v="L1188/89"/>
    <x v="84"/>
    <m/>
    <m/>
    <m/>
    <n v="0"/>
    <m/>
    <m/>
  </r>
  <r>
    <n v="3936"/>
    <x v="49"/>
    <s v="Day"/>
    <x v="0"/>
    <n v="2000719660"/>
    <n v="990"/>
    <n v="45"/>
    <n v="0"/>
    <s v="U23987"/>
    <s v="L1209/10"/>
    <x v="44"/>
    <m/>
    <m/>
    <m/>
    <n v="0"/>
    <m/>
    <m/>
  </r>
  <r>
    <n v="3937"/>
    <x v="49"/>
    <s v="Day"/>
    <x v="0"/>
    <n v="2000719663"/>
    <n v="2000"/>
    <n v="155"/>
    <n v="0"/>
    <s v="U23987"/>
    <s v="L1188/89"/>
    <x v="109"/>
    <m/>
    <m/>
    <m/>
    <n v="0"/>
    <m/>
    <m/>
  </r>
  <r>
    <n v="3938"/>
    <x v="49"/>
    <s v="Day"/>
    <x v="0"/>
    <n v="2000716662"/>
    <n v="1000"/>
    <n v="43"/>
    <n v="0"/>
    <s v="U23987"/>
    <s v="L1188/89"/>
    <x v="109"/>
    <m/>
    <m/>
    <m/>
    <n v="0"/>
    <m/>
    <m/>
  </r>
  <r>
    <n v="3939"/>
    <x v="49"/>
    <s v="Day"/>
    <x v="0"/>
    <n v="2000720377"/>
    <n v="216"/>
    <n v="131"/>
    <n v="0"/>
    <s v="U23987"/>
    <s v="L1209/10"/>
    <x v="216"/>
    <m/>
    <m/>
    <m/>
    <n v="0"/>
    <m/>
    <m/>
  </r>
  <r>
    <n v="3940"/>
    <x v="49"/>
    <s v="Day"/>
    <x v="0"/>
    <n v="2000720635"/>
    <n v="1784"/>
    <n v="45"/>
    <n v="0"/>
    <s v="U23987"/>
    <s v="L1188/89"/>
    <x v="84"/>
    <m/>
    <m/>
    <m/>
    <n v="0"/>
    <m/>
    <m/>
  </r>
  <r>
    <n v="3941"/>
    <x v="49"/>
    <s v="Day"/>
    <x v="0"/>
    <n v="2000720384"/>
    <n v="1840"/>
    <n v="160"/>
    <n v="0"/>
    <s v="U23987"/>
    <s v="L1188/89"/>
    <x v="0"/>
    <m/>
    <m/>
    <m/>
    <n v="0"/>
    <m/>
    <m/>
  </r>
  <r>
    <n v="3942"/>
    <x v="49"/>
    <s v="Day"/>
    <x v="0"/>
    <n v="2000719663"/>
    <n v="2000"/>
    <n v="45"/>
    <n v="0"/>
    <s v="U27724"/>
    <s v="L1188/89"/>
    <x v="109"/>
    <m/>
    <m/>
    <m/>
    <n v="0"/>
    <m/>
    <m/>
  </r>
  <r>
    <n v="3943"/>
    <x v="49"/>
    <s v="Day"/>
    <x v="0"/>
    <n v="2000720384"/>
    <n v="1840"/>
    <n v="720"/>
    <n v="0"/>
    <s v="U27724"/>
    <s v="L1188/89"/>
    <x v="0"/>
    <m/>
    <m/>
    <m/>
    <n v="0"/>
    <m/>
    <m/>
  </r>
  <r>
    <n v="3944"/>
    <x v="49"/>
    <s v="Day"/>
    <x v="0"/>
    <n v="2000720386"/>
    <n v="400"/>
    <n v="38"/>
    <n v="0"/>
    <s v="U27724"/>
    <s v="L1188/89"/>
    <x v="54"/>
    <m/>
    <m/>
    <m/>
    <n v="0"/>
    <m/>
    <m/>
  </r>
  <r>
    <n v="3945"/>
    <x v="49"/>
    <s v="Day"/>
    <x v="0"/>
    <n v="2000718821"/>
    <n v="1480"/>
    <n v="240"/>
    <n v="0"/>
    <s v="U26613"/>
    <s v="L1193/94"/>
    <x v="30"/>
    <m/>
    <m/>
    <m/>
    <n v="0"/>
    <m/>
    <m/>
  </r>
  <r>
    <n v="3946"/>
    <x v="49"/>
    <s v="Day"/>
    <x v="0"/>
    <n v="2000711458"/>
    <n v="1980"/>
    <n v="2"/>
    <n v="0"/>
    <s v="U26613"/>
    <s v="L1151/52"/>
    <x v="167"/>
    <m/>
    <m/>
    <m/>
    <n v="0"/>
    <m/>
    <m/>
  </r>
  <r>
    <n v="3947"/>
    <x v="49"/>
    <s v="Day"/>
    <x v="0"/>
    <n v="2000720034"/>
    <n v="2808"/>
    <n v="184"/>
    <n v="0"/>
    <s v="U26613"/>
    <s v="L1151/52"/>
    <x v="256"/>
    <m/>
    <m/>
    <m/>
    <n v="0"/>
    <m/>
    <m/>
  </r>
  <r>
    <n v="3948"/>
    <x v="49"/>
    <s v="Day"/>
    <x v="0"/>
    <n v="2000720377"/>
    <n v="216"/>
    <n v="36"/>
    <n v="0"/>
    <s v="U26613"/>
    <s v="L1209/10"/>
    <x v="216"/>
    <m/>
    <m/>
    <m/>
    <n v="0"/>
    <m/>
    <m/>
  </r>
  <r>
    <n v="3949"/>
    <x v="49"/>
    <s v="Day"/>
    <x v="0"/>
    <n v="2000720635"/>
    <n v="1784"/>
    <n v="270"/>
    <n v="0"/>
    <s v="U26613"/>
    <s v="L1188/89"/>
    <x v="84"/>
    <m/>
    <m/>
    <m/>
    <n v="0"/>
    <m/>
    <m/>
  </r>
  <r>
    <n v="3950"/>
    <x v="49"/>
    <s v="Day"/>
    <x v="0"/>
    <n v="2000719588"/>
    <n v="600"/>
    <n v="150"/>
    <n v="0"/>
    <s v="U26613"/>
    <s v="L1144/47"/>
    <x v="13"/>
    <m/>
    <m/>
    <m/>
    <n v="0"/>
    <m/>
    <m/>
  </r>
  <r>
    <n v="3951"/>
    <x v="49"/>
    <s v="Day"/>
    <x v="0"/>
    <n v="2000719586"/>
    <n v="600"/>
    <n v="100"/>
    <n v="0"/>
    <s v="U26613"/>
    <s v="L1144/47"/>
    <x v="92"/>
    <m/>
    <m/>
    <m/>
    <n v="0"/>
    <m/>
    <m/>
  </r>
  <r>
    <n v="3952"/>
    <x v="49"/>
    <s v="Day"/>
    <x v="0"/>
    <n v="2000719298"/>
    <n v="1050"/>
    <n v="150"/>
    <n v="0"/>
    <s v="U26613"/>
    <s v="L1077"/>
    <x v="33"/>
    <m/>
    <m/>
    <m/>
    <n v="0"/>
    <m/>
    <m/>
  </r>
  <r>
    <n v="3953"/>
    <x v="49"/>
    <s v="Day"/>
    <x v="0"/>
    <n v="2000720031"/>
    <n v="4200"/>
    <n v="240"/>
    <n v="0"/>
    <s v="U26613"/>
    <s v="T515"/>
    <x v="15"/>
    <m/>
    <m/>
    <m/>
    <n v="0"/>
    <m/>
    <m/>
  </r>
  <r>
    <n v="3954"/>
    <x v="49"/>
    <s v="Day"/>
    <x v="0"/>
    <n v="2000720386"/>
    <n v="400"/>
    <n v="40"/>
    <n v="0"/>
    <s v="U09749"/>
    <s v="L1188/89"/>
    <x v="54"/>
    <m/>
    <m/>
    <m/>
    <n v="0"/>
    <m/>
    <m/>
  </r>
  <r>
    <n v="3955"/>
    <x v="49"/>
    <s v="Day"/>
    <x v="0"/>
    <n v="2000719589"/>
    <n v="800"/>
    <n v="40"/>
    <n v="0"/>
    <s v="U30425"/>
    <s v="L1144/47"/>
    <x v="59"/>
    <m/>
    <m/>
    <m/>
    <n v="0"/>
    <m/>
    <m/>
  </r>
  <r>
    <n v="3956"/>
    <x v="49"/>
    <s v="Day"/>
    <x v="0"/>
    <n v="2000720316"/>
    <n v="1200"/>
    <n v="80"/>
    <n v="0"/>
    <s v="U30425"/>
    <s v="L1144/47"/>
    <x v="101"/>
    <m/>
    <m/>
    <m/>
    <n v="0"/>
    <m/>
    <m/>
  </r>
  <r>
    <n v="3957"/>
    <x v="49"/>
    <s v="Day"/>
    <x v="0"/>
    <n v="2000720314"/>
    <n v="1200"/>
    <n v="80"/>
    <n v="0"/>
    <s v="U30425"/>
    <s v="L1144/47"/>
    <x v="39"/>
    <m/>
    <m/>
    <m/>
    <n v="0"/>
    <m/>
    <m/>
  </r>
  <r>
    <n v="3958"/>
    <x v="49"/>
    <s v="Day"/>
    <x v="0"/>
    <n v="2000720231"/>
    <n v="2800"/>
    <n v="120"/>
    <n v="0"/>
    <s v="U30425"/>
    <s v="L1144/47"/>
    <x v="59"/>
    <m/>
    <m/>
    <m/>
    <n v="0"/>
    <m/>
    <m/>
  </r>
  <r>
    <n v="3959"/>
    <x v="49"/>
    <s v="Day"/>
    <x v="0"/>
    <n v="2000719671"/>
    <n v="3999"/>
    <n v="120"/>
    <n v="0"/>
    <s v="U30425"/>
    <s v="L1168/69"/>
    <x v="37"/>
    <m/>
    <m/>
    <m/>
    <n v="0"/>
    <m/>
    <m/>
  </r>
  <r>
    <n v="3960"/>
    <x v="49"/>
    <s v="Day"/>
    <x v="0"/>
    <n v="2000719928"/>
    <n v="1200"/>
    <n v="80"/>
    <n v="0"/>
    <s v="U30425"/>
    <s v="L1174/75"/>
    <x v="61"/>
    <m/>
    <m/>
    <m/>
    <n v="0"/>
    <m/>
    <m/>
  </r>
  <r>
    <n v="3961"/>
    <x v="49"/>
    <s v="Day"/>
    <x v="0"/>
    <n v="2000719921"/>
    <n v="3808"/>
    <n v="160"/>
    <n v="0"/>
    <s v="U30425"/>
    <s v="L1112/13"/>
    <x v="8"/>
    <m/>
    <m/>
    <m/>
    <n v="0"/>
    <m/>
    <m/>
  </r>
  <r>
    <n v="3962"/>
    <x v="49"/>
    <s v="Day"/>
    <x v="0"/>
    <n v="2000719865"/>
    <n v="1800"/>
    <n v="40"/>
    <n v="0"/>
    <s v="U30425"/>
    <s v="L1172/73"/>
    <x v="19"/>
    <m/>
    <m/>
    <m/>
    <n v="0"/>
    <m/>
    <m/>
  </r>
  <r>
    <n v="3963"/>
    <x v="49"/>
    <s v="Day"/>
    <x v="0"/>
    <n v="2000715882"/>
    <n v="1020"/>
    <n v="40"/>
    <n v="0"/>
    <s v="U30425"/>
    <s v="L1144/47"/>
    <x v="42"/>
    <m/>
    <m/>
    <m/>
    <n v="0"/>
    <m/>
    <m/>
  </r>
  <r>
    <n v="3964"/>
    <x v="49"/>
    <s v="Day"/>
    <x v="0"/>
    <n v="2000719660"/>
    <n v="990"/>
    <n v="45"/>
    <n v="0"/>
    <s v="U09854"/>
    <s v="L1209/10"/>
    <x v="44"/>
    <m/>
    <m/>
    <m/>
    <n v="0"/>
    <m/>
    <m/>
  </r>
  <r>
    <n v="3965"/>
    <x v="49"/>
    <s v="Day"/>
    <x v="0"/>
    <n v="2000719551"/>
    <n v="430"/>
    <n v="180"/>
    <n v="0"/>
    <s v="U09854"/>
    <s v="L1193/94"/>
    <x v="116"/>
    <m/>
    <m/>
    <m/>
    <n v="0"/>
    <m/>
    <m/>
  </r>
  <r>
    <n v="3966"/>
    <x v="49"/>
    <s v="Day"/>
    <x v="0"/>
    <n v="2000719313"/>
    <n v="410"/>
    <n v="120"/>
    <n v="0"/>
    <s v="U09854"/>
    <s v="L1193/94"/>
    <x v="104"/>
    <m/>
    <m/>
    <m/>
    <n v="0"/>
    <m/>
    <m/>
  </r>
  <r>
    <n v="3967"/>
    <x v="49"/>
    <s v="Day"/>
    <x v="0"/>
    <n v="2000719314"/>
    <n v="880"/>
    <n v="120"/>
    <n v="0"/>
    <s v="U09854"/>
    <s v="L1193/94"/>
    <x v="192"/>
    <m/>
    <m/>
    <m/>
    <n v="0"/>
    <m/>
    <m/>
  </r>
  <r>
    <n v="3968"/>
    <x v="49"/>
    <s v="Day"/>
    <x v="0"/>
    <n v="2000720386"/>
    <n v="400"/>
    <n v="158"/>
    <n v="0"/>
    <s v="U09854"/>
    <s v="L1188/89"/>
    <x v="54"/>
    <m/>
    <m/>
    <m/>
    <n v="0"/>
    <m/>
    <m/>
  </r>
  <r>
    <n v="3969"/>
    <x v="49"/>
    <s v="Day"/>
    <x v="0"/>
    <n v="2000720385"/>
    <n v="720"/>
    <n v="40"/>
    <n v="0"/>
    <s v="U09854"/>
    <s v="L1188/89"/>
    <x v="168"/>
    <m/>
    <m/>
    <m/>
    <n v="0"/>
    <m/>
    <m/>
  </r>
  <r>
    <n v="3970"/>
    <x v="49"/>
    <s v="Day"/>
    <x v="0"/>
    <n v="2000718794"/>
    <n v="1000"/>
    <n v="120"/>
    <n v="0"/>
    <s v="U30500"/>
    <s v="L1077"/>
    <x v="36"/>
    <m/>
    <m/>
    <m/>
    <n v="0"/>
    <m/>
    <m/>
  </r>
  <r>
    <n v="3971"/>
    <x v="49"/>
    <s v="Day"/>
    <x v="0"/>
    <n v="2000714130"/>
    <n v="920"/>
    <n v="28"/>
    <n v="0"/>
    <s v="U30500"/>
    <s v="L1151/52"/>
    <x v="85"/>
    <m/>
    <m/>
    <m/>
    <n v="0"/>
    <m/>
    <m/>
  </r>
  <r>
    <n v="3972"/>
    <x v="49"/>
    <s v="Day"/>
    <x v="0"/>
    <n v="2000720034"/>
    <n v="2808"/>
    <n v="200"/>
    <n v="0"/>
    <s v="U30500"/>
    <s v="L1151/52"/>
    <x v="256"/>
    <m/>
    <m/>
    <m/>
    <n v="0"/>
    <m/>
    <m/>
  </r>
  <r>
    <n v="3973"/>
    <x v="49"/>
    <s v="Day"/>
    <x v="0"/>
    <n v="2000718821"/>
    <n v="1480"/>
    <n v="280"/>
    <n v="0"/>
    <s v="U30500"/>
    <s v="L1193/94"/>
    <x v="30"/>
    <m/>
    <m/>
    <m/>
    <n v="0"/>
    <m/>
    <m/>
  </r>
  <r>
    <n v="3974"/>
    <x v="49"/>
    <s v="Day"/>
    <x v="0"/>
    <n v="2000718791"/>
    <n v="1000"/>
    <n v="100"/>
    <n v="0"/>
    <s v="U30500"/>
    <s v="L1077"/>
    <x v="10"/>
    <m/>
    <m/>
    <m/>
    <n v="0"/>
    <m/>
    <m/>
  </r>
  <r>
    <n v="3975"/>
    <x v="49"/>
    <s v="Day"/>
    <x v="0"/>
    <n v="2000718792"/>
    <n v="1000"/>
    <n v="100"/>
    <n v="0"/>
    <s v="U30500"/>
    <s v="L1077"/>
    <x v="33"/>
    <m/>
    <m/>
    <m/>
    <n v="0"/>
    <m/>
    <m/>
  </r>
  <r>
    <n v="3976"/>
    <x v="49"/>
    <s v="Day"/>
    <x v="0"/>
    <n v="2000720230"/>
    <n v="2800"/>
    <n v="150"/>
    <n v="0"/>
    <s v="U30500"/>
    <s v="L1144/47"/>
    <x v="13"/>
    <m/>
    <m/>
    <m/>
    <n v="0"/>
    <m/>
    <m/>
  </r>
  <r>
    <n v="3977"/>
    <x v="49"/>
    <s v="Day"/>
    <x v="0"/>
    <n v="2000719929"/>
    <n v="1000"/>
    <n v="100"/>
    <n v="0"/>
    <s v="U30500"/>
    <s v="L1174/75"/>
    <x v="62"/>
    <m/>
    <m/>
    <m/>
    <n v="0"/>
    <m/>
    <m/>
  </r>
  <r>
    <n v="3978"/>
    <x v="49"/>
    <s v="Day"/>
    <x v="0"/>
    <n v="2000718573"/>
    <n v="1776"/>
    <n v="154"/>
    <n v="0"/>
    <s v="U30500"/>
    <s v="L1193/94"/>
    <x v="119"/>
    <m/>
    <m/>
    <m/>
    <n v="0"/>
    <m/>
    <m/>
  </r>
  <r>
    <n v="3979"/>
    <x v="49"/>
    <s v="Day"/>
    <x v="0"/>
    <n v="2000720033"/>
    <n v="3216"/>
    <n v="400"/>
    <n v="0"/>
    <s v="U30500"/>
    <s v="L1193/94"/>
    <x v="119"/>
    <m/>
    <m/>
    <m/>
    <n v="0"/>
    <m/>
    <m/>
  </r>
  <r>
    <n v="3980"/>
    <x v="49"/>
    <s v="Night"/>
    <x v="0"/>
    <n v="2000720385"/>
    <n v="720"/>
    <n v="40"/>
    <n v="0"/>
    <s v="U32991"/>
    <s v="L1188/89"/>
    <x v="168"/>
    <m/>
    <m/>
    <m/>
    <n v="0"/>
    <m/>
    <m/>
  </r>
  <r>
    <n v="3981"/>
    <x v="49"/>
    <s v="Night"/>
    <x v="0"/>
    <n v="2000720024"/>
    <n v="1500"/>
    <n v="120"/>
    <n v="0"/>
    <s v="U32991"/>
    <s v="L1188/89"/>
    <x v="17"/>
    <m/>
    <m/>
    <m/>
    <n v="0"/>
    <m/>
    <m/>
  </r>
  <r>
    <n v="3982"/>
    <x v="49"/>
    <s v="Night"/>
    <x v="0"/>
    <n v="2000720231"/>
    <n v="2800"/>
    <n v="160"/>
    <n v="0"/>
    <s v="U32991"/>
    <s v="L1144/47"/>
    <x v="59"/>
    <m/>
    <m/>
    <m/>
    <n v="0"/>
    <m/>
    <m/>
  </r>
  <r>
    <n v="3983"/>
    <x v="49"/>
    <s v="Night"/>
    <x v="0"/>
    <n v="2000719551"/>
    <n v="430"/>
    <n v="75"/>
    <n v="0"/>
    <s v="U32991"/>
    <s v="L1193/94"/>
    <x v="116"/>
    <m/>
    <m/>
    <m/>
    <n v="0"/>
    <m/>
    <m/>
  </r>
  <r>
    <n v="3984"/>
    <x v="49"/>
    <s v="Night"/>
    <x v="0"/>
    <n v="2000719972"/>
    <n v="1400"/>
    <n v="210"/>
    <n v="0"/>
    <s v="U32991"/>
    <s v="L1193/94"/>
    <x v="192"/>
    <m/>
    <m/>
    <m/>
    <n v="0"/>
    <m/>
    <m/>
  </r>
  <r>
    <n v="3985"/>
    <x v="49"/>
    <s v="Night"/>
    <x v="0"/>
    <n v="2000720635"/>
    <n v="1784"/>
    <n v="225"/>
    <n v="0"/>
    <s v="U05944"/>
    <s v="L1188/89"/>
    <x v="84"/>
    <m/>
    <m/>
    <m/>
    <n v="0"/>
    <m/>
    <m/>
  </r>
  <r>
    <n v="3986"/>
    <x v="49"/>
    <s v="Night"/>
    <x v="0"/>
    <n v="2000719931"/>
    <n v="2700"/>
    <n v="110"/>
    <n v="0"/>
    <s v="U05944"/>
    <s v="L1174/75"/>
    <x v="3"/>
    <m/>
    <m/>
    <m/>
    <n v="0"/>
    <m/>
    <m/>
  </r>
  <r>
    <n v="3987"/>
    <x v="49"/>
    <s v="Night"/>
    <x v="0"/>
    <n v="2000720023"/>
    <n v="640"/>
    <n v="120"/>
    <n v="0"/>
    <s v="U05944"/>
    <s v="L1188/89"/>
    <x v="130"/>
    <m/>
    <m/>
    <m/>
    <n v="0"/>
    <m/>
    <m/>
  </r>
  <r>
    <n v="3988"/>
    <x v="49"/>
    <s v="Night"/>
    <x v="0"/>
    <n v="2000720024"/>
    <n v="1500"/>
    <n v="120"/>
    <n v="0"/>
    <s v="U30840"/>
    <s v="L1188/89"/>
    <x v="17"/>
    <m/>
    <m/>
    <m/>
    <n v="0"/>
    <m/>
    <m/>
  </r>
  <r>
    <n v="3989"/>
    <x v="49"/>
    <s v="Night"/>
    <x v="0"/>
    <n v="2000720635"/>
    <n v="1784"/>
    <n v="315"/>
    <n v="0"/>
    <s v="U29686"/>
    <s v="L1188/89"/>
    <x v="84"/>
    <m/>
    <m/>
    <m/>
    <n v="0"/>
    <m/>
    <m/>
  </r>
  <r>
    <n v="3990"/>
    <x v="49"/>
    <s v="Night"/>
    <x v="0"/>
    <n v="2000720024"/>
    <n v="1500"/>
    <n v="295"/>
    <n v="0"/>
    <s v="U29686"/>
    <s v="L1188/89"/>
    <x v="17"/>
    <m/>
    <m/>
    <m/>
    <n v="0"/>
    <m/>
    <m/>
  </r>
  <r>
    <n v="3991"/>
    <x v="49"/>
    <s v="Night"/>
    <x v="0"/>
    <n v="2000719865"/>
    <n v="1800"/>
    <n v="80"/>
    <n v="0"/>
    <s v="U18660"/>
    <s v="L1172/73"/>
    <x v="19"/>
    <m/>
    <m/>
    <m/>
    <n v="0"/>
    <m/>
    <m/>
  </r>
  <r>
    <n v="3992"/>
    <x v="49"/>
    <s v="Night"/>
    <x v="0"/>
    <n v="2000719542"/>
    <n v="1050"/>
    <n v="80"/>
    <n v="0"/>
    <s v="U18660"/>
    <s v="L1077"/>
    <x v="2"/>
    <m/>
    <m/>
    <m/>
    <n v="0"/>
    <m/>
    <m/>
  </r>
  <r>
    <n v="3993"/>
    <x v="49"/>
    <s v="Night"/>
    <x v="0"/>
    <n v="2000715882"/>
    <n v="1020"/>
    <n v="80"/>
    <n v="0"/>
    <s v="U18660"/>
    <s v="L1144/47"/>
    <x v="42"/>
    <m/>
    <m/>
    <m/>
    <n v="0"/>
    <m/>
    <m/>
  </r>
  <r>
    <n v="3994"/>
    <x v="49"/>
    <s v="Night"/>
    <x v="0"/>
    <n v="2000719921"/>
    <n v="3808"/>
    <n v="40"/>
    <n v="0"/>
    <s v="U18660"/>
    <s v="L1112/13"/>
    <x v="8"/>
    <m/>
    <m/>
    <m/>
    <n v="0"/>
    <m/>
    <m/>
  </r>
  <r>
    <n v="3995"/>
    <x v="49"/>
    <s v="Night"/>
    <x v="0"/>
    <n v="2000719922"/>
    <n v="2592"/>
    <n v="160"/>
    <n v="0"/>
    <s v="U18660"/>
    <s v="L1128/29"/>
    <x v="11"/>
    <m/>
    <m/>
    <m/>
    <n v="0"/>
    <m/>
    <m/>
  </r>
  <r>
    <n v="3996"/>
    <x v="49"/>
    <s v="Night"/>
    <x v="0"/>
    <n v="2000720011"/>
    <n v="3999"/>
    <n v="240"/>
    <n v="0"/>
    <s v="U18660"/>
    <s v="L1168/69"/>
    <x v="37"/>
    <m/>
    <m/>
    <m/>
    <n v="0"/>
    <m/>
    <m/>
  </r>
  <r>
    <n v="3997"/>
    <x v="49"/>
    <s v="Night"/>
    <x v="0"/>
    <n v="2000719932"/>
    <n v="1000"/>
    <n v="80"/>
    <n v="0"/>
    <s v="U18660"/>
    <s v="L1174/75"/>
    <x v="171"/>
    <m/>
    <m/>
    <m/>
    <n v="0"/>
    <m/>
    <m/>
  </r>
  <r>
    <n v="3998"/>
    <x v="49"/>
    <s v="Night"/>
    <x v="0"/>
    <n v="2000720384"/>
    <n v="1840"/>
    <n v="33"/>
    <n v="0"/>
    <s v="U27687"/>
    <s v="L1188/89"/>
    <x v="0"/>
    <m/>
    <m/>
    <m/>
    <n v="0"/>
    <m/>
    <m/>
  </r>
  <r>
    <n v="3999"/>
    <x v="49"/>
    <s v="Night"/>
    <x v="0"/>
    <n v="2000720385"/>
    <n v="720"/>
    <n v="40"/>
    <n v="0"/>
    <s v="U27687"/>
    <s v="L1188/89"/>
    <x v="168"/>
    <m/>
    <m/>
    <m/>
    <n v="0"/>
    <m/>
    <m/>
  </r>
  <r>
    <n v="4000"/>
    <x v="49"/>
    <s v="Night"/>
    <x v="0"/>
    <n v="2000720024"/>
    <n v="1500"/>
    <n v="480"/>
    <n v="0"/>
    <s v="U27687"/>
    <s v="L1188/89"/>
    <x v="17"/>
    <m/>
    <m/>
    <m/>
    <n v="0"/>
    <m/>
    <m/>
  </r>
  <r>
    <n v="4001"/>
    <x v="49"/>
    <s v="Night"/>
    <x v="0"/>
    <n v="2000719931"/>
    <n v="2700"/>
    <n v="10"/>
    <n v="0"/>
    <s v="U27687"/>
    <s v="L1174/75"/>
    <x v="3"/>
    <m/>
    <m/>
    <m/>
    <n v="0"/>
    <m/>
    <m/>
  </r>
  <r>
    <n v="4002"/>
    <x v="49"/>
    <s v="Night"/>
    <x v="0"/>
    <n v="2000720385"/>
    <n v="720"/>
    <n v="112"/>
    <n v="0"/>
    <s v="U27723"/>
    <s v="L1188/89"/>
    <x v="168"/>
    <m/>
    <m/>
    <m/>
    <n v="0"/>
    <m/>
    <m/>
  </r>
  <r>
    <n v="4003"/>
    <x v="49"/>
    <s v="Night"/>
    <x v="0"/>
    <n v="2000720024"/>
    <n v="1500"/>
    <n v="160"/>
    <n v="0"/>
    <s v="U27723"/>
    <s v="L1188/89"/>
    <x v="17"/>
    <m/>
    <m/>
    <m/>
    <n v="0"/>
    <m/>
    <m/>
  </r>
  <r>
    <n v="4004"/>
    <x v="49"/>
    <s v="Night"/>
    <x v="0"/>
    <n v="2000720023"/>
    <n v="640"/>
    <n v="400"/>
    <n v="0"/>
    <s v="U27723"/>
    <s v="L1188/89"/>
    <x v="130"/>
    <m/>
    <m/>
    <m/>
    <n v="0"/>
    <m/>
    <m/>
  </r>
  <r>
    <n v="4005"/>
    <x v="49"/>
    <s v="Night"/>
    <x v="0"/>
    <n v="2000719300"/>
    <n v="1050"/>
    <n v="160"/>
    <n v="0"/>
    <s v="U03968"/>
    <s v="L1077"/>
    <x v="36"/>
    <m/>
    <m/>
    <m/>
    <n v="0"/>
    <m/>
    <m/>
  </r>
  <r>
    <n v="4006"/>
    <x v="49"/>
    <s v="Night"/>
    <x v="0"/>
    <n v="2000719297"/>
    <n v="1050"/>
    <n v="150"/>
    <n v="0"/>
    <s v="U03968"/>
    <s v="L1077"/>
    <x v="10"/>
    <m/>
    <m/>
    <m/>
    <n v="0"/>
    <m/>
    <m/>
  </r>
  <r>
    <n v="4007"/>
    <x v="49"/>
    <s v="Night"/>
    <x v="0"/>
    <n v="2000719354"/>
    <n v="1200"/>
    <n v="240"/>
    <n v="0"/>
    <s v="U03968"/>
    <s v="L1193/94"/>
    <x v="30"/>
    <m/>
    <m/>
    <m/>
    <n v="0"/>
    <m/>
    <m/>
  </r>
  <r>
    <n v="4008"/>
    <x v="49"/>
    <s v="Night"/>
    <x v="0"/>
    <n v="2000715880"/>
    <n v="1020"/>
    <n v="150"/>
    <n v="0"/>
    <s v="U03968"/>
    <s v="L1144/47"/>
    <x v="63"/>
    <m/>
    <m/>
    <m/>
    <n v="0"/>
    <m/>
    <m/>
  </r>
  <r>
    <n v="4009"/>
    <x v="49"/>
    <s v="Night"/>
    <x v="0"/>
    <n v="2000718793"/>
    <n v="1000"/>
    <n v="120"/>
    <n v="0"/>
    <s v="U03968"/>
    <s v="L1077"/>
    <x v="6"/>
    <m/>
    <m/>
    <m/>
    <n v="0"/>
    <m/>
    <m/>
  </r>
  <r>
    <n v="4010"/>
    <x v="49"/>
    <s v="Night"/>
    <x v="0"/>
    <n v="2000719587"/>
    <n v="600"/>
    <n v="150"/>
    <n v="0"/>
    <s v="U03968"/>
    <s v="L1144/47"/>
    <x v="77"/>
    <m/>
    <m/>
    <m/>
    <n v="0"/>
    <m/>
    <m/>
  </r>
  <r>
    <n v="4011"/>
    <x v="49"/>
    <s v="Night"/>
    <x v="0"/>
    <n v="2000720185"/>
    <n v="600"/>
    <n v="150"/>
    <n v="0"/>
    <s v="U03968"/>
    <s v="L1172/73"/>
    <x v="165"/>
    <m/>
    <m/>
    <m/>
    <n v="0"/>
    <m/>
    <m/>
  </r>
  <r>
    <n v="4012"/>
    <x v="49"/>
    <s v="Night"/>
    <x v="0"/>
    <n v="2000720228"/>
    <n v="2800"/>
    <n v="200"/>
    <n v="0"/>
    <s v="U03968"/>
    <s v="L1144/47"/>
    <x v="92"/>
    <m/>
    <m/>
    <m/>
    <n v="0"/>
    <m/>
    <m/>
  </r>
  <r>
    <n v="4013"/>
    <x v="49"/>
    <s v="Night"/>
    <x v="0"/>
    <n v="2000719930"/>
    <n v="2700"/>
    <n v="200"/>
    <n v="0"/>
    <s v="U03968"/>
    <s v="L1174/75"/>
    <x v="62"/>
    <m/>
    <m/>
    <m/>
    <n v="0"/>
    <m/>
    <m/>
  </r>
  <r>
    <n v="4014"/>
    <x v="49"/>
    <s v="Night"/>
    <x v="0"/>
    <n v="2000719539"/>
    <n v="1050"/>
    <n v="150"/>
    <n v="0"/>
    <s v="U03968"/>
    <s v="L1077"/>
    <x v="33"/>
    <m/>
    <m/>
    <m/>
    <n v="0"/>
    <m/>
    <m/>
  </r>
  <r>
    <n v="4015"/>
    <x v="49"/>
    <s v="Night"/>
    <x v="0"/>
    <n v="2000720180"/>
    <n v="1120"/>
    <n v="200"/>
    <n v="0"/>
    <s v="U03968"/>
    <s v="L1151/52"/>
    <x v="185"/>
    <m/>
    <m/>
    <m/>
    <n v="0"/>
    <m/>
    <m/>
  </r>
  <r>
    <n v="4016"/>
    <x v="49"/>
    <s v="Night"/>
    <x v="0"/>
    <n v="2000719538"/>
    <n v="1050"/>
    <n v="150"/>
    <n v="0"/>
    <s v="U03968"/>
    <s v="L1077"/>
    <x v="10"/>
    <m/>
    <m/>
    <m/>
    <n v="0"/>
    <m/>
    <m/>
  </r>
  <r>
    <n v="4017"/>
    <x v="49"/>
    <s v="Night"/>
    <x v="0"/>
    <n v="2000720229"/>
    <n v="2800"/>
    <n v="150"/>
    <n v="0"/>
    <s v="U03968"/>
    <s v="L1144/47"/>
    <x v="77"/>
    <m/>
    <m/>
    <m/>
    <n v="0"/>
    <m/>
    <m/>
  </r>
  <r>
    <n v="4018"/>
    <x v="49"/>
    <s v="Night"/>
    <x v="1"/>
    <n v="2000720199"/>
    <n v="620"/>
    <n v="10"/>
    <n v="0"/>
    <s v="U15759"/>
    <s v="FLORA"/>
    <x v="180"/>
    <m/>
    <m/>
    <m/>
    <n v="0"/>
    <m/>
    <m/>
  </r>
  <r>
    <n v="4019"/>
    <x v="49"/>
    <s v="Night"/>
    <x v="1"/>
    <n v="2000720157"/>
    <n v="500"/>
    <n v="105"/>
    <n v="0"/>
    <s v="U15759"/>
    <s v="SHANKS"/>
    <x v="24"/>
    <m/>
    <m/>
    <m/>
    <n v="0"/>
    <m/>
    <m/>
  </r>
  <r>
    <n v="4020"/>
    <x v="49"/>
    <s v="Night"/>
    <x v="1"/>
    <n v="2000718983"/>
    <n v="80"/>
    <n v="60"/>
    <n v="0"/>
    <s v="U15759"/>
    <s v="PSLV"/>
    <x v="129"/>
    <m/>
    <m/>
    <m/>
    <n v="0"/>
    <m/>
    <m/>
  </r>
  <r>
    <n v="4021"/>
    <x v="49"/>
    <s v="Night"/>
    <x v="1"/>
    <n v="2000720210"/>
    <n v="350"/>
    <n v="171"/>
    <n v="0"/>
    <s v="U15759"/>
    <s v="PSLV"/>
    <x v="23"/>
    <m/>
    <m/>
    <m/>
    <n v="0"/>
    <m/>
    <m/>
  </r>
  <r>
    <n v="4022"/>
    <x v="49"/>
    <s v="Night"/>
    <x v="1"/>
    <n v="2000719230"/>
    <n v="310"/>
    <n v="310"/>
    <n v="0"/>
    <s v="U15759"/>
    <s v="PSHV"/>
    <x v="29"/>
    <m/>
    <m/>
    <m/>
    <n v="0"/>
    <m/>
    <m/>
  </r>
  <r>
    <n v="4023"/>
    <x v="49"/>
    <s v="Night"/>
    <x v="1"/>
    <n v="2000719829"/>
    <n v="960"/>
    <n v="192"/>
    <n v="0"/>
    <s v="U15759"/>
    <s v="FRANKY"/>
    <x v="51"/>
    <m/>
    <m/>
    <m/>
    <n v="0"/>
    <m/>
    <m/>
  </r>
  <r>
    <n v="4024"/>
    <x v="49"/>
    <s v="Night"/>
    <x v="1"/>
    <n v="2000719857"/>
    <n v="200"/>
    <n v="60"/>
    <n v="0"/>
    <s v="U15759"/>
    <s v="PSLV"/>
    <x v="166"/>
    <m/>
    <m/>
    <m/>
    <n v="0"/>
    <m/>
    <m/>
  </r>
  <r>
    <n v="4025"/>
    <x v="49"/>
    <s v="Night"/>
    <x v="1"/>
    <n v="2000718982"/>
    <n v="210"/>
    <n v="20"/>
    <n v="0"/>
    <s v="U15759"/>
    <s v="PSLV"/>
    <x v="135"/>
    <m/>
    <m/>
    <m/>
    <n v="0"/>
    <m/>
    <m/>
  </r>
  <r>
    <n v="4026"/>
    <x v="50"/>
    <s v="Day"/>
    <x v="1"/>
    <n v="2000720199"/>
    <n v="620"/>
    <n v="250"/>
    <n v="0"/>
    <s v="U31065"/>
    <s v="FLORA"/>
    <x v="180"/>
    <m/>
    <m/>
    <m/>
    <n v="0"/>
    <m/>
    <m/>
  </r>
  <r>
    <n v="4027"/>
    <x v="50"/>
    <s v="Day"/>
    <x v="1"/>
    <n v="2000719229"/>
    <n v="310"/>
    <n v="10"/>
    <n v="0"/>
    <s v="U31065"/>
    <s v="FLORA"/>
    <x v="180"/>
    <m/>
    <m/>
    <m/>
    <n v="0"/>
    <m/>
    <m/>
  </r>
  <r>
    <n v="4028"/>
    <x v="50"/>
    <s v="Day"/>
    <x v="1"/>
    <n v="2000720161"/>
    <n v="945"/>
    <n v="80"/>
    <n v="0"/>
    <s v="U31065"/>
    <s v="HVPS"/>
    <x v="223"/>
    <m/>
    <m/>
    <m/>
    <n v="0"/>
    <m/>
    <m/>
  </r>
  <r>
    <n v="4029"/>
    <x v="50"/>
    <s v="Day"/>
    <x v="1"/>
    <n v="2000718982"/>
    <n v="210"/>
    <n v="90"/>
    <n v="0"/>
    <s v="U31065"/>
    <s v="PSLV"/>
    <x v="135"/>
    <m/>
    <m/>
    <m/>
    <n v="0"/>
    <m/>
    <m/>
  </r>
  <r>
    <n v="4030"/>
    <x v="50"/>
    <s v="Day"/>
    <x v="1"/>
    <n v="2000720158"/>
    <n v="500"/>
    <n v="140"/>
    <n v="0"/>
    <s v="U31065"/>
    <s v="SHANKS"/>
    <x v="24"/>
    <m/>
    <m/>
    <m/>
    <n v="0"/>
    <m/>
    <m/>
  </r>
  <r>
    <n v="4031"/>
    <x v="50"/>
    <s v="Day"/>
    <x v="1"/>
    <n v="2000719837"/>
    <n v="450"/>
    <n v="30"/>
    <n v="0"/>
    <s v="U31065"/>
    <s v="SHANKS"/>
    <x v="24"/>
    <m/>
    <m/>
    <m/>
    <n v="0"/>
    <m/>
    <m/>
  </r>
  <r>
    <n v="4032"/>
    <x v="50"/>
    <s v="Day"/>
    <x v="1"/>
    <n v="2000719228"/>
    <n v="600"/>
    <n v="110"/>
    <n v="0"/>
    <s v="U31065"/>
    <s v="PSLV"/>
    <x v="53"/>
    <m/>
    <m/>
    <m/>
    <n v="0"/>
    <m/>
    <m/>
  </r>
  <r>
    <n v="4033"/>
    <x v="50"/>
    <s v="Day"/>
    <x v="0"/>
    <n v="2000720180"/>
    <n v="1120"/>
    <n v="520"/>
    <n v="0"/>
    <s v="U30500"/>
    <s v="L1151/52"/>
    <x v="185"/>
    <m/>
    <m/>
    <m/>
    <n v="0"/>
    <m/>
    <m/>
  </r>
  <r>
    <n v="4034"/>
    <x v="50"/>
    <s v="Day"/>
    <x v="0"/>
    <n v="2000719858"/>
    <n v="2000"/>
    <n v="150"/>
    <n v="0"/>
    <s v="U30500"/>
    <s v="L1077"/>
    <x v="10"/>
    <m/>
    <m/>
    <m/>
    <n v="0"/>
    <m/>
    <m/>
  </r>
  <r>
    <n v="4035"/>
    <x v="50"/>
    <s v="Day"/>
    <x v="0"/>
    <n v="2000719354"/>
    <n v="1200"/>
    <n v="240"/>
    <n v="0"/>
    <s v="U30500"/>
    <s v="L1193/94"/>
    <x v="30"/>
    <m/>
    <m/>
    <m/>
    <n v="0"/>
    <m/>
    <m/>
  </r>
  <r>
    <n v="4036"/>
    <x v="50"/>
    <s v="Day"/>
    <x v="0"/>
    <n v="2000720635"/>
    <n v="1784"/>
    <n v="614"/>
    <n v="0"/>
    <s v="U36008"/>
    <s v="L1188/89"/>
    <x v="84"/>
    <m/>
    <m/>
    <m/>
    <n v="0"/>
    <m/>
    <m/>
  </r>
  <r>
    <n v="4037"/>
    <x v="50"/>
    <s v="Day"/>
    <x v="0"/>
    <n v="2000720852"/>
    <n v="1000"/>
    <n v="45"/>
    <n v="0"/>
    <s v="U36008"/>
    <s v="L1188/89"/>
    <x v="84"/>
    <m/>
    <m/>
    <m/>
    <n v="0"/>
    <m/>
    <m/>
  </r>
  <r>
    <n v="4038"/>
    <x v="50"/>
    <s v="Day"/>
    <x v="0"/>
    <n v="2000720023"/>
    <n v="640"/>
    <n v="118"/>
    <n v="0"/>
    <s v="U27724"/>
    <s v="L1188/89"/>
    <x v="130"/>
    <m/>
    <m/>
    <m/>
    <n v="0"/>
    <m/>
    <m/>
  </r>
  <r>
    <n v="4039"/>
    <x v="50"/>
    <s v="Day"/>
    <x v="0"/>
    <n v="2000720024"/>
    <n v="1500"/>
    <n v="178"/>
    <n v="0"/>
    <s v="U27724"/>
    <s v="L1188/89"/>
    <x v="17"/>
    <m/>
    <m/>
    <m/>
    <n v="0"/>
    <m/>
    <m/>
  </r>
  <r>
    <n v="4040"/>
    <x v="50"/>
    <s v="Day"/>
    <x v="0"/>
    <n v="2000720855"/>
    <n v="280"/>
    <n v="80"/>
    <n v="0"/>
    <s v="U27724"/>
    <s v="L1188/89"/>
    <x v="95"/>
    <m/>
    <m/>
    <m/>
    <n v="0"/>
    <m/>
    <m/>
  </r>
  <r>
    <n v="4041"/>
    <x v="50"/>
    <s v="Day"/>
    <x v="0"/>
    <n v="2000720662"/>
    <n v="1220"/>
    <n v="80"/>
    <n v="0"/>
    <s v="U27724"/>
    <s v="L1188/89"/>
    <x v="0"/>
    <m/>
    <m/>
    <m/>
    <n v="0"/>
    <m/>
    <m/>
  </r>
  <r>
    <n v="4042"/>
    <x v="50"/>
    <s v="Day"/>
    <x v="0"/>
    <n v="2000720852"/>
    <n v="1000"/>
    <n v="360"/>
    <n v="0"/>
    <s v="U27724"/>
    <s v="L1188/89"/>
    <x v="84"/>
    <m/>
    <m/>
    <m/>
    <n v="0"/>
    <m/>
    <m/>
  </r>
  <r>
    <n v="4043"/>
    <x v="50"/>
    <s v="Day"/>
    <x v="0"/>
    <n v="2000720024"/>
    <n v="1500"/>
    <n v="120"/>
    <n v="0"/>
    <s v="U23987"/>
    <s v="L1188/89"/>
    <x v="17"/>
    <m/>
    <m/>
    <m/>
    <n v="0"/>
    <m/>
    <m/>
  </r>
  <r>
    <n v="4045"/>
    <x v="50"/>
    <s v="Day"/>
    <x v="0"/>
    <n v="2000720855"/>
    <n v="280"/>
    <n v="200"/>
    <n v="0"/>
    <s v="U23987"/>
    <s v="L1188/89"/>
    <x v="95"/>
    <m/>
    <m/>
    <m/>
    <n v="0"/>
    <m/>
    <m/>
  </r>
  <r>
    <n v="4046"/>
    <x v="50"/>
    <s v="Day"/>
    <x v="0"/>
    <n v="2000720022"/>
    <n v="160"/>
    <n v="120"/>
    <n v="0"/>
    <s v="U23987"/>
    <s v="L1188/89"/>
    <x v="95"/>
    <m/>
    <m/>
    <m/>
    <n v="0"/>
    <m/>
    <m/>
  </r>
  <r>
    <n v="4047"/>
    <x v="50"/>
    <s v="Day"/>
    <x v="0"/>
    <n v="2000719972"/>
    <n v="1400"/>
    <n v="680"/>
    <n v="0"/>
    <s v="U09854"/>
    <s v="L1193/94"/>
    <x v="192"/>
    <m/>
    <m/>
    <m/>
    <n v="0"/>
    <m/>
    <m/>
  </r>
  <r>
    <n v="4048"/>
    <x v="50"/>
    <s v="Day"/>
    <x v="0"/>
    <n v="2000716272"/>
    <n v="800"/>
    <n v="100"/>
    <n v="0"/>
    <s v="U07492"/>
    <s v="L1144/47"/>
    <x v="92"/>
    <m/>
    <m/>
    <m/>
    <n v="0"/>
    <m/>
    <m/>
  </r>
  <r>
    <n v="4049"/>
    <x v="50"/>
    <s v="Day"/>
    <x v="0"/>
    <n v="2000720852"/>
    <n v="1000"/>
    <n v="225"/>
    <n v="0"/>
    <s v="U07492"/>
    <s v="L1188/89"/>
    <x v="84"/>
    <m/>
    <m/>
    <m/>
    <n v="0"/>
    <m/>
    <m/>
  </r>
  <r>
    <n v="4050"/>
    <x v="50"/>
    <s v="Day"/>
    <x v="0"/>
    <n v="2000720024"/>
    <n v="1500"/>
    <n v="25"/>
    <n v="0"/>
    <s v="U09749"/>
    <s v="L1188/89"/>
    <x v="17"/>
    <m/>
    <m/>
    <m/>
    <n v="0"/>
    <m/>
    <m/>
  </r>
  <r>
    <n v="4051"/>
    <x v="50"/>
    <s v="Day"/>
    <x v="0"/>
    <n v="2000720033"/>
    <n v="3216"/>
    <n v="800"/>
    <n v="0"/>
    <s v="U09749"/>
    <s v="L1193/94"/>
    <x v="119"/>
    <m/>
    <m/>
    <m/>
    <n v="0"/>
    <m/>
    <m/>
  </r>
  <r>
    <n v="4052"/>
    <x v="50"/>
    <s v="Day"/>
    <x v="0"/>
    <n v="2000718257"/>
    <n v="2400"/>
    <n v="150"/>
    <n v="0"/>
    <s v="U26613"/>
    <s v="L1144/47"/>
    <x v="77"/>
    <m/>
    <m/>
    <m/>
    <n v="0"/>
    <m/>
    <m/>
  </r>
  <r>
    <n v="4053"/>
    <x v="50"/>
    <s v="Day"/>
    <x v="0"/>
    <n v="2000715879"/>
    <n v="1020"/>
    <n v="200"/>
    <n v="0"/>
    <s v="U26613"/>
    <s v="L1144/47"/>
    <x v="64"/>
    <m/>
    <m/>
    <m/>
    <n v="0"/>
    <m/>
    <m/>
  </r>
  <r>
    <n v="4054"/>
    <x v="50"/>
    <s v="Day"/>
    <x v="0"/>
    <n v="2000719541"/>
    <n v="1050"/>
    <n v="200"/>
    <n v="0"/>
    <s v="U26613"/>
    <s v="L1077"/>
    <x v="36"/>
    <m/>
    <m/>
    <m/>
    <n v="0"/>
    <m/>
    <m/>
  </r>
  <r>
    <n v="4055"/>
    <x v="50"/>
    <s v="Day"/>
    <x v="0"/>
    <n v="2000720033"/>
    <n v="3216"/>
    <n v="1200"/>
    <n v="0"/>
    <s v="U26613"/>
    <s v="L1193/94"/>
    <x v="119"/>
    <m/>
    <m/>
    <m/>
    <n v="0"/>
    <m/>
    <m/>
  </r>
  <r>
    <n v="4056"/>
    <x v="50"/>
    <s v="Day"/>
    <x v="0"/>
    <n v="2000720672"/>
    <n v="7860"/>
    <n v="300"/>
    <n v="0"/>
    <s v="U26613"/>
    <s v="L1112/13"/>
    <x v="75"/>
    <m/>
    <m/>
    <m/>
    <n v="0"/>
    <m/>
    <m/>
  </r>
  <r>
    <n v="4057"/>
    <x v="50"/>
    <s v="Day"/>
    <x v="0"/>
    <n v="2000719738"/>
    <n v="3960"/>
    <n v="200"/>
    <n v="0"/>
    <s v="U26613"/>
    <s v="L1144/47"/>
    <x v="14"/>
    <m/>
    <m/>
    <m/>
    <n v="0"/>
    <m/>
    <m/>
  </r>
  <r>
    <n v="4058"/>
    <x v="50"/>
    <s v="Day"/>
    <x v="0"/>
    <n v="2000720197"/>
    <n v="1120"/>
    <n v="20"/>
    <n v="0"/>
    <s v="U30425"/>
    <s v="L1172/73"/>
    <x v="83"/>
    <m/>
    <m/>
    <m/>
    <n v="0"/>
    <m/>
    <m/>
  </r>
  <r>
    <n v="4059"/>
    <x v="50"/>
    <s v="Day"/>
    <x v="0"/>
    <n v="2000719986"/>
    <n v="1300"/>
    <n v="30"/>
    <n v="0"/>
    <s v="U30425"/>
    <s v="L1172/73"/>
    <x v="18"/>
    <m/>
    <m/>
    <m/>
    <n v="0"/>
    <m/>
    <m/>
  </r>
  <r>
    <n v="4060"/>
    <x v="50"/>
    <s v="Day"/>
    <x v="0"/>
    <n v="2000720433"/>
    <n v="1900"/>
    <n v="60"/>
    <n v="0"/>
    <s v="U30425"/>
    <s v="L1172/73"/>
    <x v="18"/>
    <m/>
    <m/>
    <m/>
    <n v="0"/>
    <m/>
    <m/>
  </r>
  <r>
    <n v="4061"/>
    <x v="50"/>
    <s v="Day"/>
    <x v="0"/>
    <n v="2000720624"/>
    <n v="1200"/>
    <n v="80"/>
    <n v="0"/>
    <s v="U30425"/>
    <s v="L1144/47"/>
    <x v="5"/>
    <m/>
    <m/>
    <m/>
    <n v="0"/>
    <m/>
    <m/>
  </r>
  <r>
    <n v="4062"/>
    <x v="50"/>
    <s v="Day"/>
    <x v="0"/>
    <n v="2000719922"/>
    <n v="2592"/>
    <n v="40"/>
    <n v="0"/>
    <s v="U30425"/>
    <s v="L1128/29"/>
    <x v="11"/>
    <m/>
    <m/>
    <m/>
    <n v="0"/>
    <m/>
    <m/>
  </r>
  <r>
    <n v="4063"/>
    <x v="50"/>
    <s v="Day"/>
    <x v="0"/>
    <n v="2000720664"/>
    <n v="4416"/>
    <n v="80"/>
    <n v="0"/>
    <s v="U30425"/>
    <s v="L1112/13"/>
    <x v="8"/>
    <m/>
    <m/>
    <m/>
    <n v="0"/>
    <m/>
    <m/>
  </r>
  <r>
    <n v="4064"/>
    <x v="50"/>
    <s v="Day"/>
    <x v="0"/>
    <n v="2000719862"/>
    <n v="2000"/>
    <n v="60"/>
    <n v="0"/>
    <s v="U30425"/>
    <s v="L1077"/>
    <x v="2"/>
    <m/>
    <m/>
    <m/>
    <n v="0"/>
    <m/>
    <m/>
  </r>
  <r>
    <n v="4065"/>
    <x v="50"/>
    <s v="Day"/>
    <x v="0"/>
    <n v="2000720911"/>
    <n v="1180"/>
    <n v="80"/>
    <n v="0"/>
    <s v="U30425"/>
    <s v="T541"/>
    <x v="94"/>
    <m/>
    <m/>
    <m/>
    <n v="0"/>
    <m/>
    <m/>
  </r>
  <r>
    <n v="4066"/>
    <x v="50"/>
    <s v="Day"/>
    <x v="0"/>
    <n v="2000720898"/>
    <n v="1610"/>
    <n v="100"/>
    <n v="0"/>
    <s v="U30425"/>
    <s v="L1174/75"/>
    <x v="61"/>
    <m/>
    <m/>
    <m/>
    <n v="0"/>
    <m/>
    <m/>
  </r>
  <r>
    <n v="4067"/>
    <x v="50"/>
    <s v="Day"/>
    <x v="0"/>
    <n v="2000720682"/>
    <n v="1200"/>
    <n v="40"/>
    <n v="0"/>
    <s v="U30425"/>
    <s v="L1144/47"/>
    <x v="59"/>
    <m/>
    <m/>
    <m/>
    <n v="0"/>
    <m/>
    <m/>
  </r>
  <r>
    <n v="4068"/>
    <x v="50"/>
    <s v="Night"/>
    <x v="0"/>
    <n v="2000719584"/>
    <n v="2800"/>
    <n v="150"/>
    <n v="0"/>
    <s v="U03968"/>
    <s v="L1144/47"/>
    <x v="13"/>
    <m/>
    <m/>
    <m/>
    <n v="0"/>
    <m/>
    <m/>
  </r>
  <r>
    <n v="4069"/>
    <x v="50"/>
    <s v="Night"/>
    <x v="0"/>
    <n v="2000720869"/>
    <n v="864"/>
    <n v="150"/>
    <n v="0"/>
    <s v="U03968"/>
    <s v="L1144/47"/>
    <x v="239"/>
    <m/>
    <m/>
    <m/>
    <n v="0"/>
    <m/>
    <m/>
  </r>
  <r>
    <n v="4070"/>
    <x v="50"/>
    <s v="Night"/>
    <x v="0"/>
    <n v="2000719861"/>
    <n v="2000"/>
    <n v="200"/>
    <n v="0"/>
    <s v="U03968"/>
    <s v="L1077"/>
    <x v="36"/>
    <m/>
    <m/>
    <m/>
    <n v="0"/>
    <m/>
    <m/>
  </r>
  <r>
    <n v="4071"/>
    <x v="50"/>
    <s v="Night"/>
    <x v="0"/>
    <n v="2000720182"/>
    <n v="4210"/>
    <n v="240"/>
    <n v="0"/>
    <s v="U03968"/>
    <s v="T515"/>
    <x v="15"/>
    <m/>
    <m/>
    <m/>
    <n v="0"/>
    <m/>
    <m/>
  </r>
  <r>
    <n v="4072"/>
    <x v="50"/>
    <s v="Night"/>
    <x v="0"/>
    <n v="2000719927"/>
    <n v="1200"/>
    <n v="200"/>
    <n v="0"/>
    <s v="U03968"/>
    <s v="L1174/75"/>
    <x v="62"/>
    <m/>
    <m/>
    <m/>
    <n v="0"/>
    <m/>
    <m/>
  </r>
  <r>
    <n v="4073"/>
    <x v="50"/>
    <s v="Night"/>
    <x v="0"/>
    <n v="2000720033"/>
    <n v="3216"/>
    <n v="816"/>
    <n v="0"/>
    <s v="U03968"/>
    <s v="L1193/94"/>
    <x v="119"/>
    <m/>
    <m/>
    <m/>
    <n v="0"/>
    <m/>
    <m/>
  </r>
  <r>
    <n v="4074"/>
    <x v="50"/>
    <s v="Night"/>
    <x v="0"/>
    <n v="2000719859"/>
    <n v="2000"/>
    <n v="150"/>
    <n v="0"/>
    <s v="U03968"/>
    <s v="L1077"/>
    <x v="33"/>
    <m/>
    <m/>
    <m/>
    <n v="0"/>
    <m/>
    <m/>
  </r>
  <r>
    <n v="4075"/>
    <x v="50"/>
    <s v="Night"/>
    <x v="0"/>
    <n v="2000715881"/>
    <n v="1020"/>
    <n v="150"/>
    <n v="0"/>
    <s v="U03968"/>
    <s v="L1144/47"/>
    <x v="74"/>
    <m/>
    <m/>
    <m/>
    <n v="0"/>
    <m/>
    <m/>
  </r>
  <r>
    <n v="4076"/>
    <x v="50"/>
    <s v="Night"/>
    <x v="0"/>
    <n v="2000720674"/>
    <n v="2400"/>
    <n v="200"/>
    <n v="0"/>
    <s v="U03968"/>
    <s v="L1174/75"/>
    <x v="66"/>
    <m/>
    <m/>
    <m/>
    <n v="0"/>
    <m/>
    <m/>
  </r>
  <r>
    <n v="4077"/>
    <x v="50"/>
    <s v="Night"/>
    <x v="0"/>
    <n v="2000719068"/>
    <n v="950"/>
    <n v="200"/>
    <n v="0"/>
    <s v="U03968"/>
    <s v="L1174/75"/>
    <x v="62"/>
    <m/>
    <m/>
    <m/>
    <n v="0"/>
    <m/>
    <m/>
  </r>
  <r>
    <n v="4078"/>
    <x v="50"/>
    <s v="Night"/>
    <x v="0"/>
    <n v="2000719299"/>
    <n v="1050"/>
    <n v="120"/>
    <n v="0"/>
    <s v="U03968"/>
    <s v="L1077"/>
    <x v="6"/>
    <m/>
    <m/>
    <m/>
    <n v="0"/>
    <m/>
    <m/>
  </r>
  <r>
    <n v="4079"/>
    <x v="50"/>
    <s v="Night"/>
    <x v="0"/>
    <n v="2000720661"/>
    <n v="640"/>
    <n v="320"/>
    <n v="0"/>
    <s v="U27723"/>
    <s v="L1188/89"/>
    <x v="47"/>
    <m/>
    <m/>
    <m/>
    <n v="0"/>
    <m/>
    <m/>
  </r>
  <r>
    <n v="4080"/>
    <x v="50"/>
    <s v="Night"/>
    <x v="0"/>
    <n v="2000720662"/>
    <n v="1220"/>
    <n v="40"/>
    <n v="0"/>
    <s v="U27723"/>
    <s v="L1188/89"/>
    <x v="0"/>
    <m/>
    <m/>
    <m/>
    <n v="0"/>
    <m/>
    <m/>
  </r>
  <r>
    <n v="4081"/>
    <x v="50"/>
    <s v="Night"/>
    <x v="0"/>
    <n v="2000720185"/>
    <n v="600"/>
    <n v="300"/>
    <n v="0"/>
    <s v="U27723"/>
    <s v="L1172/73"/>
    <x v="165"/>
    <m/>
    <m/>
    <m/>
    <n v="0"/>
    <m/>
    <m/>
  </r>
  <r>
    <n v="4082"/>
    <x v="50"/>
    <s v="Night"/>
    <x v="0"/>
    <n v="2000719036"/>
    <n v="600"/>
    <n v="147"/>
    <n v="0"/>
    <s v="U27723"/>
    <s v="L1172/73"/>
    <x v="165"/>
    <m/>
    <m/>
    <m/>
    <n v="0"/>
    <m/>
    <m/>
  </r>
  <r>
    <n v="4083"/>
    <x v="50"/>
    <s v="Night"/>
    <x v="0"/>
    <n v="2000719354"/>
    <n v="1200"/>
    <n v="240"/>
    <n v="0"/>
    <s v="U27723"/>
    <s v="L1193/94"/>
    <x v="65"/>
    <m/>
    <m/>
    <m/>
    <n v="0"/>
    <m/>
    <m/>
  </r>
  <r>
    <n v="4084"/>
    <x v="50"/>
    <s v="Night"/>
    <x v="0"/>
    <n v="2000720391"/>
    <n v="120"/>
    <n v="117"/>
    <n v="0"/>
    <s v="U27723"/>
    <s v="L1188/89"/>
    <x v="212"/>
    <m/>
    <m/>
    <m/>
    <n v="0"/>
    <m/>
    <m/>
  </r>
  <r>
    <n v="4085"/>
    <x v="50"/>
    <s v="Night"/>
    <x v="0"/>
    <n v="2000720856"/>
    <n v="1320"/>
    <n v="20"/>
    <n v="0"/>
    <s v="U27723"/>
    <s v="L1188/89"/>
    <x v="17"/>
    <m/>
    <m/>
    <m/>
    <n v="0"/>
    <m/>
    <m/>
  </r>
  <r>
    <n v="4086"/>
    <x v="50"/>
    <s v="Night"/>
    <x v="0"/>
    <n v="2000719972"/>
    <n v="1400"/>
    <n v="507"/>
    <n v="0"/>
    <s v="U32991"/>
    <s v="L1193/94"/>
    <x v="192"/>
    <m/>
    <m/>
    <m/>
    <n v="0"/>
    <m/>
    <m/>
  </r>
  <r>
    <n v="4087"/>
    <x v="50"/>
    <s v="Night"/>
    <x v="0"/>
    <n v="2000720441"/>
    <n v="850"/>
    <n v="60"/>
    <n v="0"/>
    <s v="U32991"/>
    <s v="L1193/94"/>
    <x v="21"/>
    <m/>
    <m/>
    <m/>
    <n v="0"/>
    <m/>
    <m/>
  </r>
  <r>
    <n v="4088"/>
    <x v="50"/>
    <s v="Night"/>
    <x v="0"/>
    <n v="2000720852"/>
    <n v="1000"/>
    <n v="213"/>
    <n v="0"/>
    <s v="U29686"/>
    <s v="L1188/89"/>
    <x v="84"/>
    <m/>
    <m/>
    <m/>
    <n v="0"/>
    <m/>
    <m/>
  </r>
  <r>
    <n v="4089"/>
    <x v="50"/>
    <s v="Night"/>
    <x v="0"/>
    <n v="2000720662"/>
    <n v="1220"/>
    <n v="120"/>
    <n v="0"/>
    <s v="U29686"/>
    <s v="L1188/89"/>
    <x v="0"/>
    <m/>
    <m/>
    <m/>
    <n v="0"/>
    <m/>
    <m/>
  </r>
  <r>
    <n v="4090"/>
    <x v="50"/>
    <s v="Night"/>
    <x v="0"/>
    <n v="2000720854"/>
    <n v="560"/>
    <n v="400"/>
    <n v="0"/>
    <s v="U29686"/>
    <s v="L1209/10"/>
    <x v="196"/>
    <m/>
    <m/>
    <m/>
    <n v="0"/>
    <m/>
    <m/>
  </r>
  <r>
    <n v="4091"/>
    <x v="50"/>
    <s v="Night"/>
    <x v="0"/>
    <n v="2000720682"/>
    <n v="1200"/>
    <n v="40"/>
    <n v="0"/>
    <s v="U36206"/>
    <s v="L1144/47"/>
    <x v="59"/>
    <m/>
    <m/>
    <m/>
    <n v="0"/>
    <m/>
    <m/>
  </r>
  <r>
    <n v="4092"/>
    <x v="50"/>
    <s v="Night"/>
    <x v="0"/>
    <n v="2000720898"/>
    <n v="1610"/>
    <n v="70"/>
    <n v="0"/>
    <s v="U36206"/>
    <s v="L1174/75"/>
    <x v="61"/>
    <m/>
    <m/>
    <m/>
    <n v="0"/>
    <m/>
    <m/>
  </r>
  <r>
    <n v="4093"/>
    <x v="50"/>
    <s v="Night"/>
    <x v="0"/>
    <n v="2000719862"/>
    <n v="2000"/>
    <n v="60"/>
    <n v="0"/>
    <s v="U36206"/>
    <s v="L1077"/>
    <x v="2"/>
    <m/>
    <m/>
    <m/>
    <n v="0"/>
    <m/>
    <m/>
  </r>
  <r>
    <n v="4094"/>
    <x v="50"/>
    <s v="Night"/>
    <x v="0"/>
    <n v="2000720606"/>
    <n v="2000"/>
    <n v="120"/>
    <n v="0"/>
    <s v="U36206"/>
    <s v="L1077"/>
    <x v="2"/>
    <m/>
    <m/>
    <m/>
    <n v="0"/>
    <m/>
    <m/>
  </r>
  <r>
    <n v="4095"/>
    <x v="50"/>
    <s v="Night"/>
    <x v="0"/>
    <n v="2000720690"/>
    <n v="150"/>
    <n v="20"/>
    <n v="0"/>
    <s v="U36206"/>
    <s v="L1105"/>
    <x v="126"/>
    <m/>
    <m/>
    <m/>
    <n v="0"/>
    <m/>
    <m/>
  </r>
  <r>
    <n v="4096"/>
    <x v="50"/>
    <s v="Night"/>
    <x v="0"/>
    <n v="2000720930"/>
    <n v="670"/>
    <n v="80"/>
    <n v="0"/>
    <s v="U36206"/>
    <s v="L1182"/>
    <x v="189"/>
    <m/>
    <m/>
    <m/>
    <n v="0"/>
    <m/>
    <m/>
  </r>
  <r>
    <n v="4097"/>
    <x v="50"/>
    <s v="Night"/>
    <x v="0"/>
    <n v="2000720222"/>
    <n v="2100"/>
    <n v="60"/>
    <n v="0"/>
    <s v="U36206"/>
    <s v="L1174/75"/>
    <x v="3"/>
    <m/>
    <m/>
    <m/>
    <n v="0"/>
    <m/>
    <m/>
  </r>
  <r>
    <n v="4098"/>
    <x v="50"/>
    <s v="Night"/>
    <x v="0"/>
    <n v="2000720661"/>
    <n v="640"/>
    <n v="80"/>
    <n v="0"/>
    <s v="U27687"/>
    <s v="L1188/89"/>
    <x v="47"/>
    <m/>
    <m/>
    <m/>
    <n v="0"/>
    <m/>
    <m/>
  </r>
  <r>
    <n v="4099"/>
    <x v="50"/>
    <s v="Night"/>
    <x v="0"/>
    <n v="2000720662"/>
    <n v="1220"/>
    <n v="480"/>
    <n v="0"/>
    <s v="U27687"/>
    <s v="L1188/89"/>
    <x v="0"/>
    <m/>
    <m/>
    <m/>
    <n v="0"/>
    <m/>
    <m/>
  </r>
  <r>
    <n v="4100"/>
    <x v="50"/>
    <s v="Night"/>
    <x v="0"/>
    <n v="2000720662"/>
    <n v="1220"/>
    <n v="180"/>
    <n v="0"/>
    <s v="U30840"/>
    <s v="L1188/89"/>
    <x v="0"/>
    <m/>
    <m/>
    <m/>
    <n v="0"/>
    <m/>
    <m/>
  </r>
  <r>
    <n v="4101"/>
    <x v="50"/>
    <s v="Night"/>
    <x v="0"/>
    <n v="2000720022"/>
    <n v="160"/>
    <n v="39"/>
    <n v="0"/>
    <s v="U18660"/>
    <s v="L1188/89"/>
    <x v="95"/>
    <m/>
    <m/>
    <m/>
    <n v="0"/>
    <m/>
    <m/>
  </r>
  <r>
    <n v="4102"/>
    <x v="50"/>
    <s v="Night"/>
    <x v="0"/>
    <n v="2000720661"/>
    <n v="640"/>
    <n v="80"/>
    <n v="0"/>
    <s v="U18660"/>
    <s v="L1188/89"/>
    <x v="47"/>
    <m/>
    <m/>
    <m/>
    <n v="0"/>
    <m/>
    <m/>
  </r>
  <r>
    <n v="4103"/>
    <x v="50"/>
    <s v="Night"/>
    <x v="0"/>
    <n v="2000720197"/>
    <n v="1120"/>
    <n v="60"/>
    <n v="0"/>
    <s v="U18660"/>
    <s v="L1172/73"/>
    <x v="83"/>
    <m/>
    <m/>
    <m/>
    <n v="0"/>
    <m/>
    <m/>
  </r>
  <r>
    <n v="4104"/>
    <x v="50"/>
    <s v="Night"/>
    <x v="0"/>
    <n v="2000720433"/>
    <n v="1900"/>
    <n v="60"/>
    <n v="0"/>
    <s v="U18660"/>
    <s v="L1172/73"/>
    <x v="18"/>
    <m/>
    <m/>
    <m/>
    <n v="0"/>
    <m/>
    <m/>
  </r>
  <r>
    <n v="4105"/>
    <x v="50"/>
    <s v="Night"/>
    <x v="0"/>
    <n v="2000720359"/>
    <n v="2004"/>
    <n v="120"/>
    <n v="0"/>
    <s v="U18660"/>
    <s v="L1168/69"/>
    <x v="37"/>
    <m/>
    <m/>
    <m/>
    <n v="0"/>
    <m/>
    <m/>
  </r>
  <r>
    <n v="4106"/>
    <x v="50"/>
    <s v="Night"/>
    <x v="0"/>
    <n v="2000720212"/>
    <n v="2608"/>
    <n v="160"/>
    <n v="0"/>
    <s v="U18660"/>
    <s v="L1128/29"/>
    <x v="11"/>
    <m/>
    <m/>
    <m/>
    <n v="0"/>
    <m/>
    <m/>
  </r>
  <r>
    <n v="4107"/>
    <x v="50"/>
    <s v="Night"/>
    <x v="0"/>
    <n v="2000720664"/>
    <n v="4416"/>
    <n v="160"/>
    <n v="0"/>
    <s v="U18660"/>
    <s v="L1112/13"/>
    <x v="8"/>
    <m/>
    <m/>
    <m/>
    <n v="0"/>
    <m/>
    <m/>
  </r>
  <r>
    <n v="4108"/>
    <x v="50"/>
    <s v="Night"/>
    <x v="0"/>
    <n v="2000720441"/>
    <n v="850"/>
    <n v="120"/>
    <n v="0"/>
    <s v="U18660"/>
    <s v="L1193/94"/>
    <x v="21"/>
    <m/>
    <m/>
    <m/>
    <n v="0"/>
    <m/>
    <m/>
  </r>
  <r>
    <n v="4109"/>
    <x v="50"/>
    <s v="Night"/>
    <x v="0"/>
    <n v="2000720852"/>
    <n v="1000"/>
    <n v="90"/>
    <n v="0"/>
    <s v="U05944"/>
    <s v="L1188/89"/>
    <x v="84"/>
    <m/>
    <m/>
    <m/>
    <n v="0"/>
    <m/>
    <m/>
  </r>
  <r>
    <n v="4110"/>
    <x v="50"/>
    <s v="Night"/>
    <x v="0"/>
    <n v="2000720662"/>
    <n v="1220"/>
    <n v="314"/>
    <n v="0"/>
    <s v="U05944"/>
    <s v="L1188/89"/>
    <x v="0"/>
    <m/>
    <m/>
    <m/>
    <n v="0"/>
    <m/>
    <m/>
  </r>
  <r>
    <n v="4111"/>
    <x v="50"/>
    <s v="Night"/>
    <x v="0"/>
    <n v="2000720661"/>
    <n v="640"/>
    <n v="158"/>
    <n v="0"/>
    <s v="U05944"/>
    <s v="L1188/89"/>
    <x v="47"/>
    <m/>
    <m/>
    <m/>
    <n v="0"/>
    <m/>
    <m/>
  </r>
  <r>
    <n v="4112"/>
    <x v="50"/>
    <s v="Night"/>
    <x v="1"/>
    <n v="2000720502"/>
    <n v="650"/>
    <n v="70"/>
    <n v="0"/>
    <s v="U15759"/>
    <s v="SHANKS"/>
    <x v="24"/>
    <m/>
    <m/>
    <m/>
    <n v="0"/>
    <m/>
    <m/>
  </r>
  <r>
    <n v="4113"/>
    <x v="50"/>
    <s v="Night"/>
    <x v="1"/>
    <n v="2000720199"/>
    <n v="620"/>
    <n v="300"/>
    <n v="0"/>
    <s v="U15759"/>
    <s v="FLORA"/>
    <x v="180"/>
    <m/>
    <m/>
    <m/>
    <n v="0"/>
    <m/>
    <m/>
  </r>
  <r>
    <n v="4114"/>
    <x v="50"/>
    <s v="Night"/>
    <x v="1"/>
    <n v="2000718982"/>
    <n v="210"/>
    <n v="40"/>
    <n v="0"/>
    <s v="U15759"/>
    <s v="PSLV"/>
    <x v="135"/>
    <m/>
    <m/>
    <m/>
    <n v="0"/>
    <m/>
    <m/>
  </r>
  <r>
    <n v="4115"/>
    <x v="50"/>
    <s v="Night"/>
    <x v="1"/>
    <n v="2000716870"/>
    <n v="400"/>
    <n v="227"/>
    <n v="0"/>
    <s v="U15759"/>
    <s v="PSHV"/>
    <x v="29"/>
    <m/>
    <m/>
    <m/>
    <n v="0"/>
    <m/>
    <m/>
  </r>
  <r>
    <n v="4116"/>
    <x v="50"/>
    <s v="Night"/>
    <x v="1"/>
    <n v="2000720168"/>
    <n v="450"/>
    <n v="90"/>
    <n v="0"/>
    <s v="U15759"/>
    <s v="SHANKS"/>
    <x v="106"/>
    <m/>
    <m/>
    <m/>
    <n v="0"/>
    <m/>
    <m/>
  </r>
  <r>
    <n v="4117"/>
    <x v="50"/>
    <s v="Night"/>
    <x v="1"/>
    <n v="2000718017"/>
    <n v="160"/>
    <n v="45"/>
    <n v="0"/>
    <s v="U15759"/>
    <s v="PSLV"/>
    <x v="128"/>
    <m/>
    <m/>
    <m/>
    <n v="0"/>
    <m/>
    <m/>
  </r>
  <r>
    <n v="4118"/>
    <x v="50"/>
    <s v="Night"/>
    <x v="1"/>
    <n v="2000720499"/>
    <n v="1080"/>
    <n v="120"/>
    <n v="0"/>
    <s v="U15759"/>
    <s v="SHANKS"/>
    <x v="67"/>
    <m/>
    <m/>
    <m/>
    <n v="0"/>
    <m/>
    <m/>
  </r>
  <r>
    <n v="4119"/>
    <x v="51"/>
    <s v="Day"/>
    <x v="1"/>
    <n v="2000720199"/>
    <n v="620"/>
    <n v="60"/>
    <n v="0"/>
    <s v="U30119"/>
    <s v="FLORA"/>
    <x v="180"/>
    <m/>
    <m/>
    <m/>
    <n v="0"/>
    <m/>
    <m/>
  </r>
  <r>
    <n v="4120"/>
    <x v="51"/>
    <s v="Day"/>
    <x v="1"/>
    <n v="2000720166"/>
    <n v="620"/>
    <n v="290"/>
    <n v="0"/>
    <s v="U30119"/>
    <s v="FLORA"/>
    <x v="180"/>
    <m/>
    <m/>
    <m/>
    <n v="0"/>
    <m/>
    <m/>
  </r>
  <r>
    <n v="4121"/>
    <x v="51"/>
    <s v="Day"/>
    <x v="1"/>
    <n v="2000720791"/>
    <n v="350"/>
    <n v="100"/>
    <n v="0"/>
    <s v="U30119"/>
    <s v="PSHV"/>
    <x v="96"/>
    <m/>
    <m/>
    <m/>
    <n v="0"/>
    <m/>
    <m/>
  </r>
  <r>
    <n v="4122"/>
    <x v="51"/>
    <s v="Day"/>
    <x v="1"/>
    <n v="2000720315"/>
    <n v="620"/>
    <n v="620"/>
    <n v="0"/>
    <s v="U30119"/>
    <s v="LVHV"/>
    <x v="29"/>
    <m/>
    <m/>
    <m/>
    <n v="0"/>
    <m/>
    <m/>
  </r>
  <r>
    <n v="4123"/>
    <x v="51"/>
    <s v="Day"/>
    <x v="0"/>
    <n v="2000720851"/>
    <n v="1000"/>
    <n v="135"/>
    <n v="0"/>
    <s v="U09749"/>
    <s v="L1209/10"/>
    <x v="196"/>
    <m/>
    <m/>
    <m/>
    <n v="0"/>
    <m/>
    <m/>
  </r>
  <r>
    <n v="4124"/>
    <x v="51"/>
    <s v="Day"/>
    <x v="0"/>
    <n v="2000720854"/>
    <n v="560"/>
    <n v="160"/>
    <n v="0"/>
    <s v="U36008"/>
    <s v="L1209/10"/>
    <x v="196"/>
    <m/>
    <m/>
    <m/>
    <n v="0"/>
    <m/>
    <m/>
  </r>
  <r>
    <n v="4125"/>
    <x v="51"/>
    <s v="Day"/>
    <x v="0"/>
    <n v="2000720851"/>
    <n v="1000"/>
    <n v="495"/>
    <n v="0"/>
    <s v="U36008"/>
    <s v="L1209/10"/>
    <x v="196"/>
    <m/>
    <m/>
    <m/>
    <n v="0"/>
    <m/>
    <m/>
  </r>
  <r>
    <n v="4126"/>
    <x v="51"/>
    <s v="Day"/>
    <x v="0"/>
    <n v="2000720625"/>
    <n v="1200"/>
    <n v="90"/>
    <n v="0"/>
    <s v="U30425"/>
    <s v="L1144/47"/>
    <x v="56"/>
    <m/>
    <m/>
    <m/>
    <n v="0"/>
    <m/>
    <m/>
  </r>
  <r>
    <n v="4127"/>
    <x v="51"/>
    <s v="Day"/>
    <x v="0"/>
    <n v="2000720682"/>
    <n v="1200"/>
    <n v="40"/>
    <n v="0"/>
    <s v="U30425"/>
    <s v="L1144/47"/>
    <x v="59"/>
    <m/>
    <m/>
    <m/>
    <n v="0"/>
    <m/>
    <m/>
  </r>
  <r>
    <n v="4128"/>
    <x v="51"/>
    <s v="Day"/>
    <x v="0"/>
    <n v="2000720856"/>
    <n v="1320"/>
    <n v="40"/>
    <n v="0"/>
    <s v="U30425"/>
    <s v="L1188/89"/>
    <x v="17"/>
    <m/>
    <m/>
    <m/>
    <n v="0"/>
    <m/>
    <m/>
  </r>
  <r>
    <n v="4129"/>
    <x v="51"/>
    <s v="Day"/>
    <x v="0"/>
    <n v="2000720222"/>
    <n v="210"/>
    <n v="60"/>
    <n v="0"/>
    <s v="U30425"/>
    <s v="L1174/75"/>
    <x v="3"/>
    <m/>
    <m/>
    <m/>
    <n v="0"/>
    <m/>
    <m/>
  </r>
  <r>
    <n v="4130"/>
    <x v="51"/>
    <s v="Day"/>
    <x v="0"/>
    <n v="2000720650"/>
    <n v="3999"/>
    <n v="240"/>
    <n v="0"/>
    <s v="U30425"/>
    <s v="L1168/69"/>
    <x v="37"/>
    <m/>
    <m/>
    <m/>
    <n v="0"/>
    <m/>
    <m/>
  </r>
  <r>
    <n v="4131"/>
    <x v="51"/>
    <s v="Day"/>
    <x v="0"/>
    <n v="2000720912"/>
    <n v="1200"/>
    <n v="100"/>
    <n v="0"/>
    <s v="U30425"/>
    <s v="L1144/47"/>
    <x v="39"/>
    <m/>
    <m/>
    <m/>
    <n v="0"/>
    <m/>
    <m/>
  </r>
  <r>
    <n v="4132"/>
    <x v="51"/>
    <s v="Day"/>
    <x v="0"/>
    <n v="2000720211"/>
    <n v="4400"/>
    <n v="160"/>
    <n v="0"/>
    <s v="U30425"/>
    <s v="L1112/13"/>
    <x v="8"/>
    <m/>
    <m/>
    <m/>
    <n v="0"/>
    <m/>
    <m/>
  </r>
  <r>
    <n v="4133"/>
    <x v="51"/>
    <s v="Day"/>
    <x v="0"/>
    <n v="2000720856"/>
    <n v="1320"/>
    <n v="340"/>
    <n v="0"/>
    <s v="U27724"/>
    <s v="L1188/89"/>
    <x v="17"/>
    <m/>
    <m/>
    <m/>
    <n v="0"/>
    <m/>
    <m/>
  </r>
  <r>
    <n v="4134"/>
    <x v="51"/>
    <s v="Day"/>
    <x v="0"/>
    <n v="2000720024"/>
    <n v="150"/>
    <n v="1"/>
    <n v="0"/>
    <s v="U27724"/>
    <s v="L1188/89"/>
    <x v="17"/>
    <m/>
    <m/>
    <m/>
    <n v="0"/>
    <m/>
    <m/>
  </r>
  <r>
    <n v="4135"/>
    <x v="51"/>
    <s v="Day"/>
    <x v="0"/>
    <n v="2000720858"/>
    <n v="600"/>
    <n v="10"/>
    <n v="0"/>
    <s v="U27724"/>
    <s v="L1188/89"/>
    <x v="122"/>
    <m/>
    <m/>
    <m/>
    <n v="0"/>
    <m/>
    <m/>
  </r>
  <r>
    <n v="4136"/>
    <x v="51"/>
    <s v="Day"/>
    <x v="0"/>
    <n v="2000720857"/>
    <n v="760"/>
    <n v="440"/>
    <n v="0"/>
    <s v="U27724"/>
    <s v="L1188/89"/>
    <x v="98"/>
    <m/>
    <m/>
    <m/>
    <n v="0"/>
    <m/>
    <m/>
  </r>
  <r>
    <n v="4137"/>
    <x v="51"/>
    <s v="Day"/>
    <x v="0"/>
    <n v="2000720670"/>
    <n v="3200"/>
    <n v="2400"/>
    <n v="0"/>
    <s v="U26613"/>
    <s v="L1193/94"/>
    <x v="119"/>
    <m/>
    <m/>
    <m/>
    <n v="0"/>
    <m/>
    <m/>
  </r>
  <r>
    <n v="4138"/>
    <x v="51"/>
    <s v="Day"/>
    <x v="0"/>
    <n v="2000720179"/>
    <n v="1246"/>
    <n v="425"/>
    <n v="0"/>
    <s v="U26613"/>
    <s v="L1151/52"/>
    <x v="173"/>
    <m/>
    <m/>
    <m/>
    <n v="0"/>
    <m/>
    <m/>
  </r>
  <r>
    <n v="4139"/>
    <x v="51"/>
    <s v="Day"/>
    <x v="0"/>
    <n v="2000720184"/>
    <n v="1800"/>
    <n v="160"/>
    <n v="0"/>
    <s v="U26613"/>
    <s v="L1151/52"/>
    <x v="85"/>
    <m/>
    <m/>
    <m/>
    <n v="0"/>
    <m/>
    <m/>
  </r>
  <r>
    <n v="4140"/>
    <x v="51"/>
    <s v="Day"/>
    <x v="0"/>
    <n v="2000720856"/>
    <n v="1320"/>
    <n v="240"/>
    <n v="0"/>
    <s v="U23987"/>
    <s v="L1188/89"/>
    <x v="17"/>
    <m/>
    <m/>
    <m/>
    <n v="0"/>
    <m/>
    <m/>
  </r>
  <r>
    <n v="4141"/>
    <x v="51"/>
    <s v="Day"/>
    <x v="0"/>
    <n v="2000720663"/>
    <n v="200"/>
    <n v="199"/>
    <n v="0"/>
    <s v="U23987"/>
    <s v="L1188/89"/>
    <x v="168"/>
    <m/>
    <m/>
    <m/>
    <n v="0"/>
    <m/>
    <m/>
  </r>
  <r>
    <n v="4142"/>
    <x v="51"/>
    <s v="Day"/>
    <x v="0"/>
    <n v="2000720857"/>
    <n v="760"/>
    <n v="40"/>
    <n v="0"/>
    <s v="U23987"/>
    <s v="L1188/89"/>
    <x v="98"/>
    <m/>
    <m/>
    <m/>
    <n v="0"/>
    <m/>
    <m/>
  </r>
  <r>
    <n v="4143"/>
    <x v="51"/>
    <s v="Day"/>
    <x v="0"/>
    <n v="2000720441"/>
    <n v="850"/>
    <n v="90"/>
    <n v="0"/>
    <s v="U31065"/>
    <s v="L1193/94"/>
    <x v="21"/>
    <m/>
    <m/>
    <m/>
    <n v="0"/>
    <m/>
    <m/>
  </r>
  <r>
    <n v="4144"/>
    <x v="51"/>
    <s v="Day"/>
    <x v="0"/>
    <n v="2000720838"/>
    <n v="390"/>
    <n v="390"/>
    <n v="0"/>
    <s v="U31065"/>
    <s v="L1172/73"/>
    <x v="145"/>
    <m/>
    <m/>
    <m/>
    <n v="0"/>
    <m/>
    <m/>
  </r>
  <r>
    <n v="4145"/>
    <x v="51"/>
    <s v="Day"/>
    <x v="0"/>
    <n v="2000720198"/>
    <n v="240"/>
    <n v="120"/>
    <n v="0"/>
    <s v="U31065"/>
    <s v="L1193/94"/>
    <x v="119"/>
    <m/>
    <m/>
    <m/>
    <n v="0"/>
    <m/>
    <m/>
  </r>
  <r>
    <n v="4146"/>
    <x v="51"/>
    <s v="Day"/>
    <x v="0"/>
    <n v="2000720184"/>
    <n v="1800"/>
    <n v="80"/>
    <n v="0"/>
    <s v="U09854"/>
    <s v="L1151/52"/>
    <x v="85"/>
    <m/>
    <m/>
    <m/>
    <n v="0"/>
    <m/>
    <m/>
  </r>
  <r>
    <n v="4147"/>
    <x v="51"/>
    <s v="Day"/>
    <x v="0"/>
    <n v="2000720180"/>
    <n v="1120"/>
    <n v="200"/>
    <n v="0"/>
    <s v="U09854"/>
    <s v="L1151/52"/>
    <x v="185"/>
    <m/>
    <m/>
    <m/>
    <n v="0"/>
    <m/>
    <m/>
  </r>
  <r>
    <n v="4148"/>
    <x v="51"/>
    <s v="Day"/>
    <x v="0"/>
    <n v="2000720441"/>
    <n v="850"/>
    <n v="430"/>
    <n v="0"/>
    <s v="U09854"/>
    <s v="L1193/94"/>
    <x v="21"/>
    <m/>
    <m/>
    <m/>
    <n v="0"/>
    <m/>
    <m/>
  </r>
  <r>
    <n v="4149"/>
    <x v="51"/>
    <s v="Day"/>
    <x v="0"/>
    <n v="2000720851"/>
    <n v="1000"/>
    <n v="90"/>
    <n v="0"/>
    <s v="U09854"/>
    <s v="L1209/10"/>
    <x v="196"/>
    <m/>
    <m/>
    <m/>
    <n v="0"/>
    <m/>
    <m/>
  </r>
  <r>
    <n v="4150"/>
    <x v="51"/>
    <s v="Day"/>
    <x v="0"/>
    <n v="2000720180"/>
    <n v="1120"/>
    <n v="196"/>
    <n v="0"/>
    <s v="U30500"/>
    <s v="L1151/52"/>
    <x v="185"/>
    <m/>
    <m/>
    <m/>
    <n v="0"/>
    <m/>
    <m/>
  </r>
  <r>
    <n v="4151"/>
    <x v="51"/>
    <s v="Day"/>
    <x v="0"/>
    <n v="2000714131"/>
    <n v="920"/>
    <n v="3"/>
    <n v="0"/>
    <s v="U30500"/>
    <s v="L1151/52"/>
    <x v="185"/>
    <m/>
    <m/>
    <m/>
    <n v="0"/>
    <m/>
    <m/>
  </r>
  <r>
    <n v="4152"/>
    <x v="51"/>
    <s v="Day"/>
    <x v="0"/>
    <n v="2000720932"/>
    <n v="670"/>
    <n v="100"/>
    <n v="0"/>
    <s v="U30500"/>
    <s v="L1182"/>
    <x v="142"/>
    <m/>
    <m/>
    <m/>
    <n v="0"/>
    <m/>
    <m/>
  </r>
  <r>
    <n v="4153"/>
    <x v="51"/>
    <s v="Day"/>
    <x v="0"/>
    <n v="2000720933"/>
    <n v="670"/>
    <n v="150"/>
    <n v="0"/>
    <s v="U30500"/>
    <s v="L1182"/>
    <x v="143"/>
    <m/>
    <m/>
    <m/>
    <n v="0"/>
    <m/>
    <m/>
  </r>
  <r>
    <n v="4154"/>
    <x v="51"/>
    <s v="Day"/>
    <x v="0"/>
    <n v="2000720931"/>
    <n v="670"/>
    <n v="100"/>
    <n v="0"/>
    <s v="U30500"/>
    <s v="L1182"/>
    <x v="144"/>
    <m/>
    <m/>
    <m/>
    <n v="0"/>
    <m/>
    <m/>
  </r>
  <r>
    <n v="4155"/>
    <x v="51"/>
    <s v="Day"/>
    <x v="0"/>
    <n v="2000720605"/>
    <n v="2000"/>
    <n v="125"/>
    <n v="0"/>
    <s v="U30500"/>
    <s v="L1077"/>
    <x v="36"/>
    <m/>
    <m/>
    <m/>
    <n v="0"/>
    <m/>
    <m/>
  </r>
  <r>
    <n v="4156"/>
    <x v="51"/>
    <s v="Day"/>
    <x v="0"/>
    <n v="2000720844"/>
    <n v="7830"/>
    <n v="300"/>
    <n v="0"/>
    <s v="U30500"/>
    <s v="L1112/13"/>
    <x v="75"/>
    <m/>
    <m/>
    <m/>
    <n v="0"/>
    <m/>
    <m/>
  </r>
  <r>
    <n v="4157"/>
    <x v="51"/>
    <s v="Day"/>
    <x v="0"/>
    <n v="2000720602"/>
    <n v="2000"/>
    <n v="150"/>
    <n v="0"/>
    <s v="U30500"/>
    <s v="L1077"/>
    <x v="10"/>
    <m/>
    <m/>
    <m/>
    <n v="0"/>
    <m/>
    <m/>
  </r>
  <r>
    <n v="4158"/>
    <x v="51"/>
    <s v="Day"/>
    <x v="0"/>
    <n v="2000720184"/>
    <n v="1800"/>
    <n v="280"/>
    <n v="0"/>
    <s v="U30500"/>
    <s v="L1151/52"/>
    <x v="85"/>
    <m/>
    <m/>
    <m/>
    <n v="0"/>
    <m/>
    <m/>
  </r>
  <r>
    <n v="4159"/>
    <x v="51"/>
    <s v="Night"/>
    <x v="0"/>
    <n v="2000720625"/>
    <n v="1200"/>
    <n v="10"/>
    <n v="0"/>
    <s v="U36206"/>
    <s v="L1144/47"/>
    <x v="56"/>
    <m/>
    <m/>
    <m/>
    <n v="0"/>
    <m/>
    <m/>
  </r>
  <r>
    <n v="4160"/>
    <x v="51"/>
    <s v="Night"/>
    <x v="0"/>
    <n v="2000720222"/>
    <n v="2100"/>
    <n v="40"/>
    <n v="0"/>
    <s v="U36206"/>
    <s v="L1174/75"/>
    <x v="3"/>
    <m/>
    <m/>
    <m/>
    <n v="0"/>
    <m/>
    <m/>
  </r>
  <r>
    <n v="4161"/>
    <x v="51"/>
    <s v="Night"/>
    <x v="0"/>
    <n v="2000720686"/>
    <n v="1500"/>
    <n v="120"/>
    <n v="0"/>
    <s v="U36206"/>
    <s v="L1144/47"/>
    <x v="59"/>
    <m/>
    <m/>
    <m/>
    <n v="0"/>
    <m/>
    <m/>
  </r>
  <r>
    <n v="4162"/>
    <x v="51"/>
    <s v="Night"/>
    <x v="0"/>
    <n v="2000720598"/>
    <n v="3400"/>
    <n v="230"/>
    <n v="0"/>
    <s v="U36206"/>
    <s v="L1174/75"/>
    <x v="3"/>
    <m/>
    <m/>
    <m/>
    <n v="0"/>
    <m/>
    <m/>
  </r>
  <r>
    <n v="4163"/>
    <x v="51"/>
    <s v="Night"/>
    <x v="0"/>
    <n v="2000720599"/>
    <n v="340"/>
    <n v="80"/>
    <n v="0"/>
    <s v="U36206"/>
    <s v="L1174/75"/>
    <x v="40"/>
    <m/>
    <m/>
    <m/>
    <n v="0"/>
    <m/>
    <m/>
  </r>
  <r>
    <n v="4164"/>
    <x v="51"/>
    <s v="Night"/>
    <x v="0"/>
    <n v="2000720878"/>
    <n v="1000"/>
    <n v="80"/>
    <n v="0"/>
    <s v="U36206"/>
    <s v="L1077"/>
    <x v="2"/>
    <m/>
    <m/>
    <m/>
    <n v="0"/>
    <m/>
    <m/>
  </r>
  <r>
    <n v="4165"/>
    <x v="51"/>
    <s v="Night"/>
    <x v="0"/>
    <n v="2000720858"/>
    <n v="600"/>
    <n v="70"/>
    <n v="0"/>
    <s v="U27687"/>
    <s v="L1188/89"/>
    <x v="122"/>
    <m/>
    <m/>
    <m/>
    <n v="0"/>
    <m/>
    <m/>
  </r>
  <r>
    <n v="4166"/>
    <x v="51"/>
    <s v="Night"/>
    <x v="0"/>
    <n v="2000720589"/>
    <n v="1280"/>
    <n v="120"/>
    <n v="0"/>
    <s v="U27687"/>
    <s v="L1172/73"/>
    <x v="19"/>
    <m/>
    <m/>
    <m/>
    <n v="0"/>
    <m/>
    <m/>
  </r>
  <r>
    <n v="4167"/>
    <x v="51"/>
    <s v="Night"/>
    <x v="0"/>
    <n v="2000721355"/>
    <n v="1200"/>
    <n v="80"/>
    <n v="0"/>
    <s v="U27687"/>
    <s v="L1168/69"/>
    <x v="257"/>
    <m/>
    <m/>
    <m/>
    <n v="0"/>
    <m/>
    <m/>
  </r>
  <r>
    <n v="4168"/>
    <x v="51"/>
    <s v="Night"/>
    <x v="0"/>
    <n v="2000720211"/>
    <n v="4400"/>
    <n v="80"/>
    <n v="0"/>
    <s v="U27687"/>
    <s v="L1112/13"/>
    <x v="8"/>
    <m/>
    <m/>
    <m/>
    <n v="0"/>
    <m/>
    <m/>
  </r>
  <r>
    <n v="4169"/>
    <x v="51"/>
    <s v="Night"/>
    <x v="0"/>
    <n v="2000719551"/>
    <n v="430"/>
    <n v="30"/>
    <n v="0"/>
    <s v="U27687"/>
    <s v="L1193/94"/>
    <x v="116"/>
    <m/>
    <m/>
    <m/>
    <n v="0"/>
    <m/>
    <m/>
  </r>
  <r>
    <n v="4170"/>
    <x v="51"/>
    <s v="Night"/>
    <x v="0"/>
    <n v="2000720617"/>
    <n v="390"/>
    <n v="90"/>
    <n v="0"/>
    <s v="U27687"/>
    <s v="L1193/94"/>
    <x v="21"/>
    <m/>
    <m/>
    <m/>
    <n v="0"/>
    <m/>
    <m/>
  </r>
  <r>
    <n v="4171"/>
    <x v="51"/>
    <s v="Night"/>
    <x v="0"/>
    <n v="2000720686"/>
    <n v="1500"/>
    <n v="40"/>
    <n v="0"/>
    <s v="U27687"/>
    <s v="L1144/47"/>
    <x v="59"/>
    <m/>
    <m/>
    <m/>
    <n v="0"/>
    <m/>
    <m/>
  </r>
  <r>
    <n v="4172"/>
    <x v="51"/>
    <s v="Night"/>
    <x v="0"/>
    <n v="2000720632"/>
    <n v="984"/>
    <n v="90"/>
    <n v="0"/>
    <s v="U27687"/>
    <s v="L1188/89"/>
    <x v="109"/>
    <m/>
    <m/>
    <m/>
    <n v="0"/>
    <m/>
    <m/>
  </r>
  <r>
    <n v="4173"/>
    <x v="51"/>
    <s v="Night"/>
    <x v="0"/>
    <n v="2000720858"/>
    <n v="600"/>
    <n v="516"/>
    <n v="0"/>
    <s v="U27723"/>
    <s v="L1188/89"/>
    <x v="122"/>
    <m/>
    <m/>
    <m/>
    <n v="0"/>
    <m/>
    <m/>
  </r>
  <r>
    <n v="4174"/>
    <x v="51"/>
    <s v="Night"/>
    <x v="0"/>
    <n v="2000720856"/>
    <n v="1320"/>
    <n v="32"/>
    <n v="0"/>
    <s v="U27723"/>
    <s v="L1188/89"/>
    <x v="17"/>
    <m/>
    <m/>
    <m/>
    <n v="0"/>
    <m/>
    <m/>
  </r>
  <r>
    <n v="4175"/>
    <x v="51"/>
    <s v="Night"/>
    <x v="0"/>
    <n v="2000720860"/>
    <n v="1260"/>
    <n v="140"/>
    <n v="0"/>
    <s v="U27723"/>
    <s v="L1188/89"/>
    <x v="17"/>
    <m/>
    <m/>
    <m/>
    <n v="0"/>
    <m/>
    <m/>
  </r>
  <r>
    <n v="4176"/>
    <x v="51"/>
    <s v="Night"/>
    <x v="0"/>
    <n v="2000720851"/>
    <n v="1000"/>
    <n v="182"/>
    <n v="0"/>
    <s v="U29686"/>
    <s v="L1209/10"/>
    <x v="196"/>
    <m/>
    <m/>
    <m/>
    <n v="0"/>
    <m/>
    <m/>
  </r>
  <r>
    <n v="4177"/>
    <x v="51"/>
    <s v="Night"/>
    <x v="0"/>
    <n v="2000720632"/>
    <n v="984"/>
    <n v="525"/>
    <n v="0"/>
    <s v="U29686"/>
    <s v="L1188/89"/>
    <x v="109"/>
    <m/>
    <m/>
    <m/>
    <n v="0"/>
    <m/>
    <m/>
  </r>
  <r>
    <n v="4178"/>
    <x v="51"/>
    <s v="Night"/>
    <x v="0"/>
    <n v="2000720670"/>
    <n v="3200"/>
    <n v="800"/>
    <n v="0"/>
    <s v="U03968"/>
    <s v="L1193/94"/>
    <x v="119"/>
    <m/>
    <m/>
    <m/>
    <n v="0"/>
    <m/>
    <m/>
  </r>
  <r>
    <n v="4179"/>
    <x v="51"/>
    <s v="Night"/>
    <x v="0"/>
    <n v="2000720221"/>
    <n v="2100"/>
    <n v="200"/>
    <n v="0"/>
    <s v="U03968"/>
    <s v="L1174/75"/>
    <x v="62"/>
    <m/>
    <m/>
    <m/>
    <n v="0"/>
    <m/>
    <m/>
  </r>
  <r>
    <n v="4180"/>
    <x v="51"/>
    <s v="Night"/>
    <x v="0"/>
    <n v="2000719739"/>
    <n v="3600"/>
    <n v="240"/>
    <n v="0"/>
    <s v="U03968"/>
    <s v="L1172/73"/>
    <x v="7"/>
    <m/>
    <m/>
    <m/>
    <n v="0"/>
    <m/>
    <m/>
  </r>
  <r>
    <n v="4181"/>
    <x v="51"/>
    <s v="Night"/>
    <x v="0"/>
    <n v="2000719540"/>
    <n v="1050"/>
    <n v="120"/>
    <n v="0"/>
    <s v="U03968"/>
    <s v="L1077"/>
    <x v="149"/>
    <m/>
    <m/>
    <m/>
    <n v="0"/>
    <m/>
    <m/>
  </r>
  <r>
    <n v="4182"/>
    <x v="51"/>
    <s v="Night"/>
    <x v="0"/>
    <n v="2000720687"/>
    <n v="150"/>
    <n v="40"/>
    <n v="0"/>
    <s v="U03968"/>
    <s v="L1105"/>
    <x v="149"/>
    <m/>
    <m/>
    <m/>
    <n v="0"/>
    <m/>
    <m/>
  </r>
  <r>
    <n v="4183"/>
    <x v="51"/>
    <s v="Night"/>
    <x v="0"/>
    <n v="2000720688"/>
    <n v="150"/>
    <n v="50"/>
    <n v="0"/>
    <s v="U03968"/>
    <s v="L1105"/>
    <x v="150"/>
    <m/>
    <m/>
    <m/>
    <n v="0"/>
    <m/>
    <m/>
  </r>
  <r>
    <n v="4184"/>
    <x v="51"/>
    <s v="Night"/>
    <x v="0"/>
    <n v="2000720032"/>
    <n v="3978"/>
    <n v="200"/>
    <n v="0"/>
    <s v="U03968"/>
    <s v="L1144/47"/>
    <x v="14"/>
    <m/>
    <m/>
    <m/>
    <n v="0"/>
    <m/>
    <m/>
  </r>
  <r>
    <n v="4185"/>
    <x v="51"/>
    <s v="Night"/>
    <x v="0"/>
    <n v="2000720689"/>
    <n v="150"/>
    <n v="20"/>
    <n v="0"/>
    <s v="U03968"/>
    <s v="L1105"/>
    <x v="151"/>
    <m/>
    <m/>
    <m/>
    <n v="0"/>
    <m/>
    <m/>
  </r>
  <r>
    <n v="4186"/>
    <x v="51"/>
    <s v="Night"/>
    <x v="0"/>
    <n v="2000720184"/>
    <n v="1800"/>
    <n v="160"/>
    <n v="0"/>
    <s v="U03968"/>
    <s v="L1151/52"/>
    <x v="210"/>
    <m/>
    <m/>
    <m/>
    <n v="0"/>
    <m/>
    <m/>
  </r>
  <r>
    <n v="4187"/>
    <x v="51"/>
    <s v="Night"/>
    <x v="0"/>
    <n v="2000720603"/>
    <n v="2000"/>
    <n v="150"/>
    <n v="0"/>
    <s v="U03968"/>
    <s v="L1077"/>
    <x v="33"/>
    <m/>
    <m/>
    <m/>
    <n v="0"/>
    <m/>
    <m/>
  </r>
  <r>
    <n v="4188"/>
    <x v="51"/>
    <s v="Night"/>
    <x v="0"/>
    <n v="2000720596"/>
    <n v="340"/>
    <n v="100"/>
    <n v="0"/>
    <s v="U03968"/>
    <s v="L1174/75"/>
    <x v="62"/>
    <m/>
    <m/>
    <m/>
    <n v="0"/>
    <m/>
    <m/>
  </r>
  <r>
    <n v="4189"/>
    <x v="51"/>
    <s v="Night"/>
    <x v="0"/>
    <n v="2000720597"/>
    <n v="3400"/>
    <n v="200"/>
    <n v="0"/>
    <s v="U03968"/>
    <s v="L1174/75"/>
    <x v="62"/>
    <m/>
    <m/>
    <m/>
    <n v="0"/>
    <m/>
    <m/>
  </r>
  <r>
    <n v="4190"/>
    <x v="51"/>
    <s v="Night"/>
    <x v="0"/>
    <n v="2000719860"/>
    <n v="2000"/>
    <n v="160"/>
    <n v="0"/>
    <s v="U03968"/>
    <s v="L1077"/>
    <x v="6"/>
    <m/>
    <m/>
    <m/>
    <n v="0"/>
    <m/>
    <m/>
  </r>
  <r>
    <n v="4191"/>
    <x v="51"/>
    <s v="Night"/>
    <x v="0"/>
    <n v="2000720198"/>
    <n v="240"/>
    <n v="118"/>
    <n v="0"/>
    <s v="U18660"/>
    <s v="L1172/73"/>
    <x v="169"/>
    <m/>
    <m/>
    <m/>
    <n v="0"/>
    <m/>
    <m/>
  </r>
  <r>
    <n v="4192"/>
    <x v="51"/>
    <s v="Night"/>
    <x v="0"/>
    <n v="2000720184"/>
    <n v="1800"/>
    <n v="320"/>
    <n v="0"/>
    <s v="U18660"/>
    <s v="L1151/52"/>
    <x v="85"/>
    <m/>
    <m/>
    <m/>
    <n v="0"/>
    <m/>
    <m/>
  </r>
  <r>
    <n v="4193"/>
    <x v="51"/>
    <s v="Night"/>
    <x v="0"/>
    <n v="2000719551"/>
    <n v="430"/>
    <n v="141"/>
    <n v="0"/>
    <s v="U18660"/>
    <s v="L1193/94"/>
    <x v="116"/>
    <m/>
    <m/>
    <m/>
    <n v="0"/>
    <m/>
    <m/>
  </r>
  <r>
    <n v="4194"/>
    <x v="51"/>
    <s v="Night"/>
    <x v="0"/>
    <n v="2000720616"/>
    <n v="600"/>
    <n v="120"/>
    <n v="0"/>
    <s v="U18660"/>
    <s v="L1193/94"/>
    <x v="192"/>
    <m/>
    <m/>
    <m/>
    <n v="0"/>
    <m/>
    <m/>
  </r>
  <r>
    <n v="4195"/>
    <x v="51"/>
    <s v="Night"/>
    <x v="0"/>
    <n v="2000720851"/>
    <n v="1000"/>
    <n v="90"/>
    <n v="0"/>
    <s v="U05944"/>
    <s v="L1209/10"/>
    <x v="196"/>
    <m/>
    <m/>
    <m/>
    <n v="0"/>
    <m/>
    <m/>
  </r>
  <r>
    <n v="4196"/>
    <x v="51"/>
    <s v="Night"/>
    <x v="0"/>
    <n v="2000720632"/>
    <n v="984"/>
    <n v="90"/>
    <n v="0"/>
    <s v="U05944"/>
    <s v="L1188/89"/>
    <x v="109"/>
    <m/>
    <m/>
    <m/>
    <n v="0"/>
    <m/>
    <m/>
  </r>
  <r>
    <n v="4197"/>
    <x v="51"/>
    <s v="Night"/>
    <x v="0"/>
    <n v="2000719354"/>
    <n v="1200"/>
    <n v="240"/>
    <n v="0"/>
    <s v="U05944"/>
    <s v="L1193/94"/>
    <x v="30"/>
    <m/>
    <m/>
    <m/>
    <n v="0"/>
    <m/>
    <m/>
  </r>
  <r>
    <n v="4198"/>
    <x v="51"/>
    <s v="Night"/>
    <x v="1"/>
    <n v="2000720166"/>
    <n v="620"/>
    <n v="280"/>
    <n v="0"/>
    <s v="U32991"/>
    <s v="FLORA"/>
    <x v="180"/>
    <m/>
    <m/>
    <m/>
    <n v="0"/>
    <m/>
    <m/>
  </r>
  <r>
    <n v="4199"/>
    <x v="51"/>
    <s v="Night"/>
    <x v="1"/>
    <n v="2000720502"/>
    <n v="650"/>
    <n v="70"/>
    <n v="0"/>
    <s v="U32991"/>
    <s v="SHANKS"/>
    <x v="24"/>
    <m/>
    <m/>
    <m/>
    <n v="0"/>
    <m/>
    <m/>
  </r>
  <r>
    <n v="4200"/>
    <x v="51"/>
    <s v="Night"/>
    <x v="1"/>
    <n v="2000720503"/>
    <n v="650"/>
    <n v="105"/>
    <n v="0"/>
    <s v="U32991"/>
    <s v="SHANKS"/>
    <x v="24"/>
    <m/>
    <m/>
    <m/>
    <n v="0"/>
    <m/>
    <m/>
  </r>
  <r>
    <n v="4201"/>
    <x v="51"/>
    <s v="Night"/>
    <x v="1"/>
    <n v="2000719508"/>
    <n v="450"/>
    <n v="105"/>
    <n v="0"/>
    <s v="U32991"/>
    <s v="FRANKY"/>
    <x v="81"/>
    <m/>
    <m/>
    <m/>
    <n v="0"/>
    <m/>
    <m/>
  </r>
  <r>
    <n v="4202"/>
    <x v="51"/>
    <s v="Night"/>
    <x v="1"/>
    <n v="2000719509"/>
    <n v="450"/>
    <n v="105"/>
    <n v="0"/>
    <s v="U32991"/>
    <s v="FRANKY"/>
    <x v="81"/>
    <m/>
    <m/>
    <m/>
    <n v="0"/>
    <m/>
    <m/>
  </r>
  <r>
    <n v="4203"/>
    <x v="51"/>
    <s v="Night"/>
    <x v="1"/>
    <n v="2000721070"/>
    <n v="140"/>
    <n v="60"/>
    <n v="0"/>
    <s v="U32991"/>
    <s v="PSLV"/>
    <x v="23"/>
    <m/>
    <m/>
    <m/>
    <n v="0"/>
    <m/>
    <m/>
  </r>
  <r>
    <n v="4204"/>
    <x v="52"/>
    <s v="Day"/>
    <x v="1"/>
    <n v="2000720511"/>
    <n v="620"/>
    <n v="620"/>
    <n v="0"/>
    <s v="U30119"/>
    <s v="LVHV"/>
    <x v="29"/>
    <m/>
    <m/>
    <m/>
    <n v="0"/>
    <m/>
    <m/>
  </r>
  <r>
    <n v="4205"/>
    <x v="52"/>
    <s v="Day"/>
    <x v="1"/>
    <n v="2000721070"/>
    <n v="140"/>
    <n v="80"/>
    <n v="0"/>
    <s v="U30119"/>
    <s v="PSLV"/>
    <x v="23"/>
    <m/>
    <m/>
    <m/>
    <n v="0"/>
    <m/>
    <m/>
  </r>
  <r>
    <n v="4206"/>
    <x v="52"/>
    <s v="Day"/>
    <x v="1"/>
    <n v="2000716866"/>
    <n v="90"/>
    <n v="4"/>
    <n v="0"/>
    <s v="U30119"/>
    <s v="PSLV"/>
    <x v="135"/>
    <m/>
    <m/>
    <m/>
    <n v="0"/>
    <m/>
    <m/>
  </r>
  <r>
    <n v="4207"/>
    <x v="52"/>
    <s v="Day"/>
    <x v="1"/>
    <n v="2000720166"/>
    <n v="620"/>
    <n v="30"/>
    <n v="0"/>
    <s v="U30119"/>
    <s v="FLORA"/>
    <x v="180"/>
    <m/>
    <m/>
    <m/>
    <n v="0"/>
    <m/>
    <m/>
  </r>
  <r>
    <n v="4208"/>
    <x v="52"/>
    <s v="Day"/>
    <x v="1"/>
    <n v="2000721071"/>
    <n v="620"/>
    <n v="210"/>
    <n v="0"/>
    <s v="U30119"/>
    <s v="FLORA"/>
    <x v="28"/>
    <m/>
    <m/>
    <m/>
    <n v="0"/>
    <m/>
    <m/>
  </r>
  <r>
    <n v="4209"/>
    <x v="52"/>
    <s v="Day"/>
    <x v="1"/>
    <n v="2000720219"/>
    <n v="350"/>
    <n v="40"/>
    <n v="0"/>
    <s v="U30119"/>
    <s v="PSLV"/>
    <x v="135"/>
    <m/>
    <m/>
    <m/>
    <n v="0"/>
    <m/>
    <m/>
  </r>
  <r>
    <n v="4210"/>
    <x v="52"/>
    <s v="Day"/>
    <x v="1"/>
    <n v="2000720153"/>
    <n v="140"/>
    <n v="105"/>
    <n v="0"/>
    <s v="U30119"/>
    <s v="FRANKY"/>
    <x v="81"/>
    <m/>
    <m/>
    <m/>
    <n v="0"/>
    <m/>
    <m/>
  </r>
  <r>
    <n v="4211"/>
    <x v="52"/>
    <s v="Day"/>
    <x v="1"/>
    <n v="2000720154"/>
    <n v="140"/>
    <n v="70"/>
    <n v="0"/>
    <s v="U30119"/>
    <s v="FRANKY"/>
    <x v="81"/>
    <m/>
    <m/>
    <m/>
    <n v="0"/>
    <m/>
    <m/>
  </r>
  <r>
    <n v="4212"/>
    <x v="52"/>
    <s v="Day"/>
    <x v="1"/>
    <n v="2000717030"/>
    <n v="380"/>
    <n v="27"/>
    <n v="0"/>
    <s v="U30119"/>
    <s v="PSHV"/>
    <x v="50"/>
    <m/>
    <m/>
    <m/>
    <n v="0"/>
    <m/>
    <m/>
  </r>
  <r>
    <n v="4213"/>
    <x v="52"/>
    <s v="Day"/>
    <x v="1"/>
    <n v="2000719227"/>
    <n v="400"/>
    <n v="1"/>
    <n v="0"/>
    <s v="U30119"/>
    <s v="PSHV"/>
    <x v="121"/>
    <m/>
    <m/>
    <m/>
    <n v="0"/>
    <m/>
    <m/>
  </r>
  <r>
    <n v="4214"/>
    <x v="52"/>
    <s v="Day"/>
    <x v="1"/>
    <n v="2000721069"/>
    <n v="500"/>
    <n v="160"/>
    <n v="0"/>
    <s v="U30119"/>
    <s v="SHIBUKI"/>
    <x v="134"/>
    <m/>
    <m/>
    <m/>
    <n v="0"/>
    <m/>
    <m/>
  </r>
  <r>
    <n v="4215"/>
    <x v="52"/>
    <s v="Day"/>
    <x v="0"/>
    <n v="2000720632"/>
    <n v="984"/>
    <n v="240"/>
    <n v="0"/>
    <s v="U36008"/>
    <s v="L1188/89"/>
    <x v="109"/>
    <m/>
    <m/>
    <m/>
    <n v="0"/>
    <m/>
    <m/>
  </r>
  <r>
    <n v="4216"/>
    <x v="52"/>
    <s v="Day"/>
    <x v="0"/>
    <n v="2000720633"/>
    <n v="270"/>
    <n v="269"/>
    <n v="0"/>
    <s v="U36008"/>
    <s v="L1170/71"/>
    <x v="117"/>
    <m/>
    <m/>
    <m/>
    <n v="0"/>
    <m/>
    <m/>
  </r>
  <r>
    <n v="4217"/>
    <x v="52"/>
    <s v="Day"/>
    <x v="0"/>
    <n v="2000720634"/>
    <n v="180"/>
    <n v="90"/>
    <n v="0"/>
    <s v="U36008"/>
    <s v="L1170/71"/>
    <x v="45"/>
    <m/>
    <m/>
    <m/>
    <n v="0"/>
    <m/>
    <m/>
  </r>
  <r>
    <n v="4218"/>
    <x v="52"/>
    <s v="Day"/>
    <x v="0"/>
    <n v="2000720853"/>
    <n v="630"/>
    <n v="90"/>
    <n v="0"/>
    <s v="U36008"/>
    <s v="L1209/10"/>
    <x v="44"/>
    <m/>
    <m/>
    <m/>
    <n v="0"/>
    <m/>
    <m/>
  </r>
  <r>
    <n v="4219"/>
    <x v="52"/>
    <s v="Day"/>
    <x v="0"/>
    <n v="2000720598"/>
    <n v="3400"/>
    <n v="30"/>
    <n v="0"/>
    <s v="U30425"/>
    <s v="L1174/75"/>
    <x v="3"/>
    <m/>
    <m/>
    <m/>
    <n v="0"/>
    <m/>
    <m/>
  </r>
  <r>
    <n v="4220"/>
    <x v="52"/>
    <s v="Day"/>
    <x v="0"/>
    <n v="2000721381"/>
    <n v="750"/>
    <n v="80"/>
    <n v="0"/>
    <s v="U30425"/>
    <s v="L1144/47"/>
    <x v="39"/>
    <m/>
    <m/>
    <m/>
    <n v="0"/>
    <m/>
    <m/>
  </r>
  <r>
    <n v="4221"/>
    <x v="52"/>
    <s v="Day"/>
    <x v="0"/>
    <n v="2000721333"/>
    <n v="2200"/>
    <n v="120"/>
    <n v="0"/>
    <s v="U30425"/>
    <s v="L1144/47"/>
    <x v="101"/>
    <m/>
    <m/>
    <m/>
    <n v="0"/>
    <m/>
    <m/>
  </r>
  <r>
    <n v="4222"/>
    <x v="52"/>
    <s v="Day"/>
    <x v="0"/>
    <n v="2000721356"/>
    <n v="1200"/>
    <n v="80"/>
    <n v="0"/>
    <s v="U30425"/>
    <s v="L1168/69"/>
    <x v="93"/>
    <m/>
    <m/>
    <m/>
    <n v="0"/>
    <m/>
    <m/>
  </r>
  <r>
    <n v="4223"/>
    <x v="52"/>
    <s v="Day"/>
    <x v="0"/>
    <n v="2000721487"/>
    <n v="2000"/>
    <n v="120"/>
    <n v="0"/>
    <s v="U30425"/>
    <s v="L1144/47"/>
    <x v="42"/>
    <m/>
    <m/>
    <m/>
    <n v="0"/>
    <m/>
    <m/>
  </r>
  <r>
    <n v="4224"/>
    <x v="52"/>
    <s v="Day"/>
    <x v="0"/>
    <n v="2000720666"/>
    <n v="2208"/>
    <n v="120"/>
    <n v="0"/>
    <s v="U30425"/>
    <s v="L1128/29"/>
    <x v="11"/>
    <m/>
    <m/>
    <m/>
    <n v="0"/>
    <m/>
    <m/>
  </r>
  <r>
    <n v="4225"/>
    <x v="52"/>
    <s v="Day"/>
    <x v="0"/>
    <n v="2000719985"/>
    <n v="580"/>
    <n v="90"/>
    <n v="0"/>
    <s v="U30425"/>
    <s v="L1188/89"/>
    <x v="110"/>
    <m/>
    <m/>
    <m/>
    <n v="0"/>
    <m/>
    <m/>
  </r>
  <r>
    <n v="4226"/>
    <x v="52"/>
    <s v="Day"/>
    <x v="0"/>
    <n v="2000721320"/>
    <n v="600"/>
    <n v="40"/>
    <n v="0"/>
    <s v="U30425"/>
    <s v="L1144/47"/>
    <x v="71"/>
    <m/>
    <m/>
    <m/>
    <n v="0"/>
    <m/>
    <m/>
  </r>
  <r>
    <n v="4227"/>
    <x v="52"/>
    <s v="Day"/>
    <x v="0"/>
    <n v="2000720860"/>
    <n v="1260"/>
    <n v="400"/>
    <n v="0"/>
    <s v="U23987"/>
    <s v="L1188/89"/>
    <x v="17"/>
    <m/>
    <m/>
    <m/>
    <n v="0"/>
    <m/>
    <m/>
  </r>
  <r>
    <n v="4228"/>
    <x v="52"/>
    <s v="Day"/>
    <x v="0"/>
    <n v="2000720856"/>
    <n v="1320"/>
    <n v="80"/>
    <n v="0"/>
    <s v="U23987"/>
    <s v="L1188/89"/>
    <x v="17"/>
    <m/>
    <m/>
    <m/>
    <n v="0"/>
    <m/>
    <m/>
  </r>
  <r>
    <n v="4229"/>
    <x v="52"/>
    <s v="Day"/>
    <x v="0"/>
    <n v="2000720860"/>
    <n v="1260"/>
    <n v="280"/>
    <n v="1"/>
    <s v="U27724"/>
    <s v="L1188/89"/>
    <x v="17"/>
    <s v="Bong, vỡ linh kiện"/>
    <m/>
    <s v="R806"/>
    <n v="1"/>
    <s v="\\vn-file\QC Department\4.OQC\00. OQC Performance\03. Images\01. NG\20210325-NG-1905720860.jpg"/>
    <s v="\\vn-file\QC Department\4.OQC\00. OQC Performance\03. Images\02. OK\20210325-OK-1905720860.jpg"/>
  </r>
  <r>
    <n v="4230"/>
    <x v="52"/>
    <s v="Day"/>
    <x v="0"/>
    <n v="2000720856"/>
    <n v="1320"/>
    <n v="200"/>
    <n v="0"/>
    <s v="U27724"/>
    <s v="L1188/89"/>
    <x v="17"/>
    <m/>
    <m/>
    <m/>
    <n v="0"/>
    <m/>
    <m/>
  </r>
  <r>
    <n v="4231"/>
    <x v="52"/>
    <s v="Day"/>
    <x v="0"/>
    <n v="2000720857"/>
    <n v="760"/>
    <n v="277"/>
    <n v="0"/>
    <s v="U27724"/>
    <s v="L1188/89"/>
    <x v="98"/>
    <m/>
    <m/>
    <m/>
    <n v="0"/>
    <m/>
    <m/>
  </r>
  <r>
    <n v="4232"/>
    <x v="52"/>
    <s v="Day"/>
    <x v="0"/>
    <n v="2000720945"/>
    <n v="3216"/>
    <n v="1700"/>
    <n v="0"/>
    <s v="U26613"/>
    <s v="L1193/94"/>
    <x v="119"/>
    <m/>
    <m/>
    <m/>
    <n v="0"/>
    <m/>
    <m/>
  </r>
  <r>
    <n v="4233"/>
    <x v="52"/>
    <s v="Day"/>
    <x v="0"/>
    <n v="2000714573"/>
    <n v="1776"/>
    <n v="22"/>
    <n v="0"/>
    <s v="U26613"/>
    <s v="L1193/94"/>
    <x v="119"/>
    <m/>
    <m/>
    <m/>
    <n v="0"/>
    <m/>
    <m/>
  </r>
  <r>
    <n v="4234"/>
    <x v="52"/>
    <s v="Day"/>
    <x v="0"/>
    <n v="2000720186"/>
    <n v="300"/>
    <n v="150"/>
    <n v="1"/>
    <s v="U26613"/>
    <s v="L1172/73"/>
    <x v="175"/>
    <s v="Bong, vỡ linh kiện"/>
    <m/>
    <s v="J12"/>
    <n v="1"/>
    <s v="\\vn-file\QC Department\4.OQC\00. OQC Performance\03. Images\01. NG\20210325-NG-1350720186.jpg"/>
    <s v="\\vn-file\QC Department\4.OQC\00. OQC Performance\03. Images\02. OK\20210325-OK-1350720186.jpg"/>
  </r>
  <r>
    <n v="4235"/>
    <x v="52"/>
    <s v="Day"/>
    <x v="0"/>
    <n v="2000720846"/>
    <n v="3600"/>
    <n v="200"/>
    <n v="0"/>
    <s v="U26613"/>
    <s v="L1174/75"/>
    <x v="66"/>
    <m/>
    <m/>
    <m/>
    <n v="0"/>
    <m/>
    <m/>
  </r>
  <r>
    <n v="4236"/>
    <x v="52"/>
    <s v="Day"/>
    <x v="0"/>
    <n v="2000721845"/>
    <n v="2000"/>
    <n v="200"/>
    <n v="0"/>
    <s v="U26613"/>
    <s v="L1144/47"/>
    <x v="63"/>
    <m/>
    <m/>
    <m/>
    <n v="0"/>
    <m/>
    <m/>
  </r>
  <r>
    <n v="4237"/>
    <x v="52"/>
    <s v="Day"/>
    <x v="0"/>
    <n v="2000714130"/>
    <n v="920"/>
    <n v="3"/>
    <n v="0"/>
    <s v="U26613"/>
    <s v="L1151/52"/>
    <x v="85"/>
    <m/>
    <m/>
    <m/>
    <n v="0"/>
    <m/>
    <m/>
  </r>
  <r>
    <n v="4238"/>
    <x v="52"/>
    <s v="Day"/>
    <x v="0"/>
    <n v="2000720847"/>
    <n v="7860"/>
    <n v="300"/>
    <n v="0"/>
    <s v="U26613"/>
    <s v="L1112/13"/>
    <x v="75"/>
    <m/>
    <m/>
    <m/>
    <n v="0"/>
    <m/>
    <m/>
  </r>
  <r>
    <n v="4239"/>
    <x v="52"/>
    <s v="Day"/>
    <x v="0"/>
    <n v="2000721484"/>
    <n v="2000"/>
    <n v="200"/>
    <n v="0"/>
    <s v="U26613"/>
    <s v="L1144/47"/>
    <x v="64"/>
    <m/>
    <m/>
    <m/>
    <n v="0"/>
    <m/>
    <m/>
  </r>
  <r>
    <n v="4240"/>
    <x v="52"/>
    <s v="Day"/>
    <x v="0"/>
    <n v="2000720184"/>
    <n v="1800"/>
    <n v="320"/>
    <n v="1"/>
    <s v="U09854"/>
    <s v="L1151/52"/>
    <x v="85"/>
    <s v="NG dấu ngày tháng "/>
    <s v="KHÔNG ĐÓNG DẤU NT"/>
    <s v="DẤU NT"/>
    <n v="1"/>
    <s v="\\vn-file\QC Department\4.OQC\00. OQC Performance\03. Images\01. NG\20210325-NG-1018720184.jpg"/>
    <s v="\\vn-file\QC Department\4.OQC\00. OQC Performance\03. Images\02. OK\20210325-OK-1018720184.jpg"/>
  </r>
  <r>
    <n v="4241"/>
    <x v="52"/>
    <s v="Day"/>
    <x v="0"/>
    <n v="2000720856"/>
    <n v="1320"/>
    <n v="40"/>
    <n v="0"/>
    <s v="U09854"/>
    <s v="L1188/89"/>
    <x v="17"/>
    <m/>
    <m/>
    <m/>
    <n v="0"/>
    <m/>
    <m/>
  </r>
  <r>
    <n v="4242"/>
    <x v="52"/>
    <s v="Day"/>
    <x v="0"/>
    <n v="2000720616"/>
    <n v="600"/>
    <n v="262"/>
    <n v="0"/>
    <s v="U09854"/>
    <s v="L1193/94"/>
    <x v="192"/>
    <m/>
    <m/>
    <m/>
    <n v="0"/>
    <m/>
    <m/>
  </r>
  <r>
    <n v="4243"/>
    <x v="52"/>
    <s v="Day"/>
    <x v="0"/>
    <n v="2000720632"/>
    <n v="984"/>
    <n v="95"/>
    <n v="0"/>
    <s v="U09854"/>
    <s v="L1188/89"/>
    <x v="109"/>
    <m/>
    <m/>
    <m/>
    <n v="0"/>
    <m/>
    <m/>
  </r>
  <r>
    <n v="4244"/>
    <x v="52"/>
    <s v="Day"/>
    <x v="0"/>
    <n v="2000720441"/>
    <n v="850"/>
    <n v="90"/>
    <n v="0"/>
    <s v="U09854"/>
    <s v="L1193/94"/>
    <x v="21"/>
    <m/>
    <m/>
    <m/>
    <n v="0"/>
    <m/>
    <m/>
  </r>
  <r>
    <n v="4245"/>
    <x v="52"/>
    <s v="Day"/>
    <x v="0"/>
    <n v="2000720617"/>
    <n v="390"/>
    <n v="30"/>
    <n v="0"/>
    <s v="U09854"/>
    <s v="L1193/94"/>
    <x v="21"/>
    <m/>
    <m/>
    <m/>
    <n v="0"/>
    <m/>
    <m/>
  </r>
  <r>
    <n v="4246"/>
    <x v="52"/>
    <s v="Day"/>
    <x v="0"/>
    <n v="2000720680"/>
    <n v="1200"/>
    <n v="100"/>
    <n v="0"/>
    <s v="U30500"/>
    <s v="L1144/47"/>
    <x v="77"/>
    <m/>
    <m/>
    <m/>
    <n v="0"/>
    <m/>
    <m/>
  </r>
  <r>
    <n v="4247"/>
    <x v="52"/>
    <s v="Day"/>
    <x v="0"/>
    <n v="2000720681"/>
    <n v="1200"/>
    <n v="150"/>
    <n v="0"/>
    <s v="U30500"/>
    <s v="L1144/47"/>
    <x v="13"/>
    <m/>
    <m/>
    <m/>
    <n v="0"/>
    <m/>
    <m/>
  </r>
  <r>
    <n v="4248"/>
    <x v="52"/>
    <s v="Day"/>
    <x v="0"/>
    <n v="2000720679"/>
    <n v="1200"/>
    <n v="100"/>
    <n v="0"/>
    <s v="U30500"/>
    <s v="L1144/47"/>
    <x v="92"/>
    <m/>
    <m/>
    <m/>
    <n v="0"/>
    <m/>
    <m/>
  </r>
  <r>
    <n v="4249"/>
    <x v="52"/>
    <s v="Day"/>
    <x v="0"/>
    <n v="2000720671"/>
    <n v="4220"/>
    <n v="240"/>
    <n v="0"/>
    <s v="U30500"/>
    <s v="T515"/>
    <x v="15"/>
    <m/>
    <m/>
    <m/>
    <n v="0"/>
    <m/>
    <m/>
  </r>
  <r>
    <n v="4250"/>
    <x v="52"/>
    <s v="Day"/>
    <x v="0"/>
    <n v="2000720179"/>
    <n v="1246"/>
    <n v="425"/>
    <n v="0"/>
    <s v="U30500"/>
    <s v="L1151/52"/>
    <x v="173"/>
    <m/>
    <m/>
    <m/>
    <n v="0"/>
    <m/>
    <m/>
  </r>
  <r>
    <n v="4251"/>
    <x v="52"/>
    <s v="Day"/>
    <x v="0"/>
    <n v="2000720184"/>
    <n v="1800"/>
    <n v="320"/>
    <n v="0"/>
    <s v="U30500"/>
    <s v="L1151/52"/>
    <x v="85"/>
    <m/>
    <m/>
    <m/>
    <n v="0"/>
    <m/>
    <m/>
  </r>
  <r>
    <n v="4252"/>
    <x v="52"/>
    <s v="Day"/>
    <x v="0"/>
    <n v="2000720634"/>
    <n v="180"/>
    <n v="90"/>
    <n v="0"/>
    <s v="U09749"/>
    <s v="L1170/71"/>
    <x v="45"/>
    <m/>
    <m/>
    <m/>
    <n v="0"/>
    <m/>
    <m/>
  </r>
  <r>
    <n v="4253"/>
    <x v="52"/>
    <s v="Day"/>
    <x v="0"/>
    <n v="2000720853"/>
    <n v="630"/>
    <n v="45"/>
    <n v="0"/>
    <s v="U09749"/>
    <s v="L1209/10"/>
    <x v="44"/>
    <m/>
    <m/>
    <m/>
    <n v="0"/>
    <m/>
    <m/>
  </r>
  <r>
    <n v="4254"/>
    <x v="52"/>
    <s v="Day"/>
    <x v="0"/>
    <n v="2000720617"/>
    <n v="390"/>
    <n v="57"/>
    <n v="0"/>
    <s v="U31065"/>
    <s v="L1193/94"/>
    <x v="21"/>
    <m/>
    <m/>
    <m/>
    <n v="0"/>
    <m/>
    <m/>
  </r>
  <r>
    <n v="4255"/>
    <x v="52"/>
    <s v="Day"/>
    <x v="0"/>
    <n v="2000720441"/>
    <n v="850"/>
    <n v="60"/>
    <n v="0"/>
    <s v="U31065"/>
    <s v="L1193/94"/>
    <x v="21"/>
    <m/>
    <m/>
    <m/>
    <n v="0"/>
    <m/>
    <m/>
  </r>
  <r>
    <n v="4256"/>
    <x v="52"/>
    <s v="Day"/>
    <x v="0"/>
    <n v="2000720616"/>
    <n v="600"/>
    <n v="210"/>
    <n v="0"/>
    <s v="U31065"/>
    <s v="L1193/94"/>
    <x v="192"/>
    <m/>
    <m/>
    <m/>
    <n v="0"/>
    <m/>
    <m/>
  </r>
  <r>
    <n v="4257"/>
    <x v="52"/>
    <s v="Day"/>
    <x v="0"/>
    <n v="2000721293"/>
    <n v="490"/>
    <n v="180"/>
    <n v="0"/>
    <s v="U31065"/>
    <s v="L1172/73"/>
    <x v="103"/>
    <m/>
    <m/>
    <m/>
    <n v="0"/>
    <m/>
    <m/>
  </r>
  <r>
    <n v="4258"/>
    <x v="52"/>
    <s v="Night"/>
    <x v="1"/>
    <n v="2000721075"/>
    <n v="700"/>
    <n v="175"/>
    <n v="0"/>
    <s v="U15759"/>
    <s v="SHANKS"/>
    <x v="24"/>
    <m/>
    <m/>
    <m/>
    <n v="0"/>
    <m/>
    <m/>
  </r>
  <r>
    <n v="4259"/>
    <x v="52"/>
    <s v="Night"/>
    <x v="1"/>
    <n v="2000719832"/>
    <n v="180"/>
    <n v="70"/>
    <n v="0"/>
    <s v="U15759"/>
    <s v="SHANKS"/>
    <x v="187"/>
    <m/>
    <m/>
    <m/>
    <n v="0"/>
    <m/>
    <m/>
  </r>
  <r>
    <n v="4260"/>
    <x v="52"/>
    <s v="Night"/>
    <x v="1"/>
    <n v="2000720219"/>
    <n v="350"/>
    <n v="60"/>
    <n v="0"/>
    <s v="U15759"/>
    <s v="PSLV"/>
    <x v="135"/>
    <m/>
    <m/>
    <m/>
    <n v="0"/>
    <m/>
    <m/>
  </r>
  <r>
    <n v="4261"/>
    <x v="52"/>
    <s v="Night"/>
    <x v="1"/>
    <n v="2000721069"/>
    <n v="500"/>
    <n v="210"/>
    <n v="0"/>
    <s v="U15759"/>
    <s v="SHIBUKI"/>
    <x v="134"/>
    <m/>
    <m/>
    <m/>
    <n v="0"/>
    <m/>
    <m/>
  </r>
  <r>
    <n v="4263"/>
    <x v="52"/>
    <s v="Night"/>
    <x v="0"/>
    <n v="2000720181"/>
    <n v="3609"/>
    <n v="200"/>
    <n v="0"/>
    <s v="U05944"/>
    <s v="L1172/73"/>
    <x v="7"/>
    <m/>
    <m/>
    <m/>
    <n v="0"/>
    <m/>
    <m/>
  </r>
  <r>
    <n v="4264"/>
    <x v="52"/>
    <s v="Night"/>
    <x v="0"/>
    <n v="2000720853"/>
    <n v="630"/>
    <n v="135"/>
    <n v="0"/>
    <s v="U29686"/>
    <s v="L1209/10"/>
    <x v="44"/>
    <m/>
    <m/>
    <m/>
    <n v="0"/>
    <m/>
    <m/>
  </r>
  <r>
    <n v="4265"/>
    <x v="52"/>
    <s v="Night"/>
    <x v="0"/>
    <n v="2000720860"/>
    <n v="1260"/>
    <n v="51"/>
    <n v="0"/>
    <s v="U29686"/>
    <s v="L1188/89"/>
    <x v="17"/>
    <m/>
    <m/>
    <m/>
    <n v="0"/>
    <m/>
    <m/>
  </r>
  <r>
    <n v="4266"/>
    <x v="52"/>
    <s v="Night"/>
    <x v="0"/>
    <n v="2000721612"/>
    <n v="990"/>
    <n v="450"/>
    <n v="0"/>
    <s v="U29686"/>
    <s v="L1188/89"/>
    <x v="16"/>
    <m/>
    <m/>
    <m/>
    <n v="0"/>
    <m/>
    <m/>
  </r>
  <r>
    <n v="4267"/>
    <x v="52"/>
    <s v="Night"/>
    <x v="0"/>
    <n v="2000720617"/>
    <n v="390"/>
    <n v="60"/>
    <n v="0"/>
    <s v="U32991"/>
    <s v="L1193/94"/>
    <x v="21"/>
    <m/>
    <m/>
    <m/>
    <n v="0"/>
    <m/>
    <m/>
  </r>
  <r>
    <n v="4268"/>
    <x v="52"/>
    <s v="Night"/>
    <x v="0"/>
    <n v="2000720618"/>
    <n v="720"/>
    <n v="510"/>
    <n v="0"/>
    <s v="U32991"/>
    <s v="L1193/94"/>
    <x v="146"/>
    <m/>
    <m/>
    <m/>
    <n v="0"/>
    <m/>
    <m/>
  </r>
  <r>
    <n v="4269"/>
    <x v="52"/>
    <s v="Night"/>
    <x v="0"/>
    <n v="2000720860"/>
    <n v="1260"/>
    <n v="220"/>
    <n v="0"/>
    <s v="U27723"/>
    <s v="L1188"/>
    <x v="17"/>
    <m/>
    <m/>
    <m/>
    <n v="0"/>
    <m/>
    <m/>
  </r>
  <r>
    <n v="4270"/>
    <x v="52"/>
    <s v="Night"/>
    <x v="0"/>
    <n v="2000721612"/>
    <n v="990"/>
    <n v="440"/>
    <n v="0"/>
    <s v="U27723"/>
    <s v="L1188"/>
    <x v="16"/>
    <m/>
    <m/>
    <m/>
    <n v="0"/>
    <m/>
    <m/>
  </r>
  <r>
    <n v="4271"/>
    <x v="52"/>
    <s v="Night"/>
    <x v="0"/>
    <n v="2000720859"/>
    <n v="640"/>
    <n v="10"/>
    <n v="0"/>
    <s v="U27723"/>
    <s v="L1188"/>
    <x v="130"/>
    <m/>
    <m/>
    <m/>
    <n v="0"/>
    <m/>
    <m/>
  </r>
  <r>
    <n v="4272"/>
    <x v="52"/>
    <s v="Night"/>
    <x v="0"/>
    <n v="2000721293"/>
    <n v="490"/>
    <n v="20"/>
    <n v="0"/>
    <s v="U18660"/>
    <s v="L1172/73"/>
    <x v="103"/>
    <m/>
    <m/>
    <m/>
    <n v="0"/>
    <m/>
    <m/>
  </r>
  <r>
    <n v="4273"/>
    <x v="52"/>
    <s v="Night"/>
    <x v="0"/>
    <n v="2000721601"/>
    <n v="336"/>
    <n v="80"/>
    <n v="0"/>
    <s v="U18660"/>
    <s v="L1168/69"/>
    <x v="195"/>
    <m/>
    <m/>
    <m/>
    <n v="0"/>
    <m/>
    <m/>
  </r>
  <r>
    <n v="4274"/>
    <x v="52"/>
    <s v="Night"/>
    <x v="0"/>
    <n v="2000721233"/>
    <n v="950"/>
    <n v="90"/>
    <n v="0"/>
    <s v="U18660"/>
    <s v="L1188/89"/>
    <x v="110"/>
    <m/>
    <m/>
    <m/>
    <n v="0"/>
    <m/>
    <m/>
  </r>
  <r>
    <n v="4275"/>
    <x v="52"/>
    <s v="Night"/>
    <x v="0"/>
    <n v="2000720617"/>
    <n v="390"/>
    <n v="150"/>
    <n v="0"/>
    <s v="U18660"/>
    <s v="L1193/94"/>
    <x v="21"/>
    <m/>
    <m/>
    <m/>
    <n v="0"/>
    <m/>
    <m/>
  </r>
  <r>
    <n v="4276"/>
    <x v="52"/>
    <s v="Night"/>
    <x v="0"/>
    <n v="2000720618"/>
    <n v="720"/>
    <n v="210"/>
    <n v="0"/>
    <s v="U18660"/>
    <s v="L1193/94"/>
    <x v="146"/>
    <m/>
    <m/>
    <m/>
    <n v="0"/>
    <m/>
    <m/>
  </r>
  <r>
    <n v="4277"/>
    <x v="52"/>
    <s v="Night"/>
    <x v="0"/>
    <n v="2000720619"/>
    <n v="410"/>
    <n v="30"/>
    <n v="0"/>
    <s v="U18660"/>
    <s v="L1193/94"/>
    <x v="192"/>
    <m/>
    <m/>
    <m/>
    <n v="0"/>
    <m/>
    <m/>
  </r>
  <r>
    <n v="4278"/>
    <x v="52"/>
    <s v="Night"/>
    <x v="0"/>
    <n v="2000720860"/>
    <n v="1260"/>
    <n v="160"/>
    <n v="0"/>
    <s v="U27687"/>
    <s v="L1188/89"/>
    <x v="17"/>
    <m/>
    <m/>
    <m/>
    <n v="0"/>
    <m/>
    <m/>
  </r>
  <r>
    <n v="4279"/>
    <x v="52"/>
    <s v="Night"/>
    <x v="0"/>
    <n v="2000720665"/>
    <n v="4432"/>
    <n v="200"/>
    <n v="0"/>
    <s v="U27687"/>
    <s v="L1112/13"/>
    <x v="8"/>
    <m/>
    <m/>
    <m/>
    <n v="0"/>
    <m/>
    <m/>
  </r>
  <r>
    <n v="4280"/>
    <x v="52"/>
    <s v="Night"/>
    <x v="0"/>
    <n v="2000720811"/>
    <n v="3999"/>
    <n v="240"/>
    <n v="0"/>
    <s v="U27687"/>
    <s v="L1168/69"/>
    <x v="37"/>
    <m/>
    <m/>
    <m/>
    <n v="0"/>
    <m/>
    <m/>
  </r>
  <r>
    <n v="4281"/>
    <x v="52"/>
    <s v="Night"/>
    <x v="0"/>
    <n v="2000721603"/>
    <n v="900"/>
    <n v="80"/>
    <n v="0"/>
    <s v="U30840"/>
    <s v="L1168/69"/>
    <x v="48"/>
    <m/>
    <m/>
    <m/>
    <n v="0"/>
    <m/>
    <m/>
  </r>
  <r>
    <n v="4282"/>
    <x v="52"/>
    <s v="Night"/>
    <x v="0"/>
    <n v="2000721320"/>
    <n v="600"/>
    <n v="40"/>
    <n v="0"/>
    <s v="U36206"/>
    <s v="L1145"/>
    <x v="71"/>
    <m/>
    <m/>
    <m/>
    <n v="0"/>
    <m/>
    <m/>
  </r>
  <r>
    <n v="4283"/>
    <x v="52"/>
    <s v="Night"/>
    <x v="0"/>
    <n v="2000720941"/>
    <n v="1160"/>
    <n v="200"/>
    <n v="0"/>
    <s v="U36206"/>
    <s v="L1186"/>
    <x v="4"/>
    <m/>
    <m/>
    <m/>
    <n v="0"/>
    <m/>
    <m/>
  </r>
  <r>
    <n v="4284"/>
    <x v="52"/>
    <s v="Night"/>
    <x v="0"/>
    <n v="2000721290"/>
    <n v="2200"/>
    <n v="200"/>
    <n v="0"/>
    <s v="U36206"/>
    <s v="L1174/75"/>
    <x v="3"/>
    <m/>
    <m/>
    <m/>
    <n v="0"/>
    <m/>
    <m/>
  </r>
  <r>
    <n v="4285"/>
    <x v="52"/>
    <s v="Night"/>
    <x v="0"/>
    <n v="2000720883"/>
    <n v="1000"/>
    <n v="100"/>
    <n v="0"/>
    <s v="U36206"/>
    <s v="L1077"/>
    <x v="2"/>
    <m/>
    <m/>
    <m/>
    <n v="0"/>
    <m/>
    <m/>
  </r>
  <r>
    <n v="4286"/>
    <x v="52"/>
    <s v="Night"/>
    <x v="0"/>
    <n v="2000721333"/>
    <n v="2200"/>
    <n v="30"/>
    <n v="0"/>
    <s v="U36206"/>
    <s v="L1147"/>
    <x v="101"/>
    <m/>
    <m/>
    <m/>
    <n v="0"/>
    <m/>
    <m/>
  </r>
  <r>
    <n v="4287"/>
    <x v="52"/>
    <s v="Night"/>
    <x v="0"/>
    <n v="2000720945"/>
    <n v="3216"/>
    <n v="700"/>
    <n v="0"/>
    <s v="U03968"/>
    <s v="L1193"/>
    <x v="119"/>
    <m/>
    <m/>
    <m/>
    <n v="0"/>
    <m/>
    <m/>
  </r>
  <r>
    <n v="4288"/>
    <x v="52"/>
    <s v="Night"/>
    <x v="0"/>
    <n v="2000720671"/>
    <n v="4220"/>
    <n v="240"/>
    <n v="0"/>
    <s v="U03968"/>
    <s v="T515"/>
    <x v="15"/>
    <m/>
    <m/>
    <m/>
    <n v="0"/>
    <m/>
    <m/>
  </r>
  <r>
    <n v="4289"/>
    <x v="52"/>
    <s v="Night"/>
    <x v="0"/>
    <n v="2000720184"/>
    <n v="1800"/>
    <n v="160"/>
    <n v="0"/>
    <s v="U03968"/>
    <s v="L1151"/>
    <x v="85"/>
    <m/>
    <m/>
    <m/>
    <n v="0"/>
    <m/>
    <m/>
  </r>
  <r>
    <n v="4290"/>
    <x v="52"/>
    <s v="Night"/>
    <x v="0"/>
    <n v="2000720939"/>
    <n v="1160"/>
    <n v="150"/>
    <n v="0"/>
    <s v="U03968"/>
    <s v="L1186"/>
    <x v="32"/>
    <m/>
    <m/>
    <m/>
    <n v="0"/>
    <m/>
    <m/>
  </r>
  <r>
    <n v="4291"/>
    <x v="52"/>
    <s v="Night"/>
    <x v="0"/>
    <n v="2000721289"/>
    <n v="2200"/>
    <n v="200"/>
    <n v="0"/>
    <s v="U03968"/>
    <s v="L1174"/>
    <x v="62"/>
    <m/>
    <m/>
    <m/>
    <n v="0"/>
    <m/>
    <m/>
  </r>
  <r>
    <n v="4292"/>
    <x v="52"/>
    <s v="Night"/>
    <x v="0"/>
    <n v="2000720604"/>
    <n v="2000"/>
    <n v="160"/>
    <n v="0"/>
    <s v="U03968"/>
    <s v="L1077"/>
    <x v="6"/>
    <m/>
    <m/>
    <m/>
    <n v="0"/>
    <m/>
    <m/>
  </r>
  <r>
    <n v="4293"/>
    <x v="52"/>
    <s v="Night"/>
    <x v="0"/>
    <n v="2000720938"/>
    <n v="1160"/>
    <n v="200"/>
    <n v="0"/>
    <s v="U03968"/>
    <s v="L1186"/>
    <x v="34"/>
    <m/>
    <m/>
    <m/>
    <n v="0"/>
    <m/>
    <m/>
  </r>
  <r>
    <n v="4294"/>
    <x v="52"/>
    <s v="Night"/>
    <x v="0"/>
    <n v="2000720940"/>
    <n v="1160"/>
    <n v="150"/>
    <n v="0"/>
    <s v="U03968"/>
    <s v="L1186"/>
    <x v="35"/>
    <m/>
    <m/>
    <m/>
    <n v="0"/>
    <m/>
    <m/>
  </r>
  <r>
    <n v="4295"/>
    <x v="52"/>
    <s v="Night"/>
    <x v="0"/>
    <n v="2000720874"/>
    <n v="1000"/>
    <n v="150"/>
    <n v="0"/>
    <s v="U03968"/>
    <s v="L1077"/>
    <x v="10"/>
    <m/>
    <m/>
    <m/>
    <n v="0"/>
    <m/>
    <m/>
  </r>
  <r>
    <n v="4296"/>
    <x v="52"/>
    <s v="Night"/>
    <x v="0"/>
    <n v="2000720673"/>
    <n v="1480"/>
    <n v="160"/>
    <n v="0"/>
    <s v="U03968"/>
    <s v="L1151"/>
    <x v="85"/>
    <m/>
    <m/>
    <m/>
    <n v="0"/>
    <m/>
    <m/>
  </r>
  <r>
    <n v="4297"/>
    <x v="52"/>
    <s v="Night"/>
    <x v="0"/>
    <n v="2000721293"/>
    <n v="490"/>
    <n v="312"/>
    <n v="0"/>
    <s v="U05944"/>
    <s v="L1172/73"/>
    <x v="103"/>
    <m/>
    <m/>
    <m/>
    <n v="0"/>
    <m/>
    <m/>
  </r>
  <r>
    <n v="4298"/>
    <x v="52"/>
    <s v="Night"/>
    <x v="1"/>
    <n v="2000721071"/>
    <n v="620"/>
    <n v="300"/>
    <n v="1"/>
    <s v="U15759"/>
    <s v="FLORA"/>
    <x v="28"/>
    <s v="Lật linh kiện "/>
    <m/>
    <s v="CR103"/>
    <n v="1"/>
    <s v="\\vn-file\QC Department\4.OQC\00. OQC Performance\03. Images\01. NG\20210325-NG-2120721071.jpg"/>
    <s v="\\vn-file\QC Department\4.OQC\00. OQC Performance\03. Images\02. OK\20210325-OK-2120721071.jpg"/>
  </r>
  <r>
    <n v="4299"/>
    <x v="53"/>
    <s v="Day"/>
    <x v="1"/>
    <n v="2000721068"/>
    <n v="940"/>
    <n v="70"/>
    <n v="0"/>
    <s v="U31065"/>
    <s v="HVPS"/>
    <x v="223"/>
    <m/>
    <m/>
    <m/>
    <n v="0"/>
    <m/>
    <m/>
  </r>
  <r>
    <n v="4300"/>
    <x v="53"/>
    <s v="Day"/>
    <x v="1"/>
    <n v="2000721069"/>
    <n v="500"/>
    <n v="110"/>
    <n v="0"/>
    <s v="U30119"/>
    <s v="SHIBUKI"/>
    <x v="134"/>
    <m/>
    <m/>
    <m/>
    <n v="0"/>
    <m/>
    <m/>
  </r>
  <r>
    <n v="4301"/>
    <x v="53"/>
    <s v="Day"/>
    <x v="1"/>
    <n v="2000721073"/>
    <n v="700"/>
    <n v="80"/>
    <n v="0"/>
    <s v="U30119"/>
    <s v="PSHV"/>
    <x v="96"/>
    <m/>
    <m/>
    <m/>
    <n v="0"/>
    <m/>
    <m/>
  </r>
  <r>
    <n v="4302"/>
    <x v="53"/>
    <s v="Day"/>
    <x v="1"/>
    <n v="2000721071"/>
    <n v="620"/>
    <n v="110"/>
    <n v="0"/>
    <s v="U30119"/>
    <s v="FLORA"/>
    <x v="28"/>
    <m/>
    <m/>
    <m/>
    <n v="0"/>
    <m/>
    <m/>
  </r>
  <r>
    <n v="4303"/>
    <x v="53"/>
    <s v="Day"/>
    <x v="1"/>
    <n v="2000720166"/>
    <n v="620"/>
    <n v="10"/>
    <n v="0"/>
    <s v="U30119"/>
    <s v="FLORA"/>
    <x v="180"/>
    <m/>
    <m/>
    <m/>
    <n v="0"/>
    <m/>
    <m/>
  </r>
  <r>
    <n v="4304"/>
    <x v="53"/>
    <s v="Day"/>
    <x v="1"/>
    <n v="2000720219"/>
    <n v="350"/>
    <n v="250"/>
    <n v="0"/>
    <s v="U30119"/>
    <s v="PSLV"/>
    <x v="135"/>
    <m/>
    <m/>
    <m/>
    <n v="0"/>
    <m/>
    <m/>
  </r>
  <r>
    <n v="4305"/>
    <x v="53"/>
    <s v="Day"/>
    <x v="1"/>
    <n v="2000721068"/>
    <n v="940"/>
    <n v="20"/>
    <n v="0"/>
    <s v="U30119"/>
    <s v="PSLV"/>
    <x v="223"/>
    <m/>
    <m/>
    <m/>
    <n v="0"/>
    <m/>
    <m/>
  </r>
  <r>
    <n v="4306"/>
    <x v="53"/>
    <s v="Day"/>
    <x v="1"/>
    <n v="2000721078"/>
    <n v="620"/>
    <n v="620"/>
    <n v="0"/>
    <s v="U30119"/>
    <s v="LVHV"/>
    <x v="29"/>
    <m/>
    <m/>
    <m/>
    <n v="0"/>
    <m/>
    <m/>
  </r>
  <r>
    <n v="4307"/>
    <x v="53"/>
    <s v="Day"/>
    <x v="0"/>
    <n v="2000721556"/>
    <n v="870"/>
    <n v="225"/>
    <n v="0"/>
    <s v="U09749"/>
    <s v="L1188/89"/>
    <x v="109"/>
    <m/>
    <m/>
    <m/>
    <n v="0"/>
    <m/>
    <m/>
  </r>
  <r>
    <n v="4308"/>
    <x v="53"/>
    <s v="Day"/>
    <x v="0"/>
    <n v="2000721726"/>
    <n v="470"/>
    <n v="40"/>
    <n v="0"/>
    <s v="U09749"/>
    <s v="L1188/89"/>
    <x v="16"/>
    <m/>
    <m/>
    <m/>
    <n v="0"/>
    <m/>
    <m/>
  </r>
  <r>
    <n v="4309"/>
    <x v="53"/>
    <s v="Day"/>
    <x v="0"/>
    <n v="2000720859"/>
    <n v="640"/>
    <n v="594"/>
    <n v="0"/>
    <s v="U27724"/>
    <s v="L1188/89"/>
    <x v="130"/>
    <m/>
    <m/>
    <m/>
    <n v="0"/>
    <m/>
    <m/>
  </r>
  <r>
    <n v="4310"/>
    <x v="53"/>
    <s v="Day"/>
    <x v="0"/>
    <n v="2000721303"/>
    <n v="1800"/>
    <n v="20"/>
    <n v="0"/>
    <s v="U27724"/>
    <s v="L1172/73"/>
    <x v="83"/>
    <m/>
    <m/>
    <m/>
    <n v="0"/>
    <m/>
    <m/>
  </r>
  <r>
    <n v="4311"/>
    <x v="53"/>
    <s v="Day"/>
    <x v="0"/>
    <n v="2000720023"/>
    <n v="640"/>
    <n v="11"/>
    <n v="0"/>
    <s v="U27724"/>
    <s v="L1188/89"/>
    <x v="130"/>
    <m/>
    <m/>
    <m/>
    <n v="0"/>
    <m/>
    <m/>
  </r>
  <r>
    <n v="4312"/>
    <x v="53"/>
    <s v="Day"/>
    <x v="0"/>
    <n v="2000720021"/>
    <n v="320"/>
    <n v="2"/>
    <n v="0"/>
    <s v="U27724"/>
    <s v="L1188/89"/>
    <x v="16"/>
    <m/>
    <m/>
    <m/>
    <n v="0"/>
    <m/>
    <m/>
  </r>
  <r>
    <n v="4313"/>
    <x v="53"/>
    <s v="Day"/>
    <x v="0"/>
    <n v="2000719024"/>
    <n v="1680"/>
    <n v="9"/>
    <n v="0"/>
    <s v="U27724"/>
    <s v="L1188/89"/>
    <x v="16"/>
    <m/>
    <m/>
    <m/>
    <n v="0"/>
    <m/>
    <m/>
  </r>
  <r>
    <n v="4314"/>
    <x v="53"/>
    <s v="Day"/>
    <x v="0"/>
    <n v="2000721726"/>
    <n v="470"/>
    <n v="40"/>
    <n v="0"/>
    <s v="U27724"/>
    <s v="L1188/89"/>
    <x v="16"/>
    <m/>
    <m/>
    <m/>
    <n v="0"/>
    <m/>
    <m/>
  </r>
  <r>
    <n v="4315"/>
    <x v="53"/>
    <s v="Day"/>
    <x v="0"/>
    <n v="2000720615"/>
    <n v="540"/>
    <n v="60"/>
    <n v="0"/>
    <s v="U27724"/>
    <s v="L1193/94"/>
    <x v="104"/>
    <m/>
    <m/>
    <m/>
    <n v="0"/>
    <m/>
    <m/>
  </r>
  <r>
    <n v="4316"/>
    <x v="53"/>
    <s v="Day"/>
    <x v="0"/>
    <n v="2000721612"/>
    <n v="990"/>
    <n v="100"/>
    <n v="0"/>
    <s v="U23987"/>
    <s v="L1188/89"/>
    <x v="16"/>
    <m/>
    <m/>
    <m/>
    <n v="0"/>
    <m/>
    <m/>
  </r>
  <r>
    <n v="4317"/>
    <x v="53"/>
    <s v="Day"/>
    <x v="0"/>
    <n v="2000719716"/>
    <n v="1970"/>
    <n v="10"/>
    <n v="0"/>
    <s v="U23987"/>
    <s v="L1188/89"/>
    <x v="16"/>
    <m/>
    <m/>
    <m/>
    <n v="0"/>
    <m/>
    <m/>
  </r>
  <r>
    <n v="4318"/>
    <x v="53"/>
    <s v="Day"/>
    <x v="0"/>
    <n v="2000721726"/>
    <n v="470"/>
    <n v="200"/>
    <n v="0"/>
    <s v="U23987"/>
    <s v="L1188/89"/>
    <x v="16"/>
    <m/>
    <m/>
    <m/>
    <n v="0"/>
    <m/>
    <m/>
  </r>
  <r>
    <n v="4319"/>
    <x v="53"/>
    <s v="Day"/>
    <x v="0"/>
    <n v="2000720853"/>
    <n v="630"/>
    <n v="45"/>
    <n v="0"/>
    <s v="U23987"/>
    <s v="L1209/10"/>
    <x v="44"/>
    <m/>
    <m/>
    <m/>
    <n v="0"/>
    <m/>
    <m/>
  </r>
  <r>
    <n v="4320"/>
    <x v="53"/>
    <s v="Day"/>
    <x v="0"/>
    <n v="2000721556"/>
    <n v="870"/>
    <n v="90"/>
    <n v="0"/>
    <s v="U23987"/>
    <s v="L1188/89"/>
    <x v="109"/>
    <m/>
    <m/>
    <m/>
    <n v="0"/>
    <m/>
    <m/>
  </r>
  <r>
    <n v="4321"/>
    <x v="53"/>
    <s v="Day"/>
    <x v="0"/>
    <n v="2000719701"/>
    <n v="320"/>
    <n v="2"/>
    <n v="0"/>
    <s v="U23987"/>
    <s v="L1188/89"/>
    <x v="212"/>
    <m/>
    <m/>
    <m/>
    <n v="0"/>
    <m/>
    <m/>
  </r>
  <r>
    <n v="4322"/>
    <x v="53"/>
    <s v="Day"/>
    <x v="0"/>
    <n v="2000715331"/>
    <n v="200"/>
    <n v="1"/>
    <n v="0"/>
    <s v="U23987"/>
    <s v="L1188/89"/>
    <x v="212"/>
    <m/>
    <m/>
    <m/>
    <n v="0"/>
    <m/>
    <m/>
  </r>
  <r>
    <n v="4323"/>
    <x v="53"/>
    <s v="Day"/>
    <x v="0"/>
    <n v="2000721556"/>
    <n v="870"/>
    <n v="90"/>
    <n v="0"/>
    <s v="U30119"/>
    <s v="L1188/89"/>
    <x v="109"/>
    <m/>
    <m/>
    <m/>
    <n v="0"/>
    <m/>
    <m/>
  </r>
  <r>
    <n v="4324"/>
    <x v="53"/>
    <s v="Day"/>
    <x v="0"/>
    <n v="2000721332"/>
    <n v="140"/>
    <n v="20"/>
    <n v="0"/>
    <s v="U30425"/>
    <s v="T543"/>
    <x v="100"/>
    <m/>
    <m/>
    <m/>
    <n v="0"/>
    <m/>
    <m/>
  </r>
  <r>
    <n v="4325"/>
    <x v="53"/>
    <s v="Day"/>
    <x v="0"/>
    <n v="2000720647"/>
    <n v="950"/>
    <n v="90"/>
    <n v="0"/>
    <s v="U30425"/>
    <s v="L1172/73"/>
    <x v="18"/>
    <m/>
    <m/>
    <m/>
    <n v="0"/>
    <m/>
    <m/>
  </r>
  <r>
    <n v="4326"/>
    <x v="53"/>
    <s v="Day"/>
    <x v="0"/>
    <n v="2000721602"/>
    <n v="1360"/>
    <n v="120"/>
    <n v="0"/>
    <s v="U30425"/>
    <s v="L1168/69"/>
    <x v="93"/>
    <m/>
    <m/>
    <m/>
    <n v="0"/>
    <m/>
    <m/>
  </r>
  <r>
    <n v="4327"/>
    <x v="53"/>
    <s v="Day"/>
    <x v="0"/>
    <n v="2000720804"/>
    <n v="2432"/>
    <n v="120"/>
    <n v="0"/>
    <s v="U30425"/>
    <s v="L1128/29"/>
    <x v="11"/>
    <m/>
    <m/>
    <m/>
    <n v="0"/>
    <m/>
    <m/>
  </r>
  <r>
    <n v="4328"/>
    <x v="53"/>
    <s v="Day"/>
    <x v="0"/>
    <n v="2000720883"/>
    <n v="1000"/>
    <n v="20"/>
    <n v="0"/>
    <s v="U30425"/>
    <s v="L1077"/>
    <x v="2"/>
    <m/>
    <m/>
    <m/>
    <n v="0"/>
    <m/>
    <m/>
  </r>
  <r>
    <n v="4329"/>
    <x v="53"/>
    <s v="Day"/>
    <x v="0"/>
    <n v="2000721303"/>
    <n v="1800"/>
    <n v="100"/>
    <n v="0"/>
    <s v="U30425"/>
    <s v="L1172/73"/>
    <x v="83"/>
    <m/>
    <m/>
    <m/>
    <n v="0"/>
    <m/>
    <m/>
  </r>
  <r>
    <n v="4330"/>
    <x v="53"/>
    <s v="Day"/>
    <x v="0"/>
    <n v="2000721726"/>
    <n v="470"/>
    <n v="40"/>
    <n v="0"/>
    <s v="U30425"/>
    <s v="L1188/89"/>
    <x v="16"/>
    <m/>
    <m/>
    <m/>
    <n v="0"/>
    <m/>
    <m/>
  </r>
  <r>
    <n v="4331"/>
    <x v="53"/>
    <s v="Day"/>
    <x v="0"/>
    <n v="2000721363"/>
    <n v="1000"/>
    <n v="60"/>
    <n v="0"/>
    <s v="U30425"/>
    <s v="L1077"/>
    <x v="2"/>
    <m/>
    <m/>
    <m/>
    <n v="0"/>
    <m/>
    <m/>
  </r>
  <r>
    <n v="4332"/>
    <x v="53"/>
    <s v="Day"/>
    <x v="0"/>
    <n v="2000721291"/>
    <n v="3700"/>
    <n v="300"/>
    <n v="0"/>
    <s v="U07492"/>
    <s v="L1174/75"/>
    <x v="62"/>
    <m/>
    <m/>
    <m/>
    <n v="0"/>
    <m/>
    <m/>
  </r>
  <r>
    <n v="4333"/>
    <x v="53"/>
    <s v="Day"/>
    <x v="0"/>
    <n v="2000720673"/>
    <n v="1480"/>
    <n v="480"/>
    <n v="0"/>
    <s v="U30500"/>
    <s v="L1151/52"/>
    <x v="85"/>
    <m/>
    <m/>
    <m/>
    <n v="0"/>
    <m/>
    <m/>
  </r>
  <r>
    <n v="4334"/>
    <x v="53"/>
    <s v="Day"/>
    <x v="0"/>
    <n v="2000713862"/>
    <n v="2640"/>
    <n v="130"/>
    <n v="0"/>
    <s v="U30500"/>
    <s v="L1193/94"/>
    <x v="30"/>
    <m/>
    <m/>
    <m/>
    <n v="0"/>
    <m/>
    <m/>
  </r>
  <r>
    <n v="4335"/>
    <x v="53"/>
    <s v="Day"/>
    <x v="0"/>
    <n v="2000719354"/>
    <n v="1200"/>
    <n v="240"/>
    <n v="0"/>
    <s v="U30500"/>
    <s v="L1193/94"/>
    <x v="30"/>
    <m/>
    <m/>
    <m/>
    <n v="0"/>
    <m/>
    <m/>
  </r>
  <r>
    <n v="4336"/>
    <x v="53"/>
    <s v="Day"/>
    <x v="0"/>
    <n v="2000720853"/>
    <n v="630"/>
    <n v="222"/>
    <n v="0"/>
    <s v="U36008"/>
    <s v="L1209/10"/>
    <x v="44"/>
    <m/>
    <m/>
    <m/>
    <n v="0"/>
    <m/>
    <m/>
  </r>
  <r>
    <n v="4337"/>
    <x v="53"/>
    <s v="Day"/>
    <x v="0"/>
    <n v="2000721556"/>
    <n v="870"/>
    <n v="180"/>
    <n v="0"/>
    <s v="U36008"/>
    <s v="L1188/89"/>
    <x v="109"/>
    <m/>
    <m/>
    <m/>
    <n v="0"/>
    <m/>
    <m/>
  </r>
  <r>
    <n v="4338"/>
    <x v="53"/>
    <s v="Day"/>
    <x v="0"/>
    <n v="2000720619"/>
    <n v="410"/>
    <n v="312"/>
    <n v="0"/>
    <s v="U31065"/>
    <s v="L1193/94"/>
    <x v="192"/>
    <m/>
    <m/>
    <m/>
    <n v="0"/>
    <m/>
    <m/>
  </r>
  <r>
    <n v="4339"/>
    <x v="53"/>
    <s v="Day"/>
    <x v="0"/>
    <n v="2000720615"/>
    <n v="540"/>
    <n v="90"/>
    <n v="0"/>
    <s v="U31065"/>
    <s v="L1193/94"/>
    <x v="104"/>
    <m/>
    <m/>
    <m/>
    <n v="0"/>
    <m/>
    <m/>
  </r>
  <r>
    <n v="4340"/>
    <x v="53"/>
    <s v="Day"/>
    <x v="0"/>
    <n v="2000720853"/>
    <n v="630"/>
    <n v="45"/>
    <n v="0"/>
    <s v="U31065"/>
    <s v="L1209/10"/>
    <x v="44"/>
    <m/>
    <m/>
    <m/>
    <n v="0"/>
    <m/>
    <m/>
  </r>
  <r>
    <n v="4341"/>
    <x v="53"/>
    <s v="Day"/>
    <x v="0"/>
    <n v="2000720632"/>
    <n v="984"/>
    <n v="23"/>
    <n v="0"/>
    <s v="U31065"/>
    <s v="L1188/89"/>
    <x v="109"/>
    <m/>
    <m/>
    <m/>
    <n v="0"/>
    <m/>
    <m/>
  </r>
  <r>
    <n v="4342"/>
    <x v="53"/>
    <s v="Day"/>
    <x v="0"/>
    <n v="2000720877"/>
    <n v="1000"/>
    <n v="160"/>
    <n v="0"/>
    <s v="U26613"/>
    <s v="L1077"/>
    <x v="36"/>
    <m/>
    <m/>
    <m/>
    <n v="0"/>
    <m/>
    <m/>
  </r>
  <r>
    <n v="4343"/>
    <x v="53"/>
    <s v="Day"/>
    <x v="0"/>
    <n v="2000711468"/>
    <n v="150"/>
    <n v="4"/>
    <n v="0"/>
    <s v="U26613"/>
    <s v="L1172/73"/>
    <x v="165"/>
    <m/>
    <m/>
    <m/>
    <n v="0"/>
    <m/>
    <m/>
  </r>
  <r>
    <n v="4344"/>
    <x v="53"/>
    <s v="Day"/>
    <x v="0"/>
    <n v="2000720945"/>
    <n v="3216"/>
    <n v="400"/>
    <n v="0"/>
    <s v="U26613"/>
    <s v="L1193/94"/>
    <x v="119"/>
    <m/>
    <m/>
    <m/>
    <n v="0"/>
    <m/>
    <m/>
  </r>
  <r>
    <n v="4345"/>
    <x v="53"/>
    <s v="Day"/>
    <x v="0"/>
    <n v="2000721478"/>
    <n v="2300"/>
    <n v="130"/>
    <n v="0"/>
    <s v="U26613"/>
    <s v="L1144/47"/>
    <x v="120"/>
    <m/>
    <m/>
    <m/>
    <n v="0"/>
    <m/>
    <m/>
  </r>
  <r>
    <n v="4346"/>
    <x v="53"/>
    <s v="Day"/>
    <x v="0"/>
    <n v="2000721705"/>
    <n v="147"/>
    <n v="147"/>
    <n v="0"/>
    <s v="U26613"/>
    <s v="L1195/96"/>
    <x v="258"/>
    <m/>
    <m/>
    <m/>
    <n v="0"/>
    <m/>
    <m/>
  </r>
  <r>
    <n v="4347"/>
    <x v="53"/>
    <s v="Day"/>
    <x v="0"/>
    <n v="2000721292"/>
    <n v="3700"/>
    <n v="200"/>
    <n v="0"/>
    <s v="U26613"/>
    <s v="L1174/75"/>
    <x v="3"/>
    <m/>
    <m/>
    <m/>
    <n v="0"/>
    <m/>
    <m/>
  </r>
  <r>
    <n v="4348"/>
    <x v="53"/>
    <s v="Day"/>
    <x v="0"/>
    <n v="2000720859"/>
    <n v="640"/>
    <n v="30"/>
    <n v="0"/>
    <s v="U09854"/>
    <s v="L1188/89"/>
    <x v="130"/>
    <m/>
    <m/>
    <m/>
    <n v="0"/>
    <m/>
    <m/>
  </r>
  <r>
    <n v="4349"/>
    <x v="53"/>
    <s v="Day"/>
    <x v="0"/>
    <n v="2000721371"/>
    <n v="4230"/>
    <n v="300"/>
    <n v="0"/>
    <s v="U09854"/>
    <s v="T515"/>
    <x v="15"/>
    <m/>
    <m/>
    <m/>
    <n v="0"/>
    <m/>
    <m/>
  </r>
  <r>
    <n v="4350"/>
    <x v="53"/>
    <s v="Day"/>
    <x v="0"/>
    <n v="2000720853"/>
    <n v="630"/>
    <n v="45"/>
    <n v="0"/>
    <s v="U09854"/>
    <s v="L1209/10"/>
    <x v="44"/>
    <m/>
    <m/>
    <m/>
    <n v="0"/>
    <m/>
    <m/>
  </r>
  <r>
    <n v="4351"/>
    <x v="53"/>
    <s v="Day"/>
    <x v="0"/>
    <n v="2000720883"/>
    <n v="1000"/>
    <n v="60"/>
    <n v="0"/>
    <s v="U09854"/>
    <s v="L1077"/>
    <x v="2"/>
    <m/>
    <m/>
    <m/>
    <n v="0"/>
    <m/>
    <m/>
  </r>
  <r>
    <n v="4352"/>
    <x v="53"/>
    <s v="Day"/>
    <x v="0"/>
    <n v="2000720875"/>
    <n v="1000"/>
    <n v="100"/>
    <n v="0"/>
    <s v="U09854"/>
    <s v="L1077"/>
    <x v="33"/>
    <m/>
    <m/>
    <m/>
    <n v="0"/>
    <m/>
    <m/>
  </r>
  <r>
    <n v="4353"/>
    <x v="53"/>
    <s v="Day"/>
    <x v="0"/>
    <n v="2000720673"/>
    <n v="1480"/>
    <n v="320"/>
    <n v="0"/>
    <s v="U09854"/>
    <s v="L1151/52"/>
    <x v="85"/>
    <m/>
    <m/>
    <m/>
    <n v="0"/>
    <m/>
    <m/>
  </r>
  <r>
    <n v="4354"/>
    <x v="53"/>
    <s v="Day"/>
    <x v="0"/>
    <n v="2000721486"/>
    <n v="2000"/>
    <n v="300"/>
    <n v="0"/>
    <s v="U09854"/>
    <s v="L1144/47"/>
    <x v="74"/>
    <m/>
    <m/>
    <m/>
    <n v="0"/>
    <m/>
    <m/>
  </r>
  <r>
    <n v="4355"/>
    <x v="53"/>
    <s v="Day"/>
    <x v="0"/>
    <n v="2000720181"/>
    <n v="3609"/>
    <n v="180"/>
    <n v="0"/>
    <s v="U09854"/>
    <s v="L1172/73"/>
    <x v="7"/>
    <m/>
    <m/>
    <m/>
    <n v="0"/>
    <m/>
    <m/>
  </r>
  <r>
    <n v="4356"/>
    <x v="53"/>
    <s v="Night"/>
    <x v="0"/>
    <n v="2000721556"/>
    <n v="870"/>
    <n v="265"/>
    <n v="0"/>
    <s v="U18660"/>
    <s v="L1188/89"/>
    <x v="109"/>
    <m/>
    <m/>
    <m/>
    <n v="0"/>
    <m/>
    <m/>
  </r>
  <r>
    <n v="4357"/>
    <x v="53"/>
    <s v="Night"/>
    <x v="0"/>
    <n v="2000720852"/>
    <n v="1000"/>
    <n v="201"/>
    <n v="0"/>
    <s v="U18660"/>
    <s v="L1188/89"/>
    <x v="84"/>
    <m/>
    <m/>
    <m/>
    <n v="0"/>
    <m/>
    <m/>
  </r>
  <r>
    <n v="4358"/>
    <x v="53"/>
    <s v="Night"/>
    <x v="0"/>
    <n v="2000721764"/>
    <n v="510"/>
    <n v="270"/>
    <n v="0"/>
    <s v="U18660"/>
    <s v="L1209/10"/>
    <x v="196"/>
    <m/>
    <m/>
    <m/>
    <n v="0"/>
    <m/>
    <m/>
  </r>
  <r>
    <n v="4359"/>
    <x v="53"/>
    <s v="Night"/>
    <x v="0"/>
    <n v="2000716481"/>
    <n v="700"/>
    <n v="7"/>
    <n v="0"/>
    <s v="U18660"/>
    <s v="L1209/10"/>
    <x v="68"/>
    <m/>
    <m/>
    <m/>
    <n v="0"/>
    <m/>
    <m/>
  </r>
  <r>
    <n v="4360"/>
    <x v="53"/>
    <s v="Night"/>
    <x v="0"/>
    <n v="2000721726"/>
    <n v="470"/>
    <n v="139"/>
    <n v="0"/>
    <s v="U05944"/>
    <s v="L1188/89"/>
    <x v="16"/>
    <m/>
    <m/>
    <m/>
    <n v="0"/>
    <m/>
    <m/>
  </r>
  <r>
    <n v="4361"/>
    <x v="53"/>
    <s v="Night"/>
    <x v="0"/>
    <n v="2000721727"/>
    <n v="890"/>
    <n v="260"/>
    <n v="0"/>
    <s v="U05944"/>
    <s v="L1188/89"/>
    <x v="16"/>
    <m/>
    <m/>
    <m/>
    <n v="0"/>
    <m/>
    <m/>
  </r>
  <r>
    <n v="4362"/>
    <x v="53"/>
    <s v="Night"/>
    <x v="0"/>
    <n v="2000719021"/>
    <n v="602"/>
    <n v="3"/>
    <n v="0"/>
    <s v="U05944"/>
    <s v="L1188/89"/>
    <x v="122"/>
    <m/>
    <m/>
    <m/>
    <n v="0"/>
    <m/>
    <m/>
  </r>
  <r>
    <n v="4363"/>
    <x v="53"/>
    <s v="Night"/>
    <x v="0"/>
    <n v="2000719022"/>
    <n v="1680"/>
    <n v="4"/>
    <n v="0"/>
    <s v="U05944"/>
    <s v="L1188/89"/>
    <x v="98"/>
    <m/>
    <m/>
    <m/>
    <n v="0"/>
    <m/>
    <m/>
  </r>
  <r>
    <n v="4364"/>
    <x v="53"/>
    <s v="Night"/>
    <x v="0"/>
    <n v="2000720024"/>
    <n v="1500"/>
    <n v="7"/>
    <n v="0"/>
    <s v="U05944"/>
    <s v="L1188/89"/>
    <x v="17"/>
    <m/>
    <m/>
    <m/>
    <n v="0"/>
    <m/>
    <m/>
  </r>
  <r>
    <n v="4365"/>
    <x v="53"/>
    <s v="Night"/>
    <x v="0"/>
    <n v="2000715580"/>
    <n v="240"/>
    <n v="2"/>
    <n v="0"/>
    <s v="U05944"/>
    <s v="L1188/89"/>
    <x v="0"/>
    <m/>
    <m/>
    <m/>
    <n v="0"/>
    <m/>
    <m/>
  </r>
  <r>
    <n v="4366"/>
    <x v="53"/>
    <s v="Night"/>
    <x v="0"/>
    <n v="2000720384"/>
    <n v="1840"/>
    <n v="2"/>
    <n v="0"/>
    <s v="U05944"/>
    <s v="L1188/89"/>
    <x v="0"/>
    <m/>
    <m/>
    <m/>
    <n v="0"/>
    <m/>
    <m/>
  </r>
  <r>
    <n v="4367"/>
    <x v="53"/>
    <s v="Night"/>
    <x v="0"/>
    <n v="2000720022"/>
    <n v="160"/>
    <n v="2"/>
    <n v="0"/>
    <s v="U05944"/>
    <s v="L1188/89"/>
    <x v="95"/>
    <m/>
    <m/>
    <m/>
    <n v="0"/>
    <m/>
    <m/>
  </r>
  <r>
    <n v="4368"/>
    <x v="53"/>
    <s v="Night"/>
    <x v="0"/>
    <n v="2000721363"/>
    <n v="1000"/>
    <n v="20"/>
    <n v="0"/>
    <s v="U36206"/>
    <s v="L1077"/>
    <x v="2"/>
    <m/>
    <m/>
    <m/>
    <n v="0"/>
    <m/>
    <m/>
  </r>
  <r>
    <n v="4369"/>
    <x v="53"/>
    <s v="Night"/>
    <x v="0"/>
    <n v="2000721292"/>
    <n v="3700"/>
    <n v="200"/>
    <n v="0"/>
    <s v="U36206"/>
    <s v="L1174/75"/>
    <x v="3"/>
    <m/>
    <m/>
    <m/>
    <n v="0"/>
    <m/>
    <m/>
  </r>
  <r>
    <n v="4370"/>
    <x v="53"/>
    <s v="Night"/>
    <x v="0"/>
    <n v="2000721567"/>
    <n v="290"/>
    <n v="80"/>
    <n v="0"/>
    <s v="U36206"/>
    <s v="L1106"/>
    <x v="70"/>
    <m/>
    <m/>
    <m/>
    <n v="0"/>
    <m/>
    <m/>
  </r>
  <r>
    <n v="4371"/>
    <x v="53"/>
    <s v="Night"/>
    <x v="0"/>
    <n v="2000721478"/>
    <n v="2300"/>
    <n v="80"/>
    <n v="0"/>
    <s v="U36206"/>
    <s v="L1144/47"/>
    <x v="120"/>
    <m/>
    <m/>
    <m/>
    <n v="0"/>
    <m/>
    <m/>
  </r>
  <r>
    <n v="4372"/>
    <x v="53"/>
    <s v="Night"/>
    <x v="0"/>
    <n v="2000721344"/>
    <n v="1200"/>
    <n v="120"/>
    <n v="0"/>
    <s v="U36206"/>
    <s v="L1144/47"/>
    <x v="59"/>
    <m/>
    <m/>
    <m/>
    <n v="0"/>
    <m/>
    <m/>
  </r>
  <r>
    <n v="4373"/>
    <x v="53"/>
    <s v="Night"/>
    <x v="0"/>
    <n v="2000720944"/>
    <n v="1000"/>
    <n v="60"/>
    <n v="0"/>
    <s v="U15759"/>
    <s v="L1193/94"/>
    <x v="104"/>
    <m/>
    <m/>
    <m/>
    <n v="0"/>
    <m/>
    <m/>
  </r>
  <r>
    <n v="4374"/>
    <x v="53"/>
    <s v="Night"/>
    <x v="0"/>
    <n v="2000720615"/>
    <n v="540"/>
    <n v="60"/>
    <n v="0"/>
    <s v="U15759"/>
    <s v="L1193/94"/>
    <x v="104"/>
    <m/>
    <m/>
    <m/>
    <n v="0"/>
    <m/>
    <m/>
  </r>
  <r>
    <n v="4375"/>
    <x v="53"/>
    <s v="Night"/>
    <x v="0"/>
    <n v="2000720665"/>
    <n v="4432"/>
    <n v="160"/>
    <n v="0"/>
    <s v="U27723"/>
    <s v="L1112/13"/>
    <x v="8"/>
    <m/>
    <m/>
    <m/>
    <n v="0"/>
    <m/>
    <m/>
  </r>
  <r>
    <n v="4376"/>
    <x v="53"/>
    <s v="Night"/>
    <x v="0"/>
    <n v="2000721478"/>
    <n v="2300"/>
    <n v="20"/>
    <n v="0"/>
    <s v="U27723"/>
    <s v="L1144/47"/>
    <x v="120"/>
    <m/>
    <m/>
    <m/>
    <n v="0"/>
    <m/>
    <m/>
  </r>
  <r>
    <n v="4377"/>
    <x v="53"/>
    <s v="Night"/>
    <x v="0"/>
    <n v="2000720811"/>
    <n v="3999"/>
    <n v="120"/>
    <n v="0"/>
    <s v="U27723"/>
    <s v="L1168/69"/>
    <x v="37"/>
    <m/>
    <m/>
    <m/>
    <n v="0"/>
    <m/>
    <m/>
  </r>
  <r>
    <n v="4378"/>
    <x v="53"/>
    <s v="Night"/>
    <x v="0"/>
    <n v="2000720178"/>
    <n v="954"/>
    <n v="950"/>
    <n v="0"/>
    <s v="U27723"/>
    <s v="L1151/52"/>
    <x v="259"/>
    <m/>
    <m/>
    <m/>
    <n v="0"/>
    <m/>
    <m/>
  </r>
  <r>
    <n v="4379"/>
    <x v="53"/>
    <s v="Night"/>
    <x v="0"/>
    <n v="2000720179"/>
    <n v="1246"/>
    <n v="160"/>
    <m/>
    <s v="U27723"/>
    <s v="L1151/52"/>
    <x v="173"/>
    <m/>
    <m/>
    <m/>
    <m/>
    <m/>
    <m/>
  </r>
  <r>
    <n v="4380"/>
    <x v="53"/>
    <s v="Night"/>
    <x v="0"/>
    <n v="2000720803"/>
    <n v="4432"/>
    <n v="160"/>
    <n v="0"/>
    <s v="U27723"/>
    <s v="L1112/13"/>
    <x v="8"/>
    <m/>
    <m/>
    <m/>
    <n v="0"/>
    <m/>
    <m/>
  </r>
  <r>
    <n v="4381"/>
    <x v="53"/>
    <s v="Night"/>
    <x v="1"/>
    <n v="2000721076"/>
    <n v="700"/>
    <n v="105"/>
    <n v="0"/>
    <s v="U29686"/>
    <s v="SHANKS"/>
    <x v="24"/>
    <m/>
    <m/>
    <m/>
    <n v="0"/>
    <m/>
    <m/>
  </r>
  <r>
    <n v="4382"/>
    <x v="53"/>
    <s v="Night"/>
    <x v="1"/>
    <n v="2000721460"/>
    <n v="400"/>
    <n v="105"/>
    <n v="0"/>
    <s v="U29686"/>
    <s v="SHANKS"/>
    <x v="24"/>
    <m/>
    <m/>
    <m/>
    <n v="0"/>
    <m/>
    <m/>
  </r>
  <r>
    <n v="4383"/>
    <x v="53"/>
    <s v="Night"/>
    <x v="1"/>
    <n v="2000718017"/>
    <n v="160"/>
    <n v="60"/>
    <n v="0"/>
    <s v="U15759"/>
    <s v="PSLV"/>
    <x v="128"/>
    <m/>
    <m/>
    <m/>
    <n v="0"/>
    <m/>
    <m/>
  </r>
  <r>
    <n v="4384"/>
    <x v="53"/>
    <s v="Night"/>
    <x v="1"/>
    <n v="2000721076"/>
    <n v="700"/>
    <n v="140"/>
    <n v="0"/>
    <s v="U15759"/>
    <s v="SHANKS"/>
    <x v="227"/>
    <m/>
    <m/>
    <m/>
    <n v="0"/>
    <m/>
    <m/>
  </r>
  <r>
    <n v="4385"/>
    <x v="53"/>
    <s v="Night"/>
    <x v="1"/>
    <n v="2000721460"/>
    <n v="400"/>
    <n v="70"/>
    <n v="0"/>
    <s v="U15759"/>
    <s v="SHANKS"/>
    <x v="24"/>
    <m/>
    <m/>
    <m/>
    <n v="0"/>
    <m/>
    <m/>
  </r>
  <r>
    <n v="4386"/>
    <x v="53"/>
    <s v="Night"/>
    <x v="1"/>
    <n v="2000721073"/>
    <n v="700"/>
    <n v="100"/>
    <n v="0"/>
    <s v="U15759"/>
    <s v="PSHV"/>
    <x v="96"/>
    <m/>
    <m/>
    <m/>
    <n v="0"/>
    <m/>
    <m/>
  </r>
  <r>
    <n v="4387"/>
    <x v="53"/>
    <s v="Night"/>
    <x v="1"/>
    <n v="2000721068"/>
    <n v="940"/>
    <n v="120"/>
    <n v="1"/>
    <s v="U15759"/>
    <s v="PSHV"/>
    <x v="223"/>
    <s v="Dính thiếc "/>
    <m/>
    <s v="RV410"/>
    <n v="1"/>
    <s v="\\vn-file\QC Department\4.OQC\00. OQC Performance\03. Images\01. NG\20210326-NG-0150721068.jpg"/>
    <s v="\\vn-file\QC Department\4.OQC\00. OQC Performance\03. Images\02. OK\20210326-OK-0150721068.jpg"/>
  </r>
  <r>
    <n v="4388"/>
    <x v="53"/>
    <s v="Night"/>
    <x v="1"/>
    <n v="2000721457"/>
    <n v="185"/>
    <n v="10"/>
    <n v="0"/>
    <s v="U15759"/>
    <s v="PSLV"/>
    <x v="135"/>
    <m/>
    <m/>
    <m/>
    <n v="0"/>
    <m/>
    <m/>
  </r>
  <r>
    <n v="4389"/>
    <x v="53"/>
    <s v="Night"/>
    <x v="0"/>
    <n v="2000720876"/>
    <n v="1000"/>
    <n v="160"/>
    <n v="0"/>
    <s v="U03968"/>
    <s v="L1077"/>
    <x v="6"/>
    <m/>
    <m/>
    <m/>
    <n v="0"/>
    <m/>
    <m/>
  </r>
  <r>
    <n v="4390"/>
    <x v="53"/>
    <s v="Night"/>
    <x v="0"/>
    <n v="2000721705"/>
    <n v="147"/>
    <n v="147"/>
    <n v="0"/>
    <s v="U03968"/>
    <s v="L1195"/>
    <x v="258"/>
    <m/>
    <m/>
    <m/>
    <n v="0"/>
    <m/>
    <m/>
  </r>
  <r>
    <n v="4391"/>
    <x v="53"/>
    <s v="Night"/>
    <x v="0"/>
    <n v="2000720879"/>
    <n v="1000"/>
    <n v="150"/>
    <n v="0"/>
    <s v="U03968"/>
    <s v="L1077"/>
    <x v="10"/>
    <m/>
    <m/>
    <m/>
    <n v="0"/>
    <m/>
    <m/>
  </r>
  <r>
    <n v="4392"/>
    <x v="53"/>
    <s v="Night"/>
    <x v="0"/>
    <n v="2000720845"/>
    <n v="896"/>
    <n v="150"/>
    <n v="0"/>
    <s v="U03968"/>
    <s v="L1105"/>
    <x v="174"/>
    <m/>
    <m/>
    <m/>
    <n v="0"/>
    <m/>
    <m/>
  </r>
  <r>
    <n v="4393"/>
    <x v="53"/>
    <s v="Night"/>
    <x v="0"/>
    <n v="2000720882"/>
    <n v="1000"/>
    <n v="160"/>
    <n v="0"/>
    <s v="U03968"/>
    <s v="L1077"/>
    <x v="36"/>
    <m/>
    <m/>
    <m/>
    <n v="0"/>
    <m/>
    <m/>
  </r>
  <r>
    <n v="4394"/>
    <x v="53"/>
    <s v="Night"/>
    <x v="0"/>
    <n v="2000720673"/>
    <n v="1480"/>
    <n v="520"/>
    <n v="0"/>
    <s v="U03968"/>
    <s v="L1151/52"/>
    <x v="85"/>
    <m/>
    <m/>
    <m/>
    <n v="0"/>
    <m/>
    <m/>
  </r>
  <r>
    <n v="4395"/>
    <x v="53"/>
    <s v="Night"/>
    <x v="0"/>
    <n v="2000720880"/>
    <n v="1000"/>
    <n v="150"/>
    <n v="0"/>
    <s v="U03968"/>
    <s v="L1077"/>
    <x v="33"/>
    <m/>
    <m/>
    <m/>
    <n v="0"/>
    <m/>
    <m/>
  </r>
  <r>
    <n v="4396"/>
    <x v="53"/>
    <s v="Night"/>
    <x v="0"/>
    <n v="2000720881"/>
    <n v="1000"/>
    <n v="120"/>
    <n v="0"/>
    <s v="U03968"/>
    <s v="L1077"/>
    <x v="6"/>
    <m/>
    <m/>
    <m/>
    <n v="0"/>
    <m/>
    <m/>
  </r>
  <r>
    <n v="4397"/>
    <x v="53"/>
    <s v="Night"/>
    <x v="0"/>
    <n v="2000721498"/>
    <n v="290"/>
    <n v="100"/>
    <n v="0"/>
    <s v="U03968"/>
    <s v="L1106"/>
    <x v="157"/>
    <m/>
    <m/>
    <m/>
    <n v="0"/>
    <m/>
    <m/>
  </r>
  <r>
    <n v="4398"/>
    <x v="53"/>
    <s v="Night"/>
    <x v="0"/>
    <n v="2000721497"/>
    <n v="290"/>
    <n v="80"/>
    <n v="0"/>
    <s v="U03968"/>
    <s v="L1106"/>
    <x v="115"/>
    <m/>
    <m/>
    <m/>
    <n v="0"/>
    <m/>
    <m/>
  </r>
  <r>
    <n v="4399"/>
    <x v="53"/>
    <s v="Night"/>
    <x v="0"/>
    <n v="2000721516"/>
    <n v="3000"/>
    <n v="200"/>
    <n v="0"/>
    <s v="U03968"/>
    <s v="L1112/13"/>
    <x v="75"/>
    <m/>
    <m/>
    <m/>
    <n v="0"/>
    <m/>
    <m/>
  </r>
  <r>
    <n v="4400"/>
    <x v="53"/>
    <s v="Night"/>
    <x v="0"/>
    <n v="2000720615"/>
    <n v="540"/>
    <n v="90"/>
    <n v="0"/>
    <s v="U32991"/>
    <s v="L1193/94"/>
    <x v="104"/>
    <m/>
    <m/>
    <m/>
    <n v="0"/>
    <m/>
    <m/>
  </r>
  <r>
    <n v="4401"/>
    <x v="53"/>
    <s v="Night"/>
    <x v="0"/>
    <n v="2000720944"/>
    <n v="1000"/>
    <n v="120"/>
    <n v="0"/>
    <s v="U32991"/>
    <s v="L1193/94"/>
    <x v="104"/>
    <m/>
    <m/>
    <m/>
    <n v="0"/>
    <m/>
    <m/>
  </r>
  <r>
    <n v="4402"/>
    <x v="53"/>
    <s v="Night"/>
    <x v="0"/>
    <n v="2000721336"/>
    <n v="1000"/>
    <n v="100"/>
    <n v="0"/>
    <s v="U32991"/>
    <s v="L1161/65"/>
    <x v="152"/>
    <m/>
    <m/>
    <m/>
    <n v="0"/>
    <m/>
    <m/>
  </r>
  <r>
    <n v="4403"/>
    <x v="53"/>
    <s v="Night"/>
    <x v="0"/>
    <n v="2000720619"/>
    <n v="410"/>
    <n v="60"/>
    <n v="0"/>
    <s v="U32991"/>
    <s v="L1193/94"/>
    <x v="192"/>
    <m/>
    <m/>
    <m/>
    <n v="0"/>
    <m/>
    <m/>
  </r>
  <r>
    <n v="4404"/>
    <x v="53"/>
    <s v="Night"/>
    <x v="0"/>
    <n v="2000721325"/>
    <n v="350"/>
    <n v="20"/>
    <n v="0"/>
    <s v="U32991"/>
    <s v="L1151/52"/>
    <x v="154"/>
    <m/>
    <m/>
    <m/>
    <n v="0"/>
    <m/>
    <m/>
  </r>
  <r>
    <n v="4405"/>
    <x v="53"/>
    <s v="Night"/>
    <x v="0"/>
    <n v="2000720186"/>
    <n v="300"/>
    <n v="150"/>
    <n v="0"/>
    <s v="U29686"/>
    <s v="L1172/73"/>
    <x v="175"/>
    <m/>
    <m/>
    <m/>
    <n v="0"/>
    <m/>
    <m/>
  </r>
  <r>
    <n v="4406"/>
    <x v="54"/>
    <s v="Day"/>
    <x v="1"/>
    <n v="2000721457"/>
    <n v="185"/>
    <n v="10"/>
    <n v="0"/>
    <s v="U09854"/>
    <s v="PSLV"/>
    <x v="135"/>
    <m/>
    <m/>
    <m/>
    <n v="0"/>
    <m/>
    <m/>
  </r>
  <r>
    <n v="4407"/>
    <x v="54"/>
    <s v="Day"/>
    <x v="1"/>
    <n v="2000721457"/>
    <n v="185"/>
    <n v="10"/>
    <n v="0"/>
    <s v="U09854"/>
    <s v="PSLV"/>
    <x v="135"/>
    <m/>
    <m/>
    <m/>
    <n v="0"/>
    <m/>
    <m/>
  </r>
  <r>
    <n v="4408"/>
    <x v="54"/>
    <s v="Day"/>
    <x v="1"/>
    <n v="2000721457"/>
    <n v="185"/>
    <n v="155"/>
    <n v="0"/>
    <s v="U23987"/>
    <s v="PSLV"/>
    <x v="135"/>
    <m/>
    <m/>
    <m/>
    <n v="0"/>
    <m/>
    <m/>
  </r>
  <r>
    <n v="4409"/>
    <x v="54"/>
    <s v="Day"/>
    <x v="1"/>
    <n v="2000721074"/>
    <n v="350"/>
    <n v="70"/>
    <n v="0"/>
    <s v="U23987"/>
    <s v="HVPS"/>
    <x v="96"/>
    <m/>
    <m/>
    <m/>
    <n v="0"/>
    <m/>
    <m/>
  </r>
  <r>
    <n v="4410"/>
    <x v="54"/>
    <s v="Day"/>
    <x v="1"/>
    <n v="2000721073"/>
    <n v="700"/>
    <n v="10"/>
    <n v="0"/>
    <s v="U23987"/>
    <s v="HVPS"/>
    <x v="96"/>
    <m/>
    <m/>
    <m/>
    <n v="0"/>
    <m/>
    <m/>
  </r>
  <r>
    <n v="4411"/>
    <x v="54"/>
    <s v="Day"/>
    <x v="0"/>
    <n v="2000721518"/>
    <n v="2400"/>
    <n v="300"/>
    <n v="0"/>
    <s v="U09854"/>
    <s v="L1193/94"/>
    <x v="66"/>
    <m/>
    <m/>
    <m/>
    <n v="0"/>
    <m/>
    <m/>
  </r>
  <r>
    <n v="4412"/>
    <x v="54"/>
    <s v="Day"/>
    <x v="0"/>
    <n v="2000720811"/>
    <n v="3999"/>
    <n v="120"/>
    <n v="0"/>
    <s v="U09854"/>
    <s v="L1168/69"/>
    <x v="37"/>
    <m/>
    <m/>
    <m/>
    <n v="0"/>
    <m/>
    <m/>
  </r>
  <r>
    <n v="4413"/>
    <x v="54"/>
    <s v="Day"/>
    <x v="0"/>
    <n v="2000720812"/>
    <n v="3999"/>
    <n v="120"/>
    <n v="0"/>
    <s v="U09854"/>
    <s v="L1168/69"/>
    <x v="37"/>
    <m/>
    <m/>
    <m/>
    <n v="0"/>
    <m/>
    <m/>
  </r>
  <r>
    <n v="4414"/>
    <x v="54"/>
    <s v="Day"/>
    <x v="0"/>
    <n v="2000720806"/>
    <n v="2448"/>
    <n v="160"/>
    <n v="0"/>
    <s v="U09854"/>
    <s v="L1128/29"/>
    <x v="11"/>
    <m/>
    <m/>
    <m/>
    <n v="0"/>
    <m/>
    <m/>
  </r>
  <r>
    <n v="4415"/>
    <x v="54"/>
    <s v="Day"/>
    <x v="0"/>
    <n v="2000715913"/>
    <n v="300"/>
    <n v="1"/>
    <n v="0"/>
    <s v="U09854"/>
    <s v="L1172/73"/>
    <x v="175"/>
    <m/>
    <m/>
    <m/>
    <n v="0"/>
    <m/>
    <m/>
  </r>
  <r>
    <n v="4416"/>
    <x v="54"/>
    <s v="Day"/>
    <x v="0"/>
    <n v="2000721741"/>
    <n v="130"/>
    <n v="20"/>
    <n v="0"/>
    <s v="U09854"/>
    <s v="L1105"/>
    <x v="126"/>
    <m/>
    <m/>
    <m/>
    <n v="0"/>
    <m/>
    <m/>
  </r>
  <r>
    <n v="4417"/>
    <x v="54"/>
    <s v="Day"/>
    <x v="0"/>
    <n v="2000721511"/>
    <n v="1020"/>
    <n v="300"/>
    <n v="0"/>
    <s v="U09854"/>
    <s v="L1174/75"/>
    <x v="62"/>
    <m/>
    <m/>
    <m/>
    <n v="0"/>
    <m/>
    <m/>
  </r>
  <r>
    <n v="4418"/>
    <x v="54"/>
    <s v="Day"/>
    <x v="0"/>
    <n v="2000721325"/>
    <n v="350"/>
    <n v="105"/>
    <n v="0"/>
    <s v="U31065"/>
    <s v="L1151/52"/>
    <x v="154"/>
    <m/>
    <m/>
    <m/>
    <n v="0"/>
    <m/>
    <m/>
  </r>
  <r>
    <n v="4419"/>
    <x v="54"/>
    <s v="Day"/>
    <x v="0"/>
    <n v="2000720615"/>
    <n v="540"/>
    <n v="60"/>
    <n v="0"/>
    <s v="U31065"/>
    <s v="L1193/94"/>
    <x v="104"/>
    <m/>
    <m/>
    <m/>
    <n v="0"/>
    <m/>
    <m/>
  </r>
  <r>
    <n v="4420"/>
    <x v="54"/>
    <s v="Day"/>
    <x v="0"/>
    <n v="2000721372"/>
    <n v="2450"/>
    <n v="480"/>
    <n v="0"/>
    <s v="U30500"/>
    <s v="L1193/94"/>
    <x v="30"/>
    <m/>
    <m/>
    <m/>
    <n v="0"/>
    <m/>
    <m/>
  </r>
  <r>
    <n v="4421"/>
    <x v="54"/>
    <s v="Day"/>
    <x v="0"/>
    <n v="2000720180"/>
    <n v="1120"/>
    <n v="3"/>
    <n v="0"/>
    <s v="U30500"/>
    <s v="L1151/52"/>
    <x v="185"/>
    <m/>
    <m/>
    <m/>
    <n v="0"/>
    <m/>
    <m/>
  </r>
  <r>
    <n v="4422"/>
    <x v="54"/>
    <s v="Day"/>
    <x v="0"/>
    <n v="2000721764"/>
    <n v="510"/>
    <n v="240"/>
    <n v="0"/>
    <s v="U36008"/>
    <s v="L1209/10"/>
    <x v="196"/>
    <m/>
    <m/>
    <m/>
    <n v="0"/>
    <m/>
    <m/>
  </r>
  <r>
    <n v="4423"/>
    <x v="54"/>
    <s v="Day"/>
    <x v="0"/>
    <n v="2000720854"/>
    <n v="560"/>
    <n v="7"/>
    <n v="0"/>
    <s v="U36008"/>
    <s v="L1209/10"/>
    <x v="196"/>
    <m/>
    <m/>
    <m/>
    <n v="0"/>
    <m/>
    <m/>
  </r>
  <r>
    <n v="4424"/>
    <x v="54"/>
    <s v="Day"/>
    <x v="0"/>
    <n v="2000721545"/>
    <n v="760"/>
    <n v="40"/>
    <n v="0"/>
    <s v="U36008"/>
    <s v="L1188/89"/>
    <x v="72"/>
    <m/>
    <m/>
    <m/>
    <n v="0"/>
    <m/>
    <m/>
  </r>
  <r>
    <n v="4425"/>
    <x v="54"/>
    <s v="Day"/>
    <x v="0"/>
    <n v="2000721727"/>
    <n v="890"/>
    <n v="280"/>
    <n v="0"/>
    <s v="U36008"/>
    <s v="L1188/89"/>
    <x v="43"/>
    <m/>
    <m/>
    <m/>
    <n v="0"/>
    <m/>
    <m/>
  </r>
  <r>
    <n v="4426"/>
    <x v="54"/>
    <s v="Day"/>
    <x v="0"/>
    <n v="2000720944"/>
    <n v="1000"/>
    <n v="438"/>
    <n v="0"/>
    <s v="U30119"/>
    <s v="L1193/94"/>
    <x v="104"/>
    <m/>
    <m/>
    <m/>
    <n v="0"/>
    <m/>
    <m/>
  </r>
  <r>
    <n v="4427"/>
    <x v="54"/>
    <s v="Day"/>
    <x v="0"/>
    <n v="2000720615"/>
    <n v="540"/>
    <n v="120"/>
    <n v="0"/>
    <s v="U30119"/>
    <s v="L1193/94"/>
    <x v="104"/>
    <m/>
    <m/>
    <m/>
    <n v="0"/>
    <m/>
    <m/>
  </r>
  <r>
    <n v="4428"/>
    <x v="54"/>
    <s v="Day"/>
    <x v="0"/>
    <n v="2000720803"/>
    <n v="4432"/>
    <n v="40"/>
    <n v="0"/>
    <s v="U26613"/>
    <s v="L1112/13"/>
    <x v="8"/>
    <m/>
    <m/>
    <m/>
    <n v="0"/>
    <m/>
    <m/>
  </r>
  <r>
    <n v="4429"/>
    <x v="54"/>
    <s v="Day"/>
    <x v="0"/>
    <n v="2000721481"/>
    <n v="1020"/>
    <n v="80"/>
    <n v="0"/>
    <s v="U26613"/>
    <s v="L1144/47"/>
    <x v="56"/>
    <m/>
    <m/>
    <m/>
    <n v="0"/>
    <m/>
    <m/>
  </r>
  <r>
    <n v="4430"/>
    <x v="54"/>
    <s v="Day"/>
    <x v="0"/>
    <n v="2000721466"/>
    <n v="1340"/>
    <n v="140"/>
    <n v="0"/>
    <s v="U26613"/>
    <s v="T541"/>
    <x v="133"/>
    <m/>
    <m/>
    <m/>
    <n v="0"/>
    <m/>
    <m/>
  </r>
  <r>
    <n v="4431"/>
    <x v="54"/>
    <s v="Day"/>
    <x v="0"/>
    <n v="2000721706"/>
    <n v="110"/>
    <n v="110"/>
    <n v="0"/>
    <s v="U26613"/>
    <s v="L1193/94"/>
    <x v="181"/>
    <m/>
    <m/>
    <m/>
    <n v="0"/>
    <m/>
    <m/>
  </r>
  <r>
    <n v="4432"/>
    <x v="54"/>
    <s v="Day"/>
    <x v="0"/>
    <n v="2000721509"/>
    <n v="1800"/>
    <n v="130"/>
    <n v="0"/>
    <s v="U26613"/>
    <s v="L1174/75"/>
    <x v="3"/>
    <m/>
    <m/>
    <m/>
    <n v="0"/>
    <m/>
    <m/>
  </r>
  <r>
    <n v="4433"/>
    <x v="54"/>
    <s v="Day"/>
    <x v="0"/>
    <n v="2000721480"/>
    <n v="300"/>
    <n v="80"/>
    <n v="0"/>
    <s v="U26613"/>
    <s v="L1144/47"/>
    <x v="101"/>
    <m/>
    <m/>
    <m/>
    <n v="0"/>
    <m/>
    <m/>
  </r>
  <r>
    <n v="4434"/>
    <x v="54"/>
    <s v="Day"/>
    <x v="0"/>
    <n v="2000720944"/>
    <n v="1000"/>
    <n v="120"/>
    <n v="0"/>
    <s v="U27724"/>
    <s v="L1193/94"/>
    <x v="104"/>
    <m/>
    <m/>
    <m/>
    <n v="0"/>
    <m/>
    <m/>
  </r>
  <r>
    <n v="4435"/>
    <x v="54"/>
    <s v="Day"/>
    <x v="0"/>
    <n v="2000720615"/>
    <n v="540"/>
    <n v="60"/>
    <n v="0"/>
    <s v="U27724"/>
    <s v="L1193/94"/>
    <x v="104"/>
    <m/>
    <m/>
    <m/>
    <n v="0"/>
    <m/>
    <m/>
  </r>
  <r>
    <n v="4436"/>
    <x v="54"/>
    <s v="Day"/>
    <x v="0"/>
    <n v="2000721545"/>
    <n v="760"/>
    <n v="280"/>
    <n v="0"/>
    <s v="U27724"/>
    <s v="L1188/89"/>
    <x v="72"/>
    <m/>
    <m/>
    <m/>
    <n v="0"/>
    <m/>
    <m/>
  </r>
  <r>
    <n v="4437"/>
    <x v="54"/>
    <s v="Day"/>
    <x v="0"/>
    <n v="2000721727"/>
    <n v="890"/>
    <n v="120"/>
    <n v="0"/>
    <s v="U27724"/>
    <s v="L1188/89"/>
    <x v="43"/>
    <m/>
    <m/>
    <m/>
    <n v="0"/>
    <m/>
    <m/>
  </r>
  <r>
    <n v="4438"/>
    <x v="54"/>
    <s v="Day"/>
    <x v="0"/>
    <n v="2000721611"/>
    <n v="40"/>
    <n v="40"/>
    <n v="0"/>
    <s v="U27724"/>
    <s v="L1188/89"/>
    <x v="178"/>
    <m/>
    <m/>
    <m/>
    <n v="0"/>
    <m/>
    <m/>
  </r>
  <r>
    <n v="4439"/>
    <x v="54"/>
    <s v="Day"/>
    <x v="0"/>
    <n v="2000721544"/>
    <n v="760"/>
    <n v="80"/>
    <n v="0"/>
    <s v="U27724"/>
    <s v="L1188/89"/>
    <x v="73"/>
    <m/>
    <m/>
    <m/>
    <n v="0"/>
    <m/>
    <m/>
  </r>
  <r>
    <n v="4440"/>
    <x v="54"/>
    <s v="Day"/>
    <x v="0"/>
    <n v="2000721727"/>
    <n v="890"/>
    <n v="20"/>
    <n v="0"/>
    <s v="U23987"/>
    <s v="L1188/89"/>
    <x v="43"/>
    <m/>
    <m/>
    <m/>
    <n v="0"/>
    <m/>
    <m/>
  </r>
  <r>
    <n v="4441"/>
    <x v="54"/>
    <s v="Day"/>
    <x v="0"/>
    <n v="2000721237"/>
    <n v="1900"/>
    <n v="120"/>
    <n v="0"/>
    <s v="U30425"/>
    <s v="L1172/73"/>
    <x v="99"/>
    <m/>
    <m/>
    <m/>
    <n v="0"/>
    <m/>
    <m/>
  </r>
  <r>
    <n v="4442"/>
    <x v="54"/>
    <s v="Day"/>
    <x v="0"/>
    <n v="2000721545"/>
    <n v="760"/>
    <n v="120"/>
    <n v="0"/>
    <s v="U30425"/>
    <s v="L1188/89"/>
    <x v="72"/>
    <m/>
    <m/>
    <m/>
    <n v="0"/>
    <m/>
    <m/>
  </r>
  <r>
    <n v="4443"/>
    <x v="54"/>
    <s v="Day"/>
    <x v="0"/>
    <n v="2000721727"/>
    <n v="890"/>
    <n v="209"/>
    <n v="0"/>
    <s v="U30425"/>
    <s v="L1188/89"/>
    <x v="43"/>
    <m/>
    <m/>
    <m/>
    <n v="0"/>
    <m/>
    <m/>
  </r>
  <r>
    <n v="4444"/>
    <x v="54"/>
    <s v="Night"/>
    <x v="0"/>
    <n v="2000721373"/>
    <n v="4220"/>
    <n v="300"/>
    <n v="0"/>
    <s v="U03968"/>
    <s v="T515"/>
    <x v="15"/>
    <m/>
    <m/>
    <m/>
    <n v="0"/>
    <m/>
    <m/>
  </r>
  <r>
    <n v="4445"/>
    <x v="54"/>
    <s v="Night"/>
    <x v="0"/>
    <n v="2000721514"/>
    <n v="944"/>
    <n v="200"/>
    <n v="0"/>
    <s v="U03968"/>
    <s v="L1144/47"/>
    <x v="250"/>
    <m/>
    <m/>
    <m/>
    <n v="0"/>
    <m/>
    <m/>
  </r>
  <r>
    <n v="4446"/>
    <x v="54"/>
    <s v="Night"/>
    <x v="0"/>
    <n v="2000721706"/>
    <n v="110"/>
    <n v="110"/>
    <n v="0"/>
    <s v="U03968"/>
    <s v="L1193/94"/>
    <x v="181"/>
    <m/>
    <m/>
    <m/>
    <n v="0"/>
    <m/>
    <m/>
  </r>
  <r>
    <n v="4447"/>
    <x v="54"/>
    <s v="Night"/>
    <x v="0"/>
    <n v="2000721512"/>
    <n v="2200"/>
    <n v="300"/>
    <n v="0"/>
    <s v="U03968"/>
    <s v="L1174/75"/>
    <x v="62"/>
    <m/>
    <m/>
    <m/>
    <n v="0"/>
    <m/>
    <m/>
  </r>
  <r>
    <n v="4448"/>
    <x v="54"/>
    <s v="Night"/>
    <x v="0"/>
    <n v="2000721372"/>
    <n v="2450"/>
    <n v="240"/>
    <n v="0"/>
    <s v="U03968"/>
    <s v="L1193/94"/>
    <x v="30"/>
    <m/>
    <m/>
    <m/>
    <n v="0"/>
    <m/>
    <m/>
  </r>
  <r>
    <n v="4449"/>
    <x v="54"/>
    <s v="Night"/>
    <x v="0"/>
    <n v="2000721517"/>
    <n v="896"/>
    <n v="200"/>
    <n v="0"/>
    <s v="U03968"/>
    <s v="L1105"/>
    <x v="174"/>
    <m/>
    <m/>
    <m/>
    <n v="0"/>
    <m/>
    <m/>
  </r>
  <r>
    <n v="4450"/>
    <x v="54"/>
    <s v="Night"/>
    <x v="0"/>
    <n v="2000721374"/>
    <n v="560"/>
    <n v="120"/>
    <n v="0"/>
    <s v="U03968"/>
    <s v="L1144/47"/>
    <x v="150"/>
    <m/>
    <m/>
    <m/>
    <n v="0"/>
    <m/>
    <m/>
  </r>
  <r>
    <n v="4451"/>
    <x v="54"/>
    <s v="Night"/>
    <x v="0"/>
    <n v="2000721739"/>
    <n v="130"/>
    <n v="50"/>
    <n v="0"/>
    <s v="U03968"/>
    <s v="L1105"/>
    <x v="150"/>
    <m/>
    <m/>
    <m/>
    <n v="0"/>
    <m/>
    <m/>
  </r>
  <r>
    <n v="4452"/>
    <x v="54"/>
    <s v="Night"/>
    <x v="0"/>
    <n v="2000721515"/>
    <n v="3600"/>
    <n v="240"/>
    <n v="0"/>
    <s v="U03968"/>
    <s v="L1172/73"/>
    <x v="7"/>
    <m/>
    <m/>
    <m/>
    <n v="0"/>
    <m/>
    <m/>
  </r>
  <r>
    <n v="4453"/>
    <x v="54"/>
    <s v="Night"/>
    <x v="0"/>
    <n v="2000721738"/>
    <n v="130"/>
    <n v="50"/>
    <n v="0"/>
    <s v="U03968"/>
    <s v="L1105"/>
    <x v="149"/>
    <m/>
    <m/>
    <m/>
    <n v="0"/>
    <m/>
    <m/>
  </r>
  <r>
    <n v="4454"/>
    <x v="54"/>
    <s v="Night"/>
    <x v="0"/>
    <n v="2000720684"/>
    <n v="1500"/>
    <n v="150"/>
    <n v="0"/>
    <s v="U03968"/>
    <s v="L1144/47"/>
    <x v="77"/>
    <m/>
    <m/>
    <m/>
    <n v="0"/>
    <m/>
    <m/>
  </r>
  <r>
    <n v="4455"/>
    <x v="54"/>
    <s v="Night"/>
    <x v="0"/>
    <n v="2000720685"/>
    <n v="1500"/>
    <n v="150"/>
    <n v="0"/>
    <s v="U03968"/>
    <s v="L1144/47"/>
    <x v="13"/>
    <m/>
    <m/>
    <m/>
    <n v="0"/>
    <m/>
    <m/>
  </r>
  <r>
    <n v="4456"/>
    <x v="54"/>
    <s v="Night"/>
    <x v="0"/>
    <n v="2000720944"/>
    <n v="1000"/>
    <n v="30"/>
    <n v="0"/>
    <s v="U15759"/>
    <s v="L1193/94"/>
    <x v="104"/>
    <m/>
    <m/>
    <m/>
    <n v="0"/>
    <m/>
    <m/>
  </r>
  <r>
    <n v="4457"/>
    <x v="54"/>
    <s v="Night"/>
    <x v="0"/>
    <n v="2000721302"/>
    <n v="800"/>
    <n v="60"/>
    <n v="0"/>
    <s v="U15759"/>
    <s v="L1193/94"/>
    <x v="116"/>
    <m/>
    <m/>
    <m/>
    <n v="0"/>
    <m/>
    <m/>
  </r>
  <r>
    <n v="4458"/>
    <x v="54"/>
    <s v="Night"/>
    <x v="0"/>
    <n v="2000721733"/>
    <n v="440"/>
    <n v="160"/>
    <n v="0"/>
    <s v="U15759"/>
    <s v="L1188/89"/>
    <x v="73"/>
    <m/>
    <m/>
    <m/>
    <n v="0"/>
    <m/>
    <m/>
  </r>
  <r>
    <n v="4459"/>
    <x v="54"/>
    <s v="Night"/>
    <x v="0"/>
    <n v="2000721733"/>
    <n v="440"/>
    <n v="289"/>
    <n v="0"/>
    <s v="U15759"/>
    <s v="L1188/89"/>
    <x v="73"/>
    <m/>
    <m/>
    <m/>
    <n v="0"/>
    <m/>
    <m/>
  </r>
  <r>
    <n v="4460"/>
    <x v="54"/>
    <s v="Night"/>
    <x v="0"/>
    <n v="2000720812"/>
    <n v="3999"/>
    <n v="120"/>
    <n v="1"/>
    <s v="U29686"/>
    <s v="L1168/69"/>
    <x v="37"/>
    <s v="Bong, vỡ linh kiện"/>
    <m/>
    <s v="C2"/>
    <n v="1"/>
    <s v="\\vn-file\QC Department\4.OQC\00. OQC Performance\03. Images\01. NG\20210327-NG-2125720812.jpg"/>
    <s v="\\vn-file\QC Department\4.OQC\00. OQC Performance\03. Images\02. OK\20210327-OK-2125720812.jpg"/>
  </r>
  <r>
    <n v="4461"/>
    <x v="54"/>
    <s v="Night"/>
    <x v="0"/>
    <n v="2000721452"/>
    <n v="1260"/>
    <n v="67"/>
    <n v="0"/>
    <s v="U29686"/>
    <s v="L1172/73"/>
    <x v="83"/>
    <m/>
    <m/>
    <m/>
    <n v="0"/>
    <m/>
    <m/>
  </r>
  <r>
    <n v="4462"/>
    <x v="54"/>
    <s v="Night"/>
    <x v="0"/>
    <n v="2000721325"/>
    <n v="350"/>
    <n v="115"/>
    <n v="0"/>
    <s v="U32991"/>
    <s v="L1151/52"/>
    <x v="154"/>
    <m/>
    <m/>
    <m/>
    <n v="0"/>
    <m/>
    <m/>
  </r>
  <r>
    <n v="4463"/>
    <x v="54"/>
    <s v="Night"/>
    <x v="0"/>
    <n v="2000721302"/>
    <n v="800"/>
    <n v="90"/>
    <n v="0"/>
    <s v="U32991"/>
    <s v="L1193/94"/>
    <x v="116"/>
    <m/>
    <m/>
    <m/>
    <n v="0"/>
    <m/>
    <m/>
  </r>
  <r>
    <n v="4464"/>
    <x v="54"/>
    <s v="Night"/>
    <x v="0"/>
    <n v="2000721404"/>
    <n v="510"/>
    <n v="120"/>
    <n v="0"/>
    <s v="U32991"/>
    <s v="L1193/94"/>
    <x v="21"/>
    <m/>
    <m/>
    <m/>
    <n v="0"/>
    <m/>
    <m/>
  </r>
  <r>
    <n v="4465"/>
    <x v="54"/>
    <s v="Night"/>
    <x v="0"/>
    <n v="2000721405"/>
    <n v="500"/>
    <n v="60"/>
    <n v="0"/>
    <s v="U32991"/>
    <s v="L1193/94"/>
    <x v="146"/>
    <m/>
    <m/>
    <m/>
    <n v="0"/>
    <m/>
    <m/>
  </r>
  <r>
    <n v="4466"/>
    <x v="54"/>
    <s v="Night"/>
    <x v="0"/>
    <n v="2000721545"/>
    <n v="760"/>
    <n v="200"/>
    <n v="0"/>
    <s v="U18660"/>
    <s v="L1188/89"/>
    <x v="72"/>
    <m/>
    <m/>
    <m/>
    <n v="0"/>
    <m/>
    <m/>
  </r>
  <r>
    <n v="4467"/>
    <x v="54"/>
    <s v="Night"/>
    <x v="0"/>
    <n v="2000721344"/>
    <n v="1200"/>
    <n v="80"/>
    <n v="0"/>
    <s v="U18660"/>
    <s v="L1144/47"/>
    <x v="59"/>
    <m/>
    <m/>
    <m/>
    <n v="0"/>
    <m/>
    <m/>
  </r>
  <r>
    <n v="4468"/>
    <x v="54"/>
    <s v="Night"/>
    <x v="0"/>
    <n v="2000721742"/>
    <n v="300"/>
    <n v="225"/>
    <n v="0"/>
    <s v="U18660"/>
    <s v="L1209/10"/>
    <x v="69"/>
    <m/>
    <m/>
    <m/>
    <n v="0"/>
    <m/>
    <m/>
  </r>
  <r>
    <n v="4469"/>
    <x v="54"/>
    <s v="Night"/>
    <x v="0"/>
    <n v="2000720803"/>
    <n v="4432"/>
    <n v="160"/>
    <n v="0"/>
    <s v="U27723"/>
    <s v="L1112/13"/>
    <x v="8"/>
    <m/>
    <m/>
    <m/>
    <n v="0"/>
    <m/>
    <m/>
  </r>
  <r>
    <n v="4470"/>
    <x v="54"/>
    <s v="Night"/>
    <x v="0"/>
    <n v="2000721479"/>
    <n v="1260"/>
    <n v="200"/>
    <n v="0"/>
    <s v="U27723"/>
    <s v="L1144/47"/>
    <x v="1"/>
    <m/>
    <m/>
    <m/>
    <n v="0"/>
    <m/>
    <m/>
  </r>
  <r>
    <n v="4471"/>
    <x v="54"/>
    <s v="Night"/>
    <x v="0"/>
    <n v="2000721375"/>
    <n v="3960"/>
    <n v="200"/>
    <n v="0"/>
    <s v="U27723"/>
    <s v="L1144/47"/>
    <x v="14"/>
    <m/>
    <m/>
    <m/>
    <n v="0"/>
    <m/>
    <m/>
  </r>
  <r>
    <n v="4472"/>
    <x v="54"/>
    <s v="Night"/>
    <x v="1"/>
    <n v="2000772107"/>
    <n v="350"/>
    <n v="80"/>
    <n v="0"/>
    <s v="U15759"/>
    <s v="PSHV"/>
    <x v="96"/>
    <m/>
    <m/>
    <m/>
    <n v="0"/>
    <m/>
    <m/>
  </r>
  <r>
    <n v="4473"/>
    <x v="54"/>
    <s v="Night"/>
    <x v="1"/>
    <n v="2000721461"/>
    <n v="400"/>
    <n v="105"/>
    <n v="0"/>
    <s v="U15759"/>
    <s v="SHANKS"/>
    <x v="24"/>
    <m/>
    <m/>
    <m/>
    <n v="0"/>
    <m/>
    <m/>
  </r>
  <r>
    <n v="4474"/>
    <x v="54"/>
    <s v="Night"/>
    <x v="1"/>
    <n v="2000721462"/>
    <n v="400"/>
    <n v="105"/>
    <n v="0"/>
    <s v="U15759"/>
    <s v="SHANKS"/>
    <x v="24"/>
    <m/>
    <m/>
    <m/>
    <n v="0"/>
    <m/>
    <m/>
  </r>
  <r>
    <n v="4475"/>
    <x v="54"/>
    <s v="Night"/>
    <x v="1"/>
    <n v="2000721463"/>
    <n v="400"/>
    <n v="105"/>
    <n v="0"/>
    <s v="U15759"/>
    <s v="SHANKS"/>
    <x v="24"/>
    <m/>
    <m/>
    <m/>
    <n v="0"/>
    <m/>
    <m/>
  </r>
  <r>
    <n v="4476"/>
    <x v="54"/>
    <s v="Night"/>
    <x v="1"/>
    <n v="2000721072"/>
    <n v="470"/>
    <n v="80"/>
    <n v="0"/>
    <s v="U15759"/>
    <s v="PSHV"/>
    <x v="223"/>
    <m/>
    <m/>
    <m/>
    <n v="0"/>
    <m/>
    <m/>
  </r>
  <r>
    <n v="4477"/>
    <x v="55"/>
    <s v="Day"/>
    <x v="0"/>
    <n v="2000721733"/>
    <n v="440"/>
    <n v="111"/>
    <n v="0"/>
    <s v="U23987"/>
    <s v="L1188/89"/>
    <x v="73"/>
    <m/>
    <m/>
    <m/>
    <n v="0"/>
    <m/>
    <m/>
  </r>
  <r>
    <n v="4478"/>
    <x v="55"/>
    <s v="Day"/>
    <x v="0"/>
    <n v="2000721544"/>
    <n v="760"/>
    <n v="280"/>
    <n v="0"/>
    <s v="U23987"/>
    <s v="L1188/89"/>
    <x v="73"/>
    <m/>
    <m/>
    <m/>
    <n v="0"/>
    <m/>
    <m/>
  </r>
  <r>
    <n v="4479"/>
    <x v="55"/>
    <s v="Day"/>
    <x v="0"/>
    <n v="2000721637"/>
    <n v="452"/>
    <n v="135"/>
    <n v="0"/>
    <s v="U23987"/>
    <s v="L1170/71"/>
    <x v="117"/>
    <m/>
    <m/>
    <m/>
    <n v="0"/>
    <m/>
    <m/>
  </r>
  <r>
    <n v="4480"/>
    <x v="55"/>
    <s v="Day"/>
    <x v="0"/>
    <n v="2000720633"/>
    <n v="270"/>
    <n v="2"/>
    <n v="0"/>
    <s v="U23987"/>
    <s v="L1170/71"/>
    <x v="46"/>
    <m/>
    <m/>
    <m/>
    <n v="0"/>
    <m/>
    <m/>
  </r>
  <r>
    <n v="4481"/>
    <x v="55"/>
    <s v="Day"/>
    <x v="0"/>
    <n v="2000721557"/>
    <n v="410"/>
    <n v="90"/>
    <n v="0"/>
    <s v="U23987"/>
    <s v="L1170/71"/>
    <x v="45"/>
    <m/>
    <m/>
    <m/>
    <n v="0"/>
    <m/>
    <m/>
  </r>
  <r>
    <n v="4482"/>
    <x v="55"/>
    <s v="Day"/>
    <x v="0"/>
    <n v="2000721325"/>
    <n v="350"/>
    <n v="30"/>
    <n v="0"/>
    <s v="U31036"/>
    <s v="L1151/52"/>
    <x v="154"/>
    <m/>
    <m/>
    <m/>
    <n v="0"/>
    <m/>
    <m/>
  </r>
  <r>
    <n v="4483"/>
    <x v="55"/>
    <s v="Day"/>
    <x v="0"/>
    <n v="2000721302"/>
    <n v="800"/>
    <n v="282"/>
    <n v="0"/>
    <s v="U31036"/>
    <s v="L1194/95"/>
    <x v="116"/>
    <m/>
    <m/>
    <m/>
    <n v="0"/>
    <m/>
    <m/>
  </r>
  <r>
    <n v="4484"/>
    <x v="55"/>
    <s v="Day"/>
    <x v="0"/>
    <n v="2000721405"/>
    <n v="500"/>
    <n v="150"/>
    <n v="0"/>
    <s v="U31036"/>
    <s v="L1193/94"/>
    <x v="146"/>
    <m/>
    <m/>
    <m/>
    <n v="0"/>
    <m/>
    <m/>
  </r>
  <r>
    <n v="4485"/>
    <x v="55"/>
    <s v="Day"/>
    <x v="0"/>
    <n v="2000721404"/>
    <n v="510"/>
    <n v="30"/>
    <n v="0"/>
    <s v="U31036"/>
    <s v="L1193/94"/>
    <x v="21"/>
    <m/>
    <m/>
    <m/>
    <n v="0"/>
    <m/>
    <m/>
  </r>
  <r>
    <n v="4486"/>
    <x v="55"/>
    <s v="Day"/>
    <x v="0"/>
    <n v="2000721637"/>
    <n v="452"/>
    <n v="90"/>
    <n v="0"/>
    <s v="U31036"/>
    <s v="L1170/71"/>
    <x v="117"/>
    <m/>
    <m/>
    <m/>
    <n v="0"/>
    <m/>
    <m/>
  </r>
  <r>
    <n v="4487"/>
    <x v="55"/>
    <s v="Day"/>
    <x v="0"/>
    <n v="2000721557"/>
    <n v="410"/>
    <n v="90"/>
    <n v="0"/>
    <s v="U31036"/>
    <s v="L1170/71"/>
    <x v="45"/>
    <m/>
    <m/>
    <m/>
    <n v="0"/>
    <m/>
    <m/>
  </r>
  <r>
    <n v="4488"/>
    <x v="55"/>
    <s v="Day"/>
    <x v="0"/>
    <n v="2000721615"/>
    <n v="300"/>
    <n v="30"/>
    <n v="0"/>
    <s v="U31036"/>
    <s v="L1209/10"/>
    <x v="55"/>
    <m/>
    <m/>
    <m/>
    <n v="0"/>
    <m/>
    <m/>
  </r>
  <r>
    <n v="4489"/>
    <x v="55"/>
    <s v="Day"/>
    <x v="0"/>
    <n v="2000721728"/>
    <n v="40"/>
    <n v="40"/>
    <n v="0"/>
    <s v="U09749"/>
    <s v="L1188/89"/>
    <x v="54"/>
    <m/>
    <m/>
    <m/>
    <n v="0"/>
    <m/>
    <m/>
  </r>
  <r>
    <n v="4490"/>
    <x v="55"/>
    <s v="Day"/>
    <x v="0"/>
    <n v="2000721733"/>
    <n v="440"/>
    <n v="40"/>
    <n v="0"/>
    <s v="U09749"/>
    <s v="L1188/89"/>
    <x v="73"/>
    <m/>
    <m/>
    <m/>
    <n v="0"/>
    <m/>
    <m/>
  </r>
  <r>
    <n v="4491"/>
    <x v="55"/>
    <s v="Day"/>
    <x v="0"/>
    <n v="2000721544"/>
    <n v="760"/>
    <n v="399"/>
    <n v="0"/>
    <s v="U09749"/>
    <s v="L1188/89"/>
    <x v="73"/>
    <m/>
    <m/>
    <m/>
    <n v="0"/>
    <m/>
    <m/>
  </r>
  <r>
    <n v="4493"/>
    <x v="55"/>
    <s v="Day"/>
    <x v="0"/>
    <n v="2000721637"/>
    <n v="452"/>
    <n v="90"/>
    <n v="0"/>
    <s v="U09749"/>
    <s v="L1170/71"/>
    <x v="117"/>
    <m/>
    <m/>
    <m/>
    <n v="0"/>
    <m/>
    <m/>
  </r>
  <r>
    <n v="4494"/>
    <x v="55"/>
    <s v="Day"/>
    <x v="0"/>
    <n v="2000721557"/>
    <n v="410"/>
    <n v="90"/>
    <n v="0"/>
    <s v="U09749"/>
    <s v="L1170/71"/>
    <x v="45"/>
    <m/>
    <m/>
    <m/>
    <n v="0"/>
    <m/>
    <m/>
  </r>
  <r>
    <n v="4495"/>
    <x v="55"/>
    <s v="Day"/>
    <x v="0"/>
    <n v="2000721615"/>
    <n v="300"/>
    <n v="45"/>
    <n v="0"/>
    <s v="U09749"/>
    <s v="L1209/10"/>
    <x v="55"/>
    <m/>
    <m/>
    <m/>
    <n v="0"/>
    <m/>
    <m/>
  </r>
  <r>
    <n v="4496"/>
    <x v="55"/>
    <s v="Day"/>
    <x v="0"/>
    <n v="2000721742"/>
    <n v="300"/>
    <n v="45"/>
    <n v="0"/>
    <s v="U27724"/>
    <s v="L1209/10"/>
    <x v="69"/>
    <m/>
    <m/>
    <m/>
    <n v="0"/>
    <m/>
    <m/>
  </r>
  <r>
    <n v="4497"/>
    <x v="55"/>
    <s v="Day"/>
    <x v="0"/>
    <n v="2000708959"/>
    <n v="1132"/>
    <n v="16"/>
    <n v="0"/>
    <s v="U27724"/>
    <s v="L1209/10"/>
    <x v="55"/>
    <m/>
    <m/>
    <m/>
    <n v="0"/>
    <m/>
    <m/>
  </r>
  <r>
    <n v="4498"/>
    <x v="55"/>
    <s v="Day"/>
    <x v="0"/>
    <n v="2000720615"/>
    <n v="540"/>
    <n v="30"/>
    <n v="0"/>
    <s v="U27724"/>
    <s v="L1193/94"/>
    <x v="104"/>
    <m/>
    <m/>
    <m/>
    <n v="0"/>
    <m/>
    <m/>
  </r>
  <r>
    <n v="4499"/>
    <x v="55"/>
    <s v="Day"/>
    <x v="0"/>
    <n v="2000720944"/>
    <n v="1000"/>
    <n v="210"/>
    <n v="0"/>
    <s v="U27724"/>
    <s v="L1193/94"/>
    <x v="104"/>
    <m/>
    <m/>
    <m/>
    <n v="0"/>
    <m/>
    <m/>
  </r>
  <r>
    <n v="4500"/>
    <x v="55"/>
    <s v="Day"/>
    <x v="0"/>
    <n v="2000720441"/>
    <n v="850"/>
    <n v="1"/>
    <n v="0"/>
    <s v="U27724"/>
    <s v="L1193/94"/>
    <x v="21"/>
    <m/>
    <m/>
    <m/>
    <n v="0"/>
    <m/>
    <m/>
  </r>
  <r>
    <n v="4501"/>
    <x v="55"/>
    <s v="Day"/>
    <x v="0"/>
    <n v="2000721404"/>
    <n v="510"/>
    <n v="360"/>
    <n v="0"/>
    <s v="U27724"/>
    <s v="L1193/94"/>
    <x v="21"/>
    <m/>
    <m/>
    <m/>
    <n v="0"/>
    <m/>
    <m/>
  </r>
  <r>
    <n v="4502"/>
    <x v="55"/>
    <s v="Day"/>
    <x v="0"/>
    <n v="2000721557"/>
    <n v="410"/>
    <n v="140"/>
    <n v="0"/>
    <s v="U27724"/>
    <s v="L1170/71"/>
    <x v="45"/>
    <m/>
    <m/>
    <m/>
    <n v="0"/>
    <m/>
    <m/>
  </r>
  <r>
    <n v="4503"/>
    <x v="55"/>
    <s v="Day"/>
    <x v="0"/>
    <n v="2000721637"/>
    <n v="452"/>
    <n v="137"/>
    <n v="0"/>
    <s v="U27724"/>
    <s v="L1170/71"/>
    <x v="117"/>
    <m/>
    <m/>
    <m/>
    <n v="0"/>
    <m/>
    <m/>
  </r>
  <r>
    <n v="4504"/>
    <x v="56"/>
    <s v="Day"/>
    <x v="0"/>
    <n v="2000720805"/>
    <n v="4448"/>
    <n v="200"/>
    <n v="0"/>
    <s v="U26613"/>
    <s v="L1112/13"/>
    <x v="8"/>
    <m/>
    <m/>
    <m/>
    <n v="0"/>
    <m/>
    <m/>
  </r>
  <r>
    <n v="4505"/>
    <x v="56"/>
    <s v="Day"/>
    <x v="0"/>
    <n v="2000721781"/>
    <n v="2400"/>
    <n v="160"/>
    <n v="0"/>
    <s v="U26613"/>
    <s v="L1128/29"/>
    <x v="11"/>
    <m/>
    <m/>
    <m/>
    <n v="0"/>
    <m/>
    <m/>
  </r>
  <r>
    <n v="4506"/>
    <x v="56"/>
    <s v="Day"/>
    <x v="0"/>
    <n v="2000721731"/>
    <n v="1000"/>
    <n v="80"/>
    <n v="0"/>
    <s v="U26613"/>
    <s v="L1186"/>
    <x v="4"/>
    <m/>
    <m/>
    <m/>
    <n v="0"/>
    <m/>
    <m/>
  </r>
  <r>
    <n v="4507"/>
    <x v="56"/>
    <s v="Day"/>
    <x v="0"/>
    <n v="2000721513"/>
    <n v="2200"/>
    <n v="130"/>
    <n v="0"/>
    <s v="U26613"/>
    <s v="L1174/75"/>
    <x v="3"/>
    <m/>
    <m/>
    <m/>
    <n v="0"/>
    <m/>
    <m/>
  </r>
  <r>
    <n v="4508"/>
    <x v="56"/>
    <s v="Day"/>
    <x v="0"/>
    <n v="2000721883"/>
    <n v="150"/>
    <n v="20"/>
    <n v="0"/>
    <s v="U26613"/>
    <s v="L1144/47"/>
    <x v="57"/>
    <m/>
    <m/>
    <m/>
    <n v="0"/>
    <m/>
    <m/>
  </r>
  <r>
    <n v="4509"/>
    <x v="56"/>
    <s v="Day"/>
    <x v="0"/>
    <n v="2000721451"/>
    <n v="380"/>
    <n v="60"/>
    <n v="0"/>
    <s v="U26613"/>
    <s v="L1172/73"/>
    <x v="19"/>
    <m/>
    <m/>
    <m/>
    <n v="0"/>
    <m/>
    <m/>
  </r>
  <r>
    <n v="4510"/>
    <x v="56"/>
    <s v="Day"/>
    <x v="0"/>
    <n v="2000720198"/>
    <n v="240"/>
    <n v="2"/>
    <n v="0"/>
    <s v="U26613"/>
    <s v="L1172/73"/>
    <x v="169"/>
    <m/>
    <m/>
    <m/>
    <n v="0"/>
    <m/>
    <m/>
  </r>
  <r>
    <n v="4511"/>
    <x v="56"/>
    <s v="Day"/>
    <x v="0"/>
    <n v="2000721546"/>
    <n v="120"/>
    <n v="40"/>
    <n v="0"/>
    <s v="U30425"/>
    <s v="L1188/89"/>
    <x v="47"/>
    <m/>
    <m/>
    <m/>
    <n v="0"/>
    <m/>
    <m/>
  </r>
  <r>
    <n v="4512"/>
    <x v="56"/>
    <s v="Day"/>
    <x v="0"/>
    <n v="2000721545"/>
    <n v="760"/>
    <n v="40"/>
    <n v="0"/>
    <s v="U30425"/>
    <s v="L1188/89"/>
    <x v="72"/>
    <m/>
    <m/>
    <m/>
    <n v="0"/>
    <m/>
    <m/>
  </r>
  <r>
    <n v="4513"/>
    <x v="56"/>
    <s v="Day"/>
    <x v="0"/>
    <n v="2000721734"/>
    <n v="320"/>
    <n v="120"/>
    <n v="0"/>
    <s v="U30425"/>
    <s v="L1188/89"/>
    <x v="183"/>
    <m/>
    <m/>
    <m/>
    <n v="0"/>
    <m/>
    <m/>
  </r>
  <r>
    <n v="4514"/>
    <x v="56"/>
    <s v="Day"/>
    <x v="0"/>
    <n v="2000721732"/>
    <n v="600"/>
    <n v="80"/>
    <n v="0"/>
    <s v="U30425"/>
    <s v="L1188/89"/>
    <x v="95"/>
    <m/>
    <m/>
    <m/>
    <n v="0"/>
    <m/>
    <m/>
  </r>
  <r>
    <n v="4515"/>
    <x v="56"/>
    <s v="Day"/>
    <x v="0"/>
    <n v="2000721452"/>
    <n v="1260"/>
    <n v="53"/>
    <n v="0"/>
    <s v="U30425"/>
    <s v="L1172/73"/>
    <x v="83"/>
    <m/>
    <m/>
    <m/>
    <n v="0"/>
    <m/>
    <m/>
  </r>
  <r>
    <n v="4516"/>
    <x v="56"/>
    <s v="Day"/>
    <x v="0"/>
    <n v="2000721345"/>
    <n v="200"/>
    <n v="40"/>
    <n v="0"/>
    <s v="U30425"/>
    <s v="L1182"/>
    <x v="137"/>
    <m/>
    <m/>
    <m/>
    <n v="0"/>
    <m/>
    <m/>
  </r>
  <r>
    <n v="4517"/>
    <x v="56"/>
    <s v="Day"/>
    <x v="0"/>
    <n v="2000721568"/>
    <n v="950"/>
    <n v="90"/>
    <n v="0"/>
    <s v="U30425"/>
    <s v="L1172/73"/>
    <x v="20"/>
    <m/>
    <m/>
    <m/>
    <n v="0"/>
    <m/>
    <m/>
  </r>
  <r>
    <n v="4518"/>
    <x v="56"/>
    <s v="Day"/>
    <x v="0"/>
    <n v="2000718461"/>
    <n v="400"/>
    <n v="9"/>
    <n v="0"/>
    <s v="U30425"/>
    <s v="L1209/10"/>
    <x v="44"/>
    <m/>
    <m/>
    <m/>
    <n v="0"/>
    <m/>
    <m/>
  </r>
  <r>
    <n v="4519"/>
    <x v="56"/>
    <s v="Day"/>
    <x v="0"/>
    <n v="2000714220"/>
    <n v="576"/>
    <n v="12"/>
    <n v="0"/>
    <s v="U30425"/>
    <s v="L1170/71"/>
    <x v="46"/>
    <m/>
    <m/>
    <m/>
    <n v="0"/>
    <m/>
    <m/>
  </r>
  <r>
    <n v="4520"/>
    <x v="56"/>
    <s v="Day"/>
    <x v="0"/>
    <n v="2000721546"/>
    <n v="120"/>
    <n v="80"/>
    <n v="0"/>
    <s v="U23987"/>
    <s v="L1188/89"/>
    <x v="47"/>
    <m/>
    <m/>
    <m/>
    <n v="0"/>
    <m/>
    <m/>
  </r>
  <r>
    <n v="4521"/>
    <x v="56"/>
    <s v="Day"/>
    <x v="0"/>
    <n v="2000721545"/>
    <n v="760"/>
    <n v="40"/>
    <n v="0"/>
    <s v="U23987"/>
    <s v="L1188/89"/>
    <x v="72"/>
    <m/>
    <m/>
    <m/>
    <n v="0"/>
    <m/>
    <m/>
  </r>
  <r>
    <n v="4522"/>
    <x v="56"/>
    <s v="Day"/>
    <x v="0"/>
    <n v="2000721734"/>
    <n v="320"/>
    <n v="119"/>
    <n v="0"/>
    <s v="U23987"/>
    <s v="L1188/89"/>
    <x v="183"/>
    <m/>
    <m/>
    <m/>
    <n v="0"/>
    <m/>
    <m/>
  </r>
  <r>
    <n v="4523"/>
    <x v="56"/>
    <s v="Day"/>
    <x v="0"/>
    <n v="2000721732"/>
    <n v="600"/>
    <n v="200"/>
    <n v="0"/>
    <s v="U23987"/>
    <s v="L1188/89"/>
    <x v="95"/>
    <m/>
    <m/>
    <m/>
    <n v="0"/>
    <m/>
    <m/>
  </r>
  <r>
    <n v="4524"/>
    <x v="56"/>
    <s v="Day"/>
    <x v="0"/>
    <n v="2000721735"/>
    <n v="160"/>
    <n v="131"/>
    <n v="0"/>
    <s v="U23987"/>
    <s v="L1188/89"/>
    <x v="194"/>
    <m/>
    <m/>
    <m/>
    <n v="0"/>
    <m/>
    <m/>
  </r>
  <r>
    <n v="4525"/>
    <x v="56"/>
    <s v="Day"/>
    <x v="0"/>
    <n v="2000721405"/>
    <n v="500"/>
    <n v="60"/>
    <n v="0"/>
    <s v="U30119"/>
    <s v="L1193/94"/>
    <x v="146"/>
    <m/>
    <m/>
    <m/>
    <n v="0"/>
    <m/>
    <m/>
  </r>
  <r>
    <n v="4526"/>
    <x v="56"/>
    <s v="Day"/>
    <x v="0"/>
    <n v="2000721482"/>
    <n v="400"/>
    <n v="130"/>
    <n v="0"/>
    <s v="U30119"/>
    <s v="L1193/94"/>
    <x v="192"/>
    <m/>
    <m/>
    <m/>
    <n v="0"/>
    <m/>
    <m/>
  </r>
  <r>
    <n v="4527"/>
    <x v="56"/>
    <s v="Day"/>
    <x v="0"/>
    <n v="2000721302"/>
    <n v="800"/>
    <n v="150"/>
    <n v="0"/>
    <s v="U30119"/>
    <s v="L1193/94"/>
    <x v="116"/>
    <m/>
    <m/>
    <m/>
    <n v="0"/>
    <m/>
    <m/>
  </r>
  <r>
    <n v="4528"/>
    <x v="56"/>
    <s v="Day"/>
    <x v="0"/>
    <n v="2000721483"/>
    <n v="600"/>
    <n v="60"/>
    <n v="0"/>
    <s v="U30119"/>
    <s v="L1193/94"/>
    <x v="192"/>
    <m/>
    <m/>
    <m/>
    <n v="0"/>
    <m/>
    <m/>
  </r>
  <r>
    <n v="4529"/>
    <x v="56"/>
    <s v="Day"/>
    <x v="0"/>
    <n v="2000720683"/>
    <n v="1500"/>
    <n v="200"/>
    <n v="0"/>
    <s v="U09854"/>
    <s v="L1144/47"/>
    <x v="92"/>
    <m/>
    <m/>
    <m/>
    <n v="0"/>
    <m/>
    <m/>
  </r>
  <r>
    <n v="4530"/>
    <x v="56"/>
    <s v="Day"/>
    <x v="0"/>
    <n v="2000721376"/>
    <n v="4220"/>
    <n v="240"/>
    <n v="0"/>
    <s v="U09854"/>
    <s v="T515"/>
    <x v="15"/>
    <m/>
    <m/>
    <m/>
    <n v="0"/>
    <m/>
    <m/>
  </r>
  <r>
    <n v="4531"/>
    <x v="56"/>
    <s v="Day"/>
    <x v="0"/>
    <n v="2000721740"/>
    <n v="130"/>
    <n v="20"/>
    <n v="0"/>
    <s v="U09854"/>
    <s v="L1105"/>
    <x v="151"/>
    <m/>
    <m/>
    <m/>
    <n v="0"/>
    <m/>
    <m/>
  </r>
  <r>
    <n v="4532"/>
    <x v="56"/>
    <s v="Day"/>
    <x v="0"/>
    <n v="2000720945"/>
    <n v="3216"/>
    <n v="415"/>
    <n v="0"/>
    <s v="U09854"/>
    <s v="L1193/94"/>
    <x v="119"/>
    <m/>
    <m/>
    <m/>
    <n v="0"/>
    <m/>
    <m/>
  </r>
  <r>
    <n v="4533"/>
    <x v="56"/>
    <s v="Day"/>
    <x v="0"/>
    <n v="2000721519"/>
    <n v="1808"/>
    <n v="1407"/>
    <n v="0"/>
    <s v="U09854"/>
    <s v="L1193/94"/>
    <x v="119"/>
    <m/>
    <m/>
    <m/>
    <n v="0"/>
    <m/>
    <m/>
  </r>
  <r>
    <n v="4534"/>
    <x v="56"/>
    <s v="Day"/>
    <x v="0"/>
    <n v="2000720897"/>
    <n v="1610"/>
    <n v="200"/>
    <n v="0"/>
    <s v="U09854"/>
    <s v="L1174/75"/>
    <x v="62"/>
    <m/>
    <m/>
    <m/>
    <n v="0"/>
    <m/>
    <m/>
  </r>
  <r>
    <n v="4535"/>
    <x v="56"/>
    <s v="Day"/>
    <x v="0"/>
    <n v="2000721495"/>
    <n v="1000"/>
    <n v="200"/>
    <n v="0"/>
    <s v="U09854"/>
    <s v="L1186"/>
    <x v="32"/>
    <m/>
    <m/>
    <m/>
    <n v="0"/>
    <m/>
    <m/>
  </r>
  <r>
    <n v="4536"/>
    <x v="56"/>
    <s v="Day"/>
    <x v="0"/>
    <n v="2000721494"/>
    <n v="1000"/>
    <n v="200"/>
    <n v="0"/>
    <s v="U09854"/>
    <s v="L1186"/>
    <x v="34"/>
    <m/>
    <m/>
    <m/>
    <n v="0"/>
    <m/>
    <m/>
  </r>
  <r>
    <n v="4537"/>
    <x v="56"/>
    <s v="Day"/>
    <x v="0"/>
    <n v="2000721615"/>
    <n v="300"/>
    <n v="90"/>
    <n v="0"/>
    <s v="U31065"/>
    <s v="L1209/10"/>
    <x v="55"/>
    <m/>
    <m/>
    <m/>
    <n v="0"/>
    <m/>
    <m/>
  </r>
  <r>
    <n v="4538"/>
    <x v="56"/>
    <s v="Day"/>
    <x v="0"/>
    <n v="2000721405"/>
    <n v="500"/>
    <n v="102"/>
    <n v="0"/>
    <s v="U31065"/>
    <s v="L1193/94"/>
    <x v="146"/>
    <m/>
    <m/>
    <m/>
    <n v="0"/>
    <m/>
    <m/>
  </r>
  <r>
    <n v="4539"/>
    <x v="56"/>
    <s v="Day"/>
    <x v="0"/>
    <n v="2000721325"/>
    <n v="350"/>
    <n v="40"/>
    <n v="0"/>
    <s v="U31065"/>
    <s v="L1151/52"/>
    <x v="154"/>
    <m/>
    <m/>
    <m/>
    <n v="0"/>
    <m/>
    <m/>
  </r>
  <r>
    <n v="4540"/>
    <x v="56"/>
    <s v="Day"/>
    <x v="0"/>
    <n v="2000721482"/>
    <n v="400"/>
    <n v="150"/>
    <n v="0"/>
    <s v="U31065"/>
    <s v="L1193/94"/>
    <x v="192"/>
    <m/>
    <m/>
    <m/>
    <n v="0"/>
    <m/>
    <m/>
  </r>
  <r>
    <n v="4541"/>
    <x v="56"/>
    <s v="Day"/>
    <x v="0"/>
    <n v="2000721615"/>
    <n v="300"/>
    <n v="45"/>
    <n v="0"/>
    <s v="U36008"/>
    <s v="L1209/10"/>
    <x v="55"/>
    <m/>
    <m/>
    <m/>
    <n v="0"/>
    <m/>
    <m/>
  </r>
  <r>
    <n v="4542"/>
    <x v="56"/>
    <s v="Day"/>
    <x v="0"/>
    <n v="2000721591"/>
    <n v="360"/>
    <n v="270"/>
    <n v="0"/>
    <s v="U36008"/>
    <s v="L1170/71"/>
    <x v="45"/>
    <m/>
    <m/>
    <m/>
    <n v="0"/>
    <m/>
    <m/>
  </r>
  <r>
    <n v="4543"/>
    <x v="56"/>
    <s v="Day"/>
    <x v="0"/>
    <n v="2000721732"/>
    <n v="600"/>
    <n v="160"/>
    <n v="0"/>
    <s v="U36008"/>
    <s v="L1188/89"/>
    <x v="95"/>
    <m/>
    <m/>
    <m/>
    <n v="0"/>
    <m/>
    <m/>
  </r>
  <r>
    <n v="4544"/>
    <x v="56"/>
    <s v="Day"/>
    <x v="0"/>
    <n v="2000721615"/>
    <n v="300"/>
    <n v="90"/>
    <n v="0"/>
    <s v="U27724"/>
    <s v="L1209/10"/>
    <x v="55"/>
    <m/>
    <m/>
    <m/>
    <n v="0"/>
    <m/>
    <m/>
  </r>
  <r>
    <n v="4545"/>
    <x v="56"/>
    <s v="Day"/>
    <x v="0"/>
    <n v="2000718323"/>
    <n v="680"/>
    <n v="1"/>
    <n v="0"/>
    <s v="U27724"/>
    <s v="L1188/89"/>
    <x v="72"/>
    <m/>
    <m/>
    <m/>
    <n v="0"/>
    <m/>
    <m/>
  </r>
  <r>
    <n v="4546"/>
    <x v="56"/>
    <s v="Day"/>
    <x v="0"/>
    <n v="2000721545"/>
    <n v="760"/>
    <n v="40"/>
    <n v="0"/>
    <s v="U27724"/>
    <s v="L1188/89"/>
    <x v="72"/>
    <m/>
    <m/>
    <m/>
    <n v="0"/>
    <m/>
    <m/>
  </r>
  <r>
    <n v="4547"/>
    <x v="56"/>
    <s v="Day"/>
    <x v="0"/>
    <n v="2000721372"/>
    <n v="2450"/>
    <n v="480"/>
    <n v="0"/>
    <s v="U27724"/>
    <s v="L1193/94"/>
    <x v="30"/>
    <m/>
    <m/>
    <m/>
    <n v="0"/>
    <m/>
    <m/>
  </r>
  <r>
    <n v="4548"/>
    <x v="56"/>
    <s v="Day"/>
    <x v="0"/>
    <n v="2000721734"/>
    <n v="320"/>
    <n v="80"/>
    <n v="0"/>
    <s v="U27724"/>
    <s v="L1188/89"/>
    <x v="183"/>
    <m/>
    <m/>
    <m/>
    <n v="0"/>
    <m/>
    <m/>
  </r>
  <r>
    <n v="4549"/>
    <x v="56"/>
    <s v="Day"/>
    <x v="0"/>
    <n v="2000721405"/>
    <n v="500"/>
    <n v="120"/>
    <n v="0"/>
    <s v="U27724"/>
    <s v="L1193/94"/>
    <x v="146"/>
    <m/>
    <m/>
    <m/>
    <n v="0"/>
    <m/>
    <m/>
  </r>
  <r>
    <n v="4550"/>
    <x v="56"/>
    <s v="Day"/>
    <x v="0"/>
    <n v="2000721302"/>
    <n v="800"/>
    <n v="150"/>
    <n v="0"/>
    <s v="U27724"/>
    <s v="L1193/94"/>
    <x v="116"/>
    <m/>
    <m/>
    <m/>
    <n v="0"/>
    <m/>
    <m/>
  </r>
  <r>
    <n v="4551"/>
    <x v="56"/>
    <s v="Day"/>
    <x v="0"/>
    <n v="2000721482"/>
    <n v="400"/>
    <n v="120"/>
    <n v="0"/>
    <s v="U27724"/>
    <s v="L1193/94"/>
    <x v="192"/>
    <m/>
    <m/>
    <m/>
    <n v="0"/>
    <m/>
    <m/>
  </r>
  <r>
    <n v="4552"/>
    <x v="56"/>
    <s v="Day"/>
    <x v="1"/>
    <n v="2000721071"/>
    <n v="620"/>
    <n v="2"/>
    <n v="0"/>
    <s v="U30119"/>
    <s v="FLORA"/>
    <x v="28"/>
    <m/>
    <m/>
    <m/>
    <n v="0"/>
    <m/>
    <m/>
  </r>
  <r>
    <n v="4553"/>
    <x v="56"/>
    <s v="Day"/>
    <x v="1"/>
    <n v="2000721457"/>
    <n v="185"/>
    <n v="10"/>
    <n v="0"/>
    <s v="U30119"/>
    <s v="PSLV"/>
    <x v="135"/>
    <m/>
    <m/>
    <m/>
    <n v="0"/>
    <m/>
    <m/>
  </r>
  <r>
    <n v="4554"/>
    <x v="56"/>
    <s v="Day"/>
    <x v="1"/>
    <n v="2000721454"/>
    <n v="95"/>
    <n v="95"/>
    <n v="0"/>
    <s v="U30119"/>
    <s v="PSLV"/>
    <x v="23"/>
    <m/>
    <m/>
    <m/>
    <n v="0"/>
    <m/>
    <m/>
  </r>
  <r>
    <n v="4555"/>
    <x v="56"/>
    <s v="Day"/>
    <x v="1"/>
    <n v="2000721078"/>
    <n v="620"/>
    <n v="2"/>
    <n v="0"/>
    <s v="U30119"/>
    <s v="LVHV"/>
    <x v="29"/>
    <m/>
    <m/>
    <m/>
    <n v="0"/>
    <m/>
    <m/>
  </r>
  <r>
    <n v="4556"/>
    <x v="56"/>
    <s v="Day"/>
    <x v="1"/>
    <n v="2000720166"/>
    <n v="620"/>
    <n v="2"/>
    <n v="0"/>
    <s v="U30119"/>
    <s v="FLORA"/>
    <x v="180"/>
    <m/>
    <m/>
    <m/>
    <n v="0"/>
    <m/>
    <m/>
  </r>
  <r>
    <n v="4557"/>
    <x v="56"/>
    <s v="Day"/>
    <x v="1"/>
    <n v="2000718987"/>
    <n v="185"/>
    <n v="2"/>
    <n v="0"/>
    <s v="U30119"/>
    <s v="PSLV"/>
    <x v="91"/>
    <m/>
    <m/>
    <m/>
    <n v="0"/>
    <m/>
    <m/>
  </r>
  <r>
    <n v="4558"/>
    <x v="56"/>
    <s v="Day"/>
    <x v="1"/>
    <n v="2000721477"/>
    <n v="480"/>
    <n v="96"/>
    <n v="0"/>
    <s v="U30119"/>
    <s v="FRANKY"/>
    <x v="51"/>
    <m/>
    <m/>
    <m/>
    <n v="0"/>
    <m/>
    <m/>
  </r>
  <r>
    <n v="4559"/>
    <x v="56"/>
    <s v="Day"/>
    <x v="1"/>
    <n v="2000717693"/>
    <n v="130"/>
    <n v="1"/>
    <n v="0"/>
    <s v="U30119"/>
    <s v="PSLV"/>
    <x v="200"/>
    <m/>
    <m/>
    <m/>
    <n v="0"/>
    <m/>
    <m/>
  </r>
  <r>
    <n v="4560"/>
    <x v="56"/>
    <s v="Day"/>
    <x v="1"/>
    <n v="2000713483"/>
    <n v="270"/>
    <n v="1"/>
    <n v="0"/>
    <s v="U30119"/>
    <s v="PSLV"/>
    <x v="128"/>
    <m/>
    <m/>
    <m/>
    <n v="0"/>
    <m/>
    <m/>
  </r>
  <r>
    <n v="4561"/>
    <x v="56"/>
    <s v="Day"/>
    <x v="1"/>
    <n v="2000718017"/>
    <n v="160"/>
    <n v="55"/>
    <n v="0"/>
    <s v="U30119"/>
    <s v="PSLV"/>
    <x v="128"/>
    <m/>
    <m/>
    <m/>
    <n v="0"/>
    <m/>
    <m/>
  </r>
  <r>
    <n v="4562"/>
    <x v="56"/>
    <s v="Day"/>
    <x v="1"/>
    <n v="2000721459"/>
    <n v="60"/>
    <n v="30"/>
    <n v="0"/>
    <s v="U30119"/>
    <s v="SHANKS"/>
    <x v="147"/>
    <m/>
    <m/>
    <m/>
    <n v="0"/>
    <m/>
    <m/>
  </r>
  <r>
    <n v="4563"/>
    <x v="56"/>
    <s v="Night"/>
    <x v="0"/>
    <n v="2000721496"/>
    <n v="1000"/>
    <n v="150"/>
    <n v="0"/>
    <s v="U35262"/>
    <s v="L1186"/>
    <x v="35"/>
    <m/>
    <m/>
    <m/>
    <n v="0"/>
    <m/>
    <m/>
  </r>
  <r>
    <n v="4564"/>
    <x v="56"/>
    <s v="Night"/>
    <x v="0"/>
    <n v="2000721372"/>
    <n v="2450"/>
    <n v="240"/>
    <n v="0"/>
    <s v="U35262"/>
    <s v="L1193"/>
    <x v="30"/>
    <m/>
    <m/>
    <m/>
    <n v="0"/>
    <m/>
    <m/>
  </r>
  <r>
    <n v="4565"/>
    <x v="56"/>
    <s v="Night"/>
    <x v="0"/>
    <n v="2000721347"/>
    <n v="200"/>
    <n v="200"/>
    <n v="0"/>
    <s v="U33613"/>
    <s v="L1182"/>
    <x v="142"/>
    <m/>
    <m/>
    <m/>
    <n v="0"/>
    <m/>
    <m/>
  </r>
  <r>
    <n v="4566"/>
    <x v="56"/>
    <s v="Night"/>
    <x v="0"/>
    <n v="2000721483"/>
    <n v="600"/>
    <n v="360"/>
    <n v="0"/>
    <s v="U32991"/>
    <s v="L1193/94"/>
    <x v="192"/>
    <m/>
    <m/>
    <m/>
    <n v="0"/>
    <m/>
    <m/>
  </r>
  <r>
    <n v="4567"/>
    <x v="56"/>
    <s v="Night"/>
    <x v="0"/>
    <n v="2000721302"/>
    <n v="800"/>
    <n v="60"/>
    <n v="0"/>
    <s v="U32991"/>
    <s v="L1193/94"/>
    <x v="116"/>
    <m/>
    <m/>
    <m/>
    <n v="0"/>
    <m/>
    <m/>
  </r>
  <r>
    <n v="4568"/>
    <x v="56"/>
    <s v="Night"/>
    <x v="0"/>
    <n v="2000720618"/>
    <n v="720"/>
    <n v="5"/>
    <n v="0"/>
    <s v="U32991"/>
    <s v="L1193/94"/>
    <x v="146"/>
    <m/>
    <m/>
    <m/>
    <n v="0"/>
    <m/>
    <m/>
  </r>
  <r>
    <n v="4569"/>
    <x v="56"/>
    <s v="Night"/>
    <x v="0"/>
    <n v="2000721406"/>
    <n v="310"/>
    <n v="240"/>
    <n v="0"/>
    <s v="U32991"/>
    <s v="L1193/94"/>
    <x v="123"/>
    <m/>
    <m/>
    <m/>
    <n v="0"/>
    <m/>
    <m/>
  </r>
  <r>
    <n v="4570"/>
    <x v="56"/>
    <s v="Night"/>
    <x v="0"/>
    <n v="2000721735"/>
    <n v="160"/>
    <n v="29"/>
    <n v="0"/>
    <s v="U18660"/>
    <s v="L1188/89"/>
    <x v="194"/>
    <m/>
    <m/>
    <m/>
    <n v="0"/>
    <m/>
    <m/>
  </r>
  <r>
    <n v="4571"/>
    <x v="56"/>
    <s v="Night"/>
    <x v="0"/>
    <n v="2000721732"/>
    <n v="600"/>
    <n v="80"/>
    <n v="0"/>
    <s v="U18660"/>
    <s v="L1188/89"/>
    <x v="95"/>
    <m/>
    <m/>
    <m/>
    <n v="0"/>
    <m/>
    <m/>
  </r>
  <r>
    <n v="4572"/>
    <x v="56"/>
    <s v="Night"/>
    <x v="0"/>
    <n v="2000721733"/>
    <n v="440"/>
    <n v="1"/>
    <n v="0"/>
    <s v="U18660"/>
    <s v="L1188/89"/>
    <x v="73"/>
    <m/>
    <m/>
    <m/>
    <n v="0"/>
    <m/>
    <m/>
  </r>
  <r>
    <n v="4573"/>
    <x v="56"/>
    <s v="Night"/>
    <x v="0"/>
    <n v="2000720859"/>
    <n v="640"/>
    <n v="4"/>
    <n v="0"/>
    <s v="U18660"/>
    <s v="L1188/89"/>
    <x v="130"/>
    <m/>
    <m/>
    <m/>
    <n v="0"/>
    <m/>
    <m/>
  </r>
  <r>
    <n v="4574"/>
    <x v="56"/>
    <s v="Night"/>
    <x v="0"/>
    <n v="2000720852"/>
    <n v="1000"/>
    <n v="3"/>
    <n v="0"/>
    <s v="U18660"/>
    <s v="L1188/89"/>
    <x v="84"/>
    <m/>
    <m/>
    <m/>
    <n v="0"/>
    <m/>
    <m/>
  </r>
  <r>
    <n v="4575"/>
    <x v="56"/>
    <s v="Night"/>
    <x v="0"/>
    <n v="2000721726"/>
    <n v="470"/>
    <n v="2"/>
    <n v="0"/>
    <s v="U18660"/>
    <s v="L1188/89"/>
    <x v="16"/>
    <m/>
    <m/>
    <m/>
    <n v="0"/>
    <m/>
    <m/>
  </r>
  <r>
    <n v="4576"/>
    <x v="56"/>
    <s v="Night"/>
    <x v="0"/>
    <n v="2000720860"/>
    <n v="1260"/>
    <n v="2"/>
    <n v="0"/>
    <s v="U18660"/>
    <s v="L1188/89"/>
    <x v="17"/>
    <m/>
    <m/>
    <m/>
    <n v="0"/>
    <m/>
    <m/>
  </r>
  <r>
    <n v="4577"/>
    <x v="56"/>
    <s v="Night"/>
    <x v="0"/>
    <n v="2000715224"/>
    <n v="2460"/>
    <n v="6"/>
    <n v="0"/>
    <s v="U18660"/>
    <s v="L1209/10"/>
    <x v="196"/>
    <m/>
    <m/>
    <m/>
    <n v="0"/>
    <m/>
    <m/>
  </r>
  <r>
    <n v="4578"/>
    <x v="56"/>
    <s v="Night"/>
    <x v="0"/>
    <n v="2000713386"/>
    <n v="952"/>
    <n v="4"/>
    <n v="0"/>
    <s v="U18660"/>
    <s v="L1209/10"/>
    <x v="216"/>
    <m/>
    <m/>
    <m/>
    <n v="0"/>
    <m/>
    <m/>
  </r>
  <r>
    <n v="4579"/>
    <x v="56"/>
    <s v="Night"/>
    <x v="0"/>
    <n v="2000721451"/>
    <n v="380"/>
    <n v="20"/>
    <n v="0"/>
    <s v="U18660"/>
    <s v="L1172/73"/>
    <x v="19"/>
    <m/>
    <m/>
    <m/>
    <n v="0"/>
    <m/>
    <m/>
  </r>
  <r>
    <n v="4580"/>
    <x v="56"/>
    <s v="Night"/>
    <x v="0"/>
    <n v="2000721453"/>
    <n v="150"/>
    <n v="150"/>
    <n v="0"/>
    <s v="U18660"/>
    <s v="L1172/73"/>
    <x v="169"/>
    <m/>
    <m/>
    <m/>
    <n v="0"/>
    <m/>
    <m/>
  </r>
  <r>
    <n v="4581"/>
    <x v="56"/>
    <s v="Night"/>
    <x v="0"/>
    <n v="2000721569"/>
    <n v="950"/>
    <n v="60"/>
    <n v="0"/>
    <s v="U18660"/>
    <s v="L1172/73"/>
    <x v="20"/>
    <m/>
    <m/>
    <m/>
    <n v="0"/>
    <m/>
    <m/>
  </r>
  <r>
    <n v="4582"/>
    <x v="56"/>
    <s v="Night"/>
    <x v="0"/>
    <n v="2000721743"/>
    <n v="560"/>
    <n v="200"/>
    <n v="0"/>
    <s v="U18660"/>
    <s v="L1172/73"/>
    <x v="193"/>
    <m/>
    <m/>
    <m/>
    <n v="0"/>
    <m/>
    <m/>
  </r>
  <r>
    <n v="4583"/>
    <x v="56"/>
    <s v="Night"/>
    <x v="0"/>
    <n v="2000720661"/>
    <n v="640"/>
    <n v="1"/>
    <n v="0"/>
    <s v="U18660"/>
    <s v="L1188/89"/>
    <x v="47"/>
    <m/>
    <m/>
    <m/>
    <n v="0"/>
    <m/>
    <m/>
  </r>
  <r>
    <n v="4584"/>
    <x v="56"/>
    <s v="Night"/>
    <x v="0"/>
    <n v="2000721406"/>
    <n v="310"/>
    <n v="46"/>
    <n v="0"/>
    <s v="U18660"/>
    <s v="L1193/94"/>
    <x v="123"/>
    <m/>
    <m/>
    <m/>
    <n v="0"/>
    <m/>
    <m/>
  </r>
  <r>
    <n v="4585"/>
    <x v="56"/>
    <s v="Night"/>
    <x v="0"/>
    <n v="2000721732"/>
    <n v="600"/>
    <n v="80"/>
    <n v="0"/>
    <s v="U15766"/>
    <s v="L188/89"/>
    <x v="95"/>
    <m/>
    <m/>
    <m/>
    <n v="0"/>
    <m/>
    <m/>
  </r>
  <r>
    <n v="4586"/>
    <x v="56"/>
    <s v="Night"/>
    <x v="0"/>
    <n v="2000720852"/>
    <n v="1000"/>
    <n v="7"/>
    <n v="0"/>
    <s v="U15766"/>
    <s v="L1188/89"/>
    <x v="84"/>
    <m/>
    <m/>
    <m/>
    <n v="0"/>
    <m/>
    <m/>
  </r>
  <r>
    <n v="4587"/>
    <x v="56"/>
    <s v="Night"/>
    <x v="0"/>
    <n v="2000721591"/>
    <n v="360"/>
    <n v="91"/>
    <n v="0"/>
    <s v="U15766"/>
    <s v="L1170/71"/>
    <x v="45"/>
    <m/>
    <m/>
    <m/>
    <n v="0"/>
    <m/>
    <m/>
  </r>
  <r>
    <n v="4588"/>
    <x v="56"/>
    <s v="Night"/>
    <x v="0"/>
    <n v="2000719270"/>
    <n v="450"/>
    <n v="6"/>
    <n v="0"/>
    <s v="U15766"/>
    <s v="L1170-71"/>
    <x v="46"/>
    <m/>
    <m/>
    <m/>
    <n v="0"/>
    <m/>
    <m/>
  </r>
  <r>
    <n v="4589"/>
    <x v="56"/>
    <s v="Night"/>
    <x v="0"/>
    <n v="2000718464"/>
    <n v="2000"/>
    <n v="12"/>
    <n v="0"/>
    <s v="U15766"/>
    <s v="L1209/10"/>
    <x v="68"/>
    <m/>
    <m/>
    <m/>
    <n v="0"/>
    <m/>
    <m/>
  </r>
  <r>
    <n v="4590"/>
    <x v="56"/>
    <s v="Night"/>
    <x v="0"/>
    <n v="2000721569"/>
    <n v="950"/>
    <n v="30"/>
    <n v="0"/>
    <s v="U15766"/>
    <s v="L1172/73"/>
    <x v="20"/>
    <m/>
    <m/>
    <m/>
    <n v="0"/>
    <m/>
    <m/>
  </r>
  <r>
    <n v="4591"/>
    <x v="56"/>
    <s v="Night"/>
    <x v="0"/>
    <n v="2000721510"/>
    <n v="1260"/>
    <n v="130"/>
    <n v="0"/>
    <s v="U36206"/>
    <s v="L1174/75"/>
    <x v="171"/>
    <m/>
    <m/>
    <m/>
    <n v="0"/>
    <m/>
    <m/>
  </r>
  <r>
    <n v="4592"/>
    <x v="56"/>
    <s v="Night"/>
    <x v="0"/>
    <n v="2000721363"/>
    <n v="2000"/>
    <n v="120"/>
    <n v="0"/>
    <s v="U36206"/>
    <s v="L1146/47"/>
    <x v="59"/>
    <m/>
    <m/>
    <m/>
    <n v="0"/>
    <m/>
    <m/>
  </r>
  <r>
    <n v="4593"/>
    <x v="56"/>
    <s v="Night"/>
    <x v="0"/>
    <n v="2000721744"/>
    <n v="1020"/>
    <n v="140"/>
    <n v="0"/>
    <s v="U36206"/>
    <s v="L1174/75"/>
    <x v="61"/>
    <m/>
    <m/>
    <m/>
    <n v="0"/>
    <m/>
    <m/>
  </r>
  <r>
    <n v="4594"/>
    <x v="56"/>
    <s v="Night"/>
    <x v="0"/>
    <n v="2000721566"/>
    <n v="300"/>
    <n v="80"/>
    <n v="0"/>
    <s v="U36206"/>
    <s v="L1077"/>
    <x v="2"/>
    <m/>
    <m/>
    <m/>
    <n v="0"/>
    <m/>
    <m/>
  </r>
  <r>
    <n v="4595"/>
    <x v="56"/>
    <s v="Night"/>
    <x v="0"/>
    <n v="2000721348"/>
    <n v="200"/>
    <n v="50"/>
    <n v="0"/>
    <s v="U36206"/>
    <s v="L1182"/>
    <x v="143"/>
    <m/>
    <m/>
    <m/>
    <n v="0"/>
    <m/>
    <m/>
  </r>
  <r>
    <n v="4596"/>
    <x v="56"/>
    <s v="Night"/>
    <x v="0"/>
    <n v="2000721743"/>
    <n v="560"/>
    <n v="120"/>
    <n v="0"/>
    <s v="U05944"/>
    <s v="L1172/73"/>
    <x v="193"/>
    <m/>
    <m/>
    <m/>
    <n v="0"/>
    <m/>
    <m/>
  </r>
  <r>
    <n v="4597"/>
    <x v="56"/>
    <s v="Night"/>
    <x v="0"/>
    <n v="2000721406"/>
    <n v="310"/>
    <n v="30"/>
    <n v="0"/>
    <s v="U05944"/>
    <s v="L1193/94"/>
    <x v="123"/>
    <m/>
    <m/>
    <m/>
    <n v="0"/>
    <m/>
    <m/>
  </r>
  <r>
    <n v="4598"/>
    <x v="56"/>
    <s v="Night"/>
    <x v="0"/>
    <n v="2000721519"/>
    <n v="1808"/>
    <n v="400"/>
    <n v="0"/>
    <s v="U03968"/>
    <s v="L1193"/>
    <x v="119"/>
    <m/>
    <m/>
    <m/>
    <n v="0"/>
    <m/>
    <m/>
  </r>
  <r>
    <n v="4599"/>
    <x v="56"/>
    <s v="Night"/>
    <x v="0"/>
    <n v="2000721606"/>
    <n v="2001"/>
    <n v="120"/>
    <n v="0"/>
    <s v="U03968"/>
    <s v="L1168"/>
    <x v="37"/>
    <m/>
    <m/>
    <m/>
    <n v="0"/>
    <m/>
    <m/>
  </r>
  <r>
    <n v="4600"/>
    <x v="56"/>
    <s v="Night"/>
    <x v="0"/>
    <n v="2000720185"/>
    <n v="600"/>
    <n v="134"/>
    <n v="0"/>
    <s v="U03968"/>
    <s v="L1172"/>
    <x v="165"/>
    <m/>
    <m/>
    <m/>
    <n v="0"/>
    <m/>
    <m/>
  </r>
  <r>
    <n v="4601"/>
    <x v="56"/>
    <s v="Night"/>
    <x v="0"/>
    <n v="2000721346"/>
    <n v="200"/>
    <n v="100"/>
    <n v="0"/>
    <s v="U03968"/>
    <s v="L1182"/>
    <x v="144"/>
    <m/>
    <m/>
    <m/>
    <n v="0"/>
    <m/>
    <m/>
  </r>
  <r>
    <n v="4602"/>
    <x v="56"/>
    <s v="Night"/>
    <x v="0"/>
    <n v="2000721341"/>
    <n v="1200"/>
    <n v="100"/>
    <n v="0"/>
    <s v="U03968"/>
    <s v="L1146"/>
    <x v="92"/>
    <m/>
    <m/>
    <m/>
    <n v="0"/>
    <m/>
    <m/>
  </r>
  <r>
    <n v="4603"/>
    <x v="56"/>
    <s v="Night"/>
    <x v="0"/>
    <n v="2000721343"/>
    <n v="1200"/>
    <n v="150"/>
    <n v="0"/>
    <s v="U03968"/>
    <s v="L1146"/>
    <x v="13"/>
    <m/>
    <m/>
    <m/>
    <n v="0"/>
    <m/>
    <m/>
  </r>
  <r>
    <n v="4604"/>
    <x v="56"/>
    <s v="Night"/>
    <x v="0"/>
    <n v="2000721361"/>
    <n v="1000"/>
    <n v="120"/>
    <n v="0"/>
    <s v="U03968"/>
    <s v="L1077"/>
    <x v="6"/>
    <m/>
    <m/>
    <m/>
    <n v="0"/>
    <m/>
    <m/>
  </r>
  <r>
    <n v="4605"/>
    <x v="56"/>
    <s v="Night"/>
    <x v="0"/>
    <n v="2000721507"/>
    <n v="1800"/>
    <n v="200"/>
    <n v="0"/>
    <s v="U03968"/>
    <s v="L1174"/>
    <x v="62"/>
    <m/>
    <m/>
    <m/>
    <n v="0"/>
    <m/>
    <m/>
  </r>
  <r>
    <n v="4606"/>
    <x v="56"/>
    <s v="Night"/>
    <x v="0"/>
    <n v="2000721362"/>
    <n v="1000"/>
    <n v="120"/>
    <n v="0"/>
    <s v="U03968"/>
    <s v="L1077"/>
    <x v="36"/>
    <m/>
    <m/>
    <m/>
    <n v="0"/>
    <m/>
    <m/>
  </r>
  <r>
    <n v="4607"/>
    <x v="56"/>
    <s v="Night"/>
    <x v="0"/>
    <n v="2000721342"/>
    <n v="1200"/>
    <n v="100"/>
    <n v="0"/>
    <s v="U03968"/>
    <s v="L1146"/>
    <x v="77"/>
    <m/>
    <m/>
    <m/>
    <n v="0"/>
    <m/>
    <m/>
  </r>
  <r>
    <n v="4608"/>
    <x v="56"/>
    <s v="Night"/>
    <x v="0"/>
    <n v="2000721372"/>
    <n v="2450"/>
    <n v="480"/>
    <n v="0"/>
    <s v="U03968"/>
    <s v="L1193"/>
    <x v="30"/>
    <m/>
    <m/>
    <m/>
    <n v="0"/>
    <m/>
    <m/>
  </r>
  <r>
    <n v="4609"/>
    <x v="56"/>
    <s v="Night"/>
    <x v="0"/>
    <n v="2000715913"/>
    <n v="300"/>
    <n v="127"/>
    <n v="0"/>
    <s v="U03968"/>
    <s v="L1172"/>
    <x v="175"/>
    <m/>
    <m/>
    <m/>
    <n v="0"/>
    <m/>
    <m/>
  </r>
  <r>
    <n v="4610"/>
    <x v="56"/>
    <s v="Night"/>
    <x v="0"/>
    <n v="2000721359"/>
    <n v="1000"/>
    <n v="100"/>
    <n v="0"/>
    <s v="U03968"/>
    <s v="L1077"/>
    <x v="10"/>
    <m/>
    <m/>
    <m/>
    <n v="0"/>
    <m/>
    <m/>
  </r>
  <r>
    <n v="4611"/>
    <x v="56"/>
    <s v="Night"/>
    <x v="0"/>
    <n v="2000721360"/>
    <n v="1000"/>
    <n v="100"/>
    <n v="0"/>
    <s v="U03968"/>
    <s v="L1077"/>
    <x v="33"/>
    <m/>
    <m/>
    <m/>
    <n v="0"/>
    <m/>
    <m/>
  </r>
  <r>
    <n v="4612"/>
    <x v="57"/>
    <s v="Day"/>
    <x v="0"/>
    <n v="2000721372"/>
    <n v="2450"/>
    <n v="66"/>
    <n v="0"/>
    <s v="U36209"/>
    <s v="L1193/94"/>
    <x v="30"/>
    <m/>
    <m/>
    <m/>
    <n v="0"/>
    <m/>
    <m/>
  </r>
  <r>
    <n v="4613"/>
    <x v="57"/>
    <s v="Day"/>
    <x v="0"/>
    <n v="2000720683"/>
    <n v="1500"/>
    <n v="121"/>
    <n v="0"/>
    <s v="U36209"/>
    <s v="L1144/47"/>
    <x v="92"/>
    <m/>
    <m/>
    <m/>
    <n v="0"/>
    <m/>
    <m/>
  </r>
  <r>
    <n v="4614"/>
    <x v="57"/>
    <s v="Day"/>
    <x v="0"/>
    <n v="2000722260"/>
    <n v="3200"/>
    <n v="156"/>
    <n v="0"/>
    <s v="U36209"/>
    <s v="L1193/94"/>
    <x v="119"/>
    <m/>
    <m/>
    <m/>
    <n v="0"/>
    <m/>
    <m/>
  </r>
  <r>
    <n v="4615"/>
    <x v="57"/>
    <s v="Day"/>
    <x v="0"/>
    <n v="2000721408"/>
    <n v="300"/>
    <n v="278"/>
    <n v="0"/>
    <s v="U15759"/>
    <s v="L1193/94"/>
    <x v="116"/>
    <m/>
    <m/>
    <m/>
    <n v="0"/>
    <m/>
    <m/>
  </r>
  <r>
    <n v="4616"/>
    <x v="57"/>
    <s v="Day"/>
    <x v="0"/>
    <n v="2000722284"/>
    <n v="3700"/>
    <n v="20"/>
    <n v="0"/>
    <s v="U15759"/>
    <s v="L1193/94"/>
    <x v="116"/>
    <m/>
    <m/>
    <m/>
    <n v="0"/>
    <m/>
    <m/>
  </r>
  <r>
    <n v="4617"/>
    <x v="57"/>
    <s v="Day"/>
    <x v="0"/>
    <n v="2000720318"/>
    <n v="720"/>
    <n v="6"/>
    <n v="0"/>
    <s v="U15759"/>
    <s v="L1193/94"/>
    <x v="146"/>
    <m/>
    <m/>
    <m/>
    <n v="0"/>
    <m/>
    <m/>
  </r>
  <r>
    <n v="4618"/>
    <x v="57"/>
    <s v="Day"/>
    <x v="0"/>
    <n v="2000721407"/>
    <n v="210"/>
    <n v="120"/>
    <n v="0"/>
    <s v="U15759"/>
    <s v="L1193/94"/>
    <x v="104"/>
    <m/>
    <m/>
    <m/>
    <n v="0"/>
    <m/>
    <m/>
  </r>
  <r>
    <n v="4619"/>
    <x v="57"/>
    <s v="Day"/>
    <x v="0"/>
    <n v="2000721483"/>
    <n v="600"/>
    <n v="30"/>
    <n v="0"/>
    <s v="U15759"/>
    <s v="L1193/94"/>
    <x v="192"/>
    <m/>
    <m/>
    <m/>
    <n v="0"/>
    <m/>
    <m/>
  </r>
  <r>
    <n v="4620"/>
    <x v="57"/>
    <s v="Day"/>
    <x v="0"/>
    <n v="2000721743"/>
    <n v="560"/>
    <n v="212"/>
    <n v="0"/>
    <s v="U18660"/>
    <s v="L1172/73"/>
    <x v="193"/>
    <m/>
    <m/>
    <m/>
    <n v="0"/>
    <m/>
    <m/>
  </r>
  <r>
    <n v="4621"/>
    <x v="57"/>
    <s v="Day"/>
    <x v="0"/>
    <n v="2000722519"/>
    <n v="900"/>
    <n v="80"/>
    <n v="0"/>
    <s v="U18660"/>
    <s v="L1172/73"/>
    <x v="83"/>
    <m/>
    <m/>
    <m/>
    <n v="0"/>
    <m/>
    <m/>
  </r>
  <r>
    <n v="4622"/>
    <x v="57"/>
    <s v="Day"/>
    <x v="0"/>
    <n v="2000722746"/>
    <n v="1100"/>
    <n v="80"/>
    <n v="0"/>
    <s v="U18660"/>
    <s v="T541"/>
    <x v="94"/>
    <m/>
    <m/>
    <m/>
    <n v="0"/>
    <m/>
    <m/>
  </r>
  <r>
    <n v="4623"/>
    <x v="57"/>
    <s v="Day"/>
    <x v="0"/>
    <n v="2000721562"/>
    <n v="300"/>
    <n v="100"/>
    <n v="0"/>
    <s v="U18660"/>
    <s v="L1077"/>
    <x v="10"/>
    <m/>
    <m/>
    <m/>
    <n v="0"/>
    <m/>
    <m/>
  </r>
  <r>
    <n v="4624"/>
    <x v="57"/>
    <s v="Day"/>
    <x v="0"/>
    <n v="2000721563"/>
    <n v="300"/>
    <n v="100"/>
    <n v="0"/>
    <s v="U18660"/>
    <s v="L1077"/>
    <x v="33"/>
    <m/>
    <m/>
    <m/>
    <n v="0"/>
    <m/>
    <m/>
  </r>
  <r>
    <n v="4625"/>
    <x v="57"/>
    <s v="Day"/>
    <x v="0"/>
    <n v="2000721407"/>
    <n v="210"/>
    <n v="90"/>
    <n v="0"/>
    <s v="U18660"/>
    <s v="L1193/94"/>
    <x v="104"/>
    <m/>
    <m/>
    <m/>
    <n v="0"/>
    <m/>
    <m/>
  </r>
  <r>
    <n v="4626"/>
    <x v="57"/>
    <s v="Day"/>
    <x v="0"/>
    <n v="2000722260"/>
    <n v="3200"/>
    <n v="250"/>
    <n v="0"/>
    <s v="U18660"/>
    <s v="L1193/94"/>
    <x v="119"/>
    <m/>
    <m/>
    <m/>
    <n v="0"/>
    <m/>
    <m/>
  </r>
  <r>
    <n v="4627"/>
    <x v="57"/>
    <s v="Day"/>
    <x v="0"/>
    <n v="2000721508"/>
    <n v="1260"/>
    <n v="200"/>
    <n v="0"/>
    <s v="U24426"/>
    <s v="L1174/75"/>
    <x v="62"/>
    <m/>
    <m/>
    <m/>
    <n v="0"/>
    <m/>
    <m/>
  </r>
  <r>
    <n v="4628"/>
    <x v="57"/>
    <s v="Day"/>
    <x v="0"/>
    <n v="2000721634"/>
    <n v="2000"/>
    <n v="150"/>
    <n v="0"/>
    <s v="U24426"/>
    <s v="L1144/47"/>
    <x v="77"/>
    <m/>
    <m/>
    <m/>
    <n v="0"/>
    <m/>
    <m/>
  </r>
  <r>
    <n v="4629"/>
    <x v="57"/>
    <s v="Day"/>
    <x v="0"/>
    <n v="2000721565"/>
    <n v="300"/>
    <n v="80"/>
    <n v="0"/>
    <s v="U24426"/>
    <s v="L1077"/>
    <x v="36"/>
    <m/>
    <m/>
    <m/>
    <n v="0"/>
    <m/>
    <m/>
  </r>
  <r>
    <n v="4630"/>
    <x v="57"/>
    <s v="Day"/>
    <x v="0"/>
    <n v="2000722260"/>
    <n v="3200"/>
    <n v="950"/>
    <n v="0"/>
    <s v="U24426"/>
    <s v="L1193/94"/>
    <x v="119"/>
    <m/>
    <m/>
    <m/>
    <n v="0"/>
    <m/>
    <m/>
  </r>
  <r>
    <n v="4631"/>
    <x v="57"/>
    <s v="Day"/>
    <x v="0"/>
    <n v="2000721564"/>
    <n v="300"/>
    <n v="80"/>
    <n v="0"/>
    <s v="U32866"/>
    <s v="L1077"/>
    <x v="6"/>
    <m/>
    <m/>
    <m/>
    <n v="0"/>
    <m/>
    <m/>
  </r>
  <r>
    <n v="4632"/>
    <x v="57"/>
    <s v="Day"/>
    <x v="0"/>
    <n v="2000722700"/>
    <n v="1200"/>
    <n v="80"/>
    <n v="0"/>
    <s v="U32866"/>
    <s v="L1168/69"/>
    <x v="48"/>
    <m/>
    <m/>
    <m/>
    <n v="0"/>
    <m/>
    <m/>
  </r>
  <r>
    <n v="4633"/>
    <x v="57"/>
    <s v="Day"/>
    <x v="0"/>
    <n v="2000722260"/>
    <n v="3200"/>
    <n v="244"/>
    <n v="0"/>
    <s v="U32866"/>
    <s v="L1193/94"/>
    <x v="119"/>
    <m/>
    <m/>
    <m/>
    <n v="0"/>
    <m/>
    <m/>
  </r>
  <r>
    <n v="4634"/>
    <x v="57"/>
    <s v="Night"/>
    <x v="0"/>
    <n v="2000721982"/>
    <n v="1270"/>
    <n v="280"/>
    <n v="0"/>
    <s v="U36008"/>
    <s v="L1188/89"/>
    <x v="17"/>
    <m/>
    <m/>
    <m/>
    <n v="0"/>
    <m/>
    <m/>
  </r>
  <r>
    <n v="4635"/>
    <x v="57"/>
    <s v="Night"/>
    <x v="0"/>
    <n v="2000721960"/>
    <n v="1800"/>
    <n v="165"/>
    <n v="0"/>
    <s v="U36008"/>
    <s v="L1188/89"/>
    <x v="109"/>
    <m/>
    <m/>
    <m/>
    <n v="0"/>
    <m/>
    <m/>
  </r>
  <r>
    <n v="4636"/>
    <x v="57"/>
    <s v="Night"/>
    <x v="0"/>
    <n v="2000721483"/>
    <n v="600"/>
    <n v="60"/>
    <n v="0"/>
    <s v="U30119"/>
    <s v="L1193/94"/>
    <x v="192"/>
    <m/>
    <m/>
    <m/>
    <n v="0"/>
    <m/>
    <m/>
  </r>
  <r>
    <n v="4637"/>
    <x v="57"/>
    <s v="Night"/>
    <x v="0"/>
    <n v="2000721960"/>
    <n v="1800"/>
    <n v="270"/>
    <n v="0"/>
    <s v="U30119"/>
    <s v="L1188/89"/>
    <x v="109"/>
    <m/>
    <m/>
    <m/>
    <n v="0"/>
    <m/>
    <m/>
  </r>
  <r>
    <n v="4638"/>
    <x v="57"/>
    <s v="Night"/>
    <x v="0"/>
    <n v="2000722260"/>
    <n v="3200"/>
    <n v="800"/>
    <n v="0"/>
    <s v="U26613"/>
    <s v="L1193/94"/>
    <x v="119"/>
    <m/>
    <m/>
    <m/>
    <n v="0"/>
    <m/>
    <m/>
  </r>
  <r>
    <n v="4639"/>
    <x v="57"/>
    <s v="Night"/>
    <x v="0"/>
    <n v="2000722201"/>
    <n v="1200"/>
    <n v="80"/>
    <n v="0"/>
    <s v="U26613"/>
    <s v="L1144/47"/>
    <x v="59"/>
    <m/>
    <m/>
    <m/>
    <n v="0"/>
    <m/>
    <m/>
  </r>
  <r>
    <n v="4640"/>
    <x v="57"/>
    <s v="Night"/>
    <x v="0"/>
    <n v="2000722255"/>
    <n v="3900"/>
    <n v="300"/>
    <n v="0"/>
    <s v="U26613"/>
    <s v="L1112/13"/>
    <x v="75"/>
    <m/>
    <m/>
    <m/>
    <n v="0"/>
    <m/>
    <m/>
  </r>
  <r>
    <n v="4641"/>
    <x v="57"/>
    <s v="Night"/>
    <x v="0"/>
    <n v="2000722258"/>
    <n v="720"/>
    <n v="320"/>
    <n v="0"/>
    <s v="U26613"/>
    <s v="L1151/52"/>
    <x v="185"/>
    <m/>
    <m/>
    <m/>
    <n v="0"/>
    <m/>
    <m/>
  </r>
  <r>
    <n v="4642"/>
    <x v="57"/>
    <s v="Night"/>
    <x v="0"/>
    <n v="2000721372"/>
    <n v="2450"/>
    <n v="38"/>
    <n v="0"/>
    <s v="U26613"/>
    <s v="L1193/94"/>
    <x v="30"/>
    <m/>
    <m/>
    <m/>
    <n v="0"/>
    <m/>
    <m/>
  </r>
  <r>
    <n v="4643"/>
    <x v="57"/>
    <s v="Night"/>
    <x v="0"/>
    <n v="2000721483"/>
    <n v="600"/>
    <n v="30"/>
    <n v="0"/>
    <s v="U31065"/>
    <s v="L1193/94"/>
    <x v="192"/>
    <m/>
    <m/>
    <m/>
    <n v="0"/>
    <m/>
    <m/>
  </r>
  <r>
    <n v="4644"/>
    <x v="57"/>
    <s v="Night"/>
    <x v="0"/>
    <n v="2000722282"/>
    <n v="520"/>
    <n v="30"/>
    <n v="0"/>
    <s v="U31065"/>
    <s v="L1193/94"/>
    <x v="21"/>
    <m/>
    <m/>
    <m/>
    <n v="0"/>
    <m/>
    <m/>
  </r>
  <r>
    <n v="4645"/>
    <x v="57"/>
    <s v="Night"/>
    <x v="0"/>
    <n v="2000722283"/>
    <n v="510"/>
    <n v="30"/>
    <n v="0"/>
    <s v="U31065"/>
    <s v="L1193/94"/>
    <x v="146"/>
    <m/>
    <m/>
    <m/>
    <n v="0"/>
    <m/>
    <m/>
  </r>
  <r>
    <n v="4646"/>
    <x v="57"/>
    <s v="Night"/>
    <x v="0"/>
    <n v="2000718464"/>
    <n v="2000"/>
    <n v="11"/>
    <n v="0"/>
    <s v="U30425"/>
    <s v="L1209/10"/>
    <x v="68"/>
    <m/>
    <m/>
    <m/>
    <n v="0"/>
    <m/>
    <m/>
  </r>
  <r>
    <n v="4647"/>
    <x v="57"/>
    <s v="Night"/>
    <x v="0"/>
    <n v="2000722699"/>
    <n v="1200"/>
    <n v="80"/>
    <n v="0"/>
    <s v="U30425"/>
    <s v="L1168/69"/>
    <x v="93"/>
    <m/>
    <m/>
    <m/>
    <n v="0"/>
    <m/>
    <m/>
  </r>
  <r>
    <n v="4648"/>
    <x v="57"/>
    <s v="Night"/>
    <x v="0"/>
    <n v="2000721949"/>
    <n v="1000"/>
    <n v="90"/>
    <n v="0"/>
    <s v="U30425"/>
    <s v="L1172/73"/>
    <x v="99"/>
    <m/>
    <m/>
    <m/>
    <n v="0"/>
    <m/>
    <m/>
  </r>
  <r>
    <n v="4649"/>
    <x v="57"/>
    <s v="Night"/>
    <x v="0"/>
    <n v="2000722238"/>
    <n v="900"/>
    <n v="80"/>
    <n v="0"/>
    <s v="U30425"/>
    <s v="L1128/29"/>
    <x v="11"/>
    <m/>
    <m/>
    <m/>
    <n v="0"/>
    <m/>
    <m/>
  </r>
  <r>
    <n v="4650"/>
    <x v="57"/>
    <s v="Night"/>
    <x v="0"/>
    <n v="2000722237"/>
    <n v="1600"/>
    <n v="120"/>
    <n v="0"/>
    <s v="U30425"/>
    <s v="L1112/13"/>
    <x v="8"/>
    <m/>
    <m/>
    <m/>
    <n v="0"/>
    <m/>
    <m/>
  </r>
  <r>
    <n v="4651"/>
    <x v="57"/>
    <s v="Night"/>
    <x v="0"/>
    <n v="2000722732"/>
    <n v="1100"/>
    <n v="80"/>
    <n v="0"/>
    <s v="U30425"/>
    <s v="L1144/47"/>
    <x v="101"/>
    <m/>
    <m/>
    <m/>
    <n v="0"/>
    <m/>
    <m/>
  </r>
  <r>
    <n v="4652"/>
    <x v="57"/>
    <s v="Night"/>
    <x v="0"/>
    <n v="2000721967"/>
    <n v="2001"/>
    <n v="120"/>
    <n v="0"/>
    <s v="U30425"/>
    <s v="L1168/69"/>
    <x v="37"/>
    <m/>
    <m/>
    <m/>
    <n v="0"/>
    <m/>
    <m/>
  </r>
  <r>
    <n v="4653"/>
    <x v="57"/>
    <s v="Night"/>
    <x v="0"/>
    <n v="2000722144"/>
    <n v="1800"/>
    <n v="20"/>
    <n v="0"/>
    <s v="U30425"/>
    <s v="L1174/75"/>
    <x v="3"/>
    <m/>
    <m/>
    <m/>
    <n v="0"/>
    <m/>
    <m/>
  </r>
  <r>
    <n v="4654"/>
    <x v="57"/>
    <s v="Night"/>
    <x v="0"/>
    <n v="2000721483"/>
    <n v="600"/>
    <n v="60"/>
    <n v="0"/>
    <s v="U27724"/>
    <s v="L1193/94"/>
    <x v="192"/>
    <m/>
    <m/>
    <m/>
    <n v="0"/>
    <m/>
    <m/>
  </r>
  <r>
    <n v="4655"/>
    <x v="57"/>
    <s v="Night"/>
    <x v="0"/>
    <n v="2000719972"/>
    <n v="1400"/>
    <n v="14"/>
    <n v="0"/>
    <s v="U27724"/>
    <s v="L1193/94"/>
    <x v="192"/>
    <m/>
    <m/>
    <m/>
    <n v="0"/>
    <m/>
    <m/>
  </r>
  <r>
    <n v="4656"/>
    <x v="57"/>
    <s v="Night"/>
    <x v="0"/>
    <n v="2000722260"/>
    <n v="3200"/>
    <n v="800"/>
    <n v="0"/>
    <s v="U27724"/>
    <s v="L1193/94"/>
    <x v="119"/>
    <m/>
    <m/>
    <m/>
    <n v="0"/>
    <m/>
    <m/>
  </r>
  <r>
    <n v="4657"/>
    <x v="57"/>
    <s v="Night"/>
    <x v="0"/>
    <n v="2000721982"/>
    <n v="1270"/>
    <n v="40"/>
    <n v="0"/>
    <s v="U27724"/>
    <s v="L1188/89"/>
    <x v="17"/>
    <m/>
    <m/>
    <m/>
    <n v="0"/>
    <m/>
    <m/>
  </r>
  <r>
    <n v="4658"/>
    <x v="57"/>
    <s v="Night"/>
    <x v="0"/>
    <n v="2000722282"/>
    <n v="520"/>
    <n v="298"/>
    <n v="0"/>
    <s v="U27724"/>
    <s v="L1193/94"/>
    <x v="21"/>
    <m/>
    <m/>
    <m/>
    <n v="0"/>
    <m/>
    <m/>
  </r>
  <r>
    <n v="4659"/>
    <x v="57"/>
    <s v="Night"/>
    <x v="0"/>
    <n v="2000722283"/>
    <n v="510"/>
    <n v="40"/>
    <n v="0"/>
    <s v="U27724"/>
    <s v="L1193/94"/>
    <x v="146"/>
    <m/>
    <m/>
    <m/>
    <n v="0"/>
    <m/>
    <m/>
  </r>
  <r>
    <n v="4660"/>
    <x v="57"/>
    <s v="Night"/>
    <x v="1"/>
    <n v="2000721875"/>
    <n v="350"/>
    <n v="80"/>
    <n v="0"/>
    <s v="U23987"/>
    <s v="HVPS"/>
    <x v="96"/>
    <m/>
    <m/>
    <m/>
    <n v="0"/>
    <m/>
    <m/>
  </r>
  <r>
    <n v="4661"/>
    <x v="57"/>
    <s v="Night"/>
    <x v="1"/>
    <n v="2000721877"/>
    <n v="600"/>
    <n v="120"/>
    <n v="0"/>
    <s v="U23987"/>
    <s v="PSLV"/>
    <x v="49"/>
    <m/>
    <m/>
    <m/>
    <n v="0"/>
    <m/>
    <m/>
  </r>
  <r>
    <n v="4662"/>
    <x v="57"/>
    <s v="Night"/>
    <x v="1"/>
    <n v="2000721881"/>
    <n v="270"/>
    <n v="35"/>
    <n v="0"/>
    <s v="U23987"/>
    <s v="FRANKY"/>
    <x v="81"/>
    <m/>
    <m/>
    <m/>
    <n v="0"/>
    <m/>
    <m/>
  </r>
  <r>
    <n v="4663"/>
    <x v="57"/>
    <s v="Night"/>
    <x v="1"/>
    <n v="2000721880"/>
    <n v="270"/>
    <n v="70"/>
    <n v="0"/>
    <s v="U23987"/>
    <s v="FRANKY"/>
    <x v="81"/>
    <m/>
    <m/>
    <m/>
    <n v="0"/>
    <m/>
    <m/>
  </r>
  <r>
    <n v="4664"/>
    <x v="57"/>
    <s v="Night"/>
    <x v="1"/>
    <n v="2000722444"/>
    <n v="345"/>
    <n v="96"/>
    <n v="0"/>
    <s v="U23987"/>
    <s v="FRANKY"/>
    <x v="51"/>
    <m/>
    <m/>
    <m/>
    <n v="0"/>
    <m/>
    <m/>
  </r>
  <r>
    <n v="4665"/>
    <x v="57"/>
    <s v="Night"/>
    <x v="1"/>
    <n v="2000721877"/>
    <n v="600"/>
    <n v="360"/>
    <n v="0"/>
    <s v="U30119"/>
    <s v="PSLV"/>
    <x v="49"/>
    <m/>
    <m/>
    <m/>
    <n v="0"/>
    <m/>
    <m/>
  </r>
  <r>
    <n v="4666"/>
    <x v="57"/>
    <s v="Night"/>
    <x v="1"/>
    <n v="2000722291"/>
    <n v="1080"/>
    <n v="180"/>
    <n v="0"/>
    <s v="U30119"/>
    <s v="SHANKS"/>
    <x v="67"/>
    <m/>
    <m/>
    <m/>
    <n v="0"/>
    <m/>
    <m/>
  </r>
  <r>
    <n v="4667"/>
    <x v="58"/>
    <s v="Day"/>
    <x v="0"/>
    <n v="2000722223"/>
    <n v="3200"/>
    <n v="160"/>
    <n v="0"/>
    <s v="U27723"/>
    <s v="L1112/13"/>
    <x v="8"/>
    <m/>
    <m/>
    <m/>
    <n v="0"/>
    <m/>
    <m/>
  </r>
  <r>
    <n v="4668"/>
    <x v="58"/>
    <s v="Day"/>
    <x v="0"/>
    <n v="2000722197"/>
    <n v="1000"/>
    <n v="80"/>
    <n v="0"/>
    <s v="U27723"/>
    <s v="L1144/47"/>
    <x v="42"/>
    <m/>
    <m/>
    <m/>
    <n v="0"/>
    <m/>
    <m/>
  </r>
  <r>
    <n v="4669"/>
    <x v="58"/>
    <s v="Day"/>
    <x v="0"/>
    <n v="2000722655"/>
    <n v="3900"/>
    <n v="90"/>
    <n v="0"/>
    <s v="U27723"/>
    <s v="L1174/75"/>
    <x v="3"/>
    <m/>
    <m/>
    <m/>
    <n v="0"/>
    <m/>
    <m/>
  </r>
  <r>
    <n v="4670"/>
    <x v="58"/>
    <s v="Day"/>
    <x v="0"/>
    <n v="2000722081"/>
    <n v="1000"/>
    <n v="20"/>
    <n v="0"/>
    <s v="U27723"/>
    <s v="L1077"/>
    <x v="2"/>
    <m/>
    <m/>
    <m/>
    <n v="0"/>
    <m/>
    <m/>
  </r>
  <r>
    <n v="4671"/>
    <x v="58"/>
    <s v="Day"/>
    <x v="0"/>
    <n v="2000722240"/>
    <n v="1800"/>
    <n v="120"/>
    <n v="0"/>
    <s v="U27723"/>
    <s v="L1128/29"/>
    <x v="11"/>
    <m/>
    <m/>
    <m/>
    <n v="0"/>
    <m/>
    <m/>
  </r>
  <r>
    <n v="4672"/>
    <x v="58"/>
    <s v="Day"/>
    <x v="0"/>
    <n v="2000722205"/>
    <n v="2800"/>
    <n v="120"/>
    <n v="0"/>
    <s v="U27723"/>
    <s v="L1144/47"/>
    <x v="59"/>
    <m/>
    <m/>
    <m/>
    <n v="0"/>
    <m/>
    <m/>
  </r>
  <r>
    <n v="4673"/>
    <x v="58"/>
    <s v="Day"/>
    <x v="0"/>
    <n v="2000722784"/>
    <n v="540"/>
    <n v="80"/>
    <n v="0"/>
    <s v="U27723"/>
    <s v="L1168/69"/>
    <x v="48"/>
    <m/>
    <m/>
    <m/>
    <n v="0"/>
    <m/>
    <m/>
  </r>
  <r>
    <n v="4674"/>
    <x v="58"/>
    <s v="Day"/>
    <x v="0"/>
    <n v="2000722519"/>
    <n v="900"/>
    <n v="20"/>
    <n v="0"/>
    <s v="U29686"/>
    <s v="L1172/73"/>
    <x v="83"/>
    <m/>
    <m/>
    <m/>
    <n v="0"/>
    <m/>
    <m/>
  </r>
  <r>
    <n v="4675"/>
    <x v="58"/>
    <s v="Day"/>
    <x v="0"/>
    <n v="2000722520"/>
    <n v="520"/>
    <n v="80"/>
    <n v="0"/>
    <s v="U29686"/>
    <s v="L1172/73"/>
    <x v="19"/>
    <m/>
    <m/>
    <m/>
    <n v="0"/>
    <m/>
    <m/>
  </r>
  <r>
    <n v="4676"/>
    <x v="58"/>
    <s v="Day"/>
    <x v="0"/>
    <n v="2000722081"/>
    <n v="1000"/>
    <n v="40"/>
    <n v="0"/>
    <s v="U29686"/>
    <s v="L1077"/>
    <x v="2"/>
    <m/>
    <m/>
    <m/>
    <n v="0"/>
    <m/>
    <m/>
  </r>
  <r>
    <n v="4677"/>
    <x v="58"/>
    <s v="Day"/>
    <x v="0"/>
    <n v="2000722144"/>
    <n v="1800"/>
    <n v="100"/>
    <n v="0"/>
    <s v="U18660"/>
    <s v="L1174/75"/>
    <x v="3"/>
    <m/>
    <m/>
    <m/>
    <n v="0"/>
    <m/>
    <m/>
  </r>
  <r>
    <n v="4678"/>
    <x v="58"/>
    <s v="Day"/>
    <x v="0"/>
    <n v="2000721960"/>
    <n v="1800"/>
    <n v="535"/>
    <n v="0"/>
    <s v="U18660"/>
    <s v="L1188/89"/>
    <x v="109"/>
    <m/>
    <m/>
    <m/>
    <n v="0"/>
    <m/>
    <m/>
  </r>
  <r>
    <n v="4679"/>
    <x v="58"/>
    <s v="Day"/>
    <x v="0"/>
    <n v="2000721951"/>
    <n v="1000"/>
    <n v="90"/>
    <n v="0"/>
    <s v="U18660"/>
    <s v="L1172/73"/>
    <x v="99"/>
    <m/>
    <m/>
    <m/>
    <n v="0"/>
    <m/>
    <m/>
  </r>
  <r>
    <n v="4680"/>
    <x v="58"/>
    <s v="Day"/>
    <x v="0"/>
    <n v="2000722283"/>
    <n v="510"/>
    <n v="167"/>
    <n v="0"/>
    <s v="U30500"/>
    <s v="L1193/94"/>
    <x v="146"/>
    <m/>
    <m/>
    <m/>
    <n v="0"/>
    <m/>
    <m/>
  </r>
  <r>
    <n v="4681"/>
    <x v="58"/>
    <s v="Day"/>
    <x v="0"/>
    <n v="2000722284"/>
    <n v="370"/>
    <n v="60"/>
    <n v="0"/>
    <s v="U30500"/>
    <s v="L1193/94"/>
    <x v="116"/>
    <m/>
    <m/>
    <m/>
    <n v="0"/>
    <m/>
    <m/>
  </r>
  <r>
    <n v="4682"/>
    <x v="58"/>
    <s v="Day"/>
    <x v="0"/>
    <n v="2000721960"/>
    <n v="1800"/>
    <n v="65"/>
    <n v="0"/>
    <s v="U15759"/>
    <s v="L1188/89"/>
    <x v="109"/>
    <m/>
    <m/>
    <m/>
    <n v="0"/>
    <m/>
    <m/>
  </r>
  <r>
    <n v="4683"/>
    <x v="58"/>
    <s v="Day"/>
    <x v="0"/>
    <n v="2000722284"/>
    <n v="370"/>
    <n v="286"/>
    <n v="0"/>
    <s v="U15759"/>
    <s v="L1193/94"/>
    <x v="116"/>
    <m/>
    <m/>
    <m/>
    <n v="0"/>
    <m/>
    <m/>
  </r>
  <r>
    <n v="4684"/>
    <x v="58"/>
    <s v="Day"/>
    <x v="0"/>
    <n v="2000722285"/>
    <n v="300"/>
    <n v="150"/>
    <n v="0"/>
    <s v="U15759"/>
    <s v="L1193/94"/>
    <x v="192"/>
    <m/>
    <m/>
    <m/>
    <n v="0"/>
    <m/>
    <m/>
  </r>
  <r>
    <n v="4685"/>
    <x v="58"/>
    <s v="Day"/>
    <x v="0"/>
    <n v="2000722283"/>
    <n v="510"/>
    <n v="60"/>
    <n v="0"/>
    <s v="U32991"/>
    <s v="L1193/94"/>
    <x v="146"/>
    <m/>
    <m/>
    <m/>
    <n v="0"/>
    <m/>
    <m/>
  </r>
  <r>
    <n v="4686"/>
    <x v="58"/>
    <s v="Day"/>
    <x v="0"/>
    <n v="2000721982"/>
    <n v="1270"/>
    <n v="40"/>
    <n v="0"/>
    <s v="U32991"/>
    <s v="L1188/89"/>
    <x v="17"/>
    <m/>
    <m/>
    <m/>
    <n v="0"/>
    <m/>
    <m/>
  </r>
  <r>
    <n v="4687"/>
    <x v="58"/>
    <s v="Day"/>
    <x v="0"/>
    <n v="2000722284"/>
    <n v="370"/>
    <n v="40"/>
    <n v="0"/>
    <s v="U32991"/>
    <s v="L1193/94"/>
    <x v="116"/>
    <m/>
    <m/>
    <m/>
    <n v="0"/>
    <m/>
    <m/>
  </r>
  <r>
    <n v="4688"/>
    <x v="58"/>
    <s v="Day"/>
    <x v="0"/>
    <n v="2000722701"/>
    <n v="681"/>
    <n v="80"/>
    <n v="0"/>
    <s v="U24426"/>
    <s v="L1168/69"/>
    <x v="195"/>
    <m/>
    <m/>
    <m/>
    <n v="0"/>
    <m/>
    <m/>
  </r>
  <r>
    <n v="4689"/>
    <x v="58"/>
    <s v="Day"/>
    <x v="0"/>
    <n v="2000721994"/>
    <n v="440"/>
    <n v="80"/>
    <n v="0"/>
    <s v="U24426"/>
    <s v="L1188/89"/>
    <x v="130"/>
    <m/>
    <m/>
    <m/>
    <n v="0"/>
    <m/>
    <m/>
  </r>
  <r>
    <n v="4690"/>
    <x v="58"/>
    <s v="Day"/>
    <x v="0"/>
    <n v="2000722143"/>
    <n v="1800"/>
    <n v="125"/>
    <n v="0"/>
    <s v="U36029"/>
    <s v="L1174/75"/>
    <x v="62"/>
    <m/>
    <m/>
    <m/>
    <n v="0"/>
    <m/>
    <m/>
  </r>
  <r>
    <n v="4691"/>
    <x v="58"/>
    <s v="Day"/>
    <x v="0"/>
    <n v="2000721634"/>
    <n v="2000"/>
    <n v="125"/>
    <n v="0"/>
    <s v="U36029"/>
    <s v="L1144/47"/>
    <x v="77"/>
    <m/>
    <m/>
    <m/>
    <n v="0"/>
    <m/>
    <m/>
  </r>
  <r>
    <n v="4692"/>
    <x v="58"/>
    <s v="Day"/>
    <x v="0"/>
    <n v="2000722255"/>
    <n v="3900"/>
    <n v="200"/>
    <n v="0"/>
    <s v="U36029"/>
    <s v="L1112/13"/>
    <x v="75"/>
    <m/>
    <m/>
    <m/>
    <n v="0"/>
    <m/>
    <m/>
  </r>
  <r>
    <n v="4693"/>
    <x v="58"/>
    <s v="Day"/>
    <x v="0"/>
    <n v="2000722263"/>
    <n v="7860"/>
    <n v="59"/>
    <n v="0"/>
    <s v="U36029"/>
    <s v="L1112/13"/>
    <x v="75"/>
    <m/>
    <m/>
    <m/>
    <n v="0"/>
    <m/>
    <m/>
  </r>
  <r>
    <n v="4694"/>
    <x v="58"/>
    <s v="Day"/>
    <x v="0"/>
    <n v="2000721633"/>
    <n v="2000"/>
    <n v="200"/>
    <n v="0"/>
    <s v="U03968"/>
    <s v="L1144/47"/>
    <x v="260"/>
    <m/>
    <m/>
    <m/>
    <n v="0"/>
    <m/>
    <m/>
  </r>
  <r>
    <n v="4695"/>
    <x v="58"/>
    <s v="Day"/>
    <x v="0"/>
    <n v="2000722258"/>
    <n v="720"/>
    <n v="400"/>
    <n v="0"/>
    <s v="U03968"/>
    <s v="L1151/52"/>
    <x v="185"/>
    <m/>
    <m/>
    <m/>
    <n v="0"/>
    <m/>
    <m/>
  </r>
  <r>
    <n v="4696"/>
    <x v="58"/>
    <s v="Day"/>
    <x v="0"/>
    <n v="2000722080"/>
    <n v="1000"/>
    <n v="160"/>
    <n v="0"/>
    <s v="U03968"/>
    <s v="L1077"/>
    <x v="36"/>
    <m/>
    <m/>
    <m/>
    <n v="0"/>
    <m/>
    <m/>
  </r>
  <r>
    <n v="4697"/>
    <x v="58"/>
    <s v="Day"/>
    <x v="0"/>
    <n v="2000721372"/>
    <n v="2450"/>
    <n v="240"/>
    <n v="0"/>
    <s v="U03968"/>
    <s v="L1193/94"/>
    <x v="30"/>
    <m/>
    <m/>
    <m/>
    <n v="0"/>
    <m/>
    <m/>
  </r>
  <r>
    <n v="4698"/>
    <x v="58"/>
    <s v="Day"/>
    <x v="0"/>
    <n v="2000722263"/>
    <n v="7860"/>
    <n v="241"/>
    <n v="0"/>
    <s v="U03968"/>
    <s v="L1112/13"/>
    <x v="75"/>
    <m/>
    <m/>
    <m/>
    <n v="0"/>
    <m/>
    <m/>
  </r>
  <r>
    <n v="4699"/>
    <x v="58"/>
    <s v="Day"/>
    <x v="0"/>
    <n v="2000722195"/>
    <n v="1000"/>
    <n v="150"/>
    <n v="0"/>
    <s v="U03968"/>
    <s v="L1144/47"/>
    <x v="63"/>
    <m/>
    <m/>
    <m/>
    <n v="0"/>
    <m/>
    <m/>
  </r>
  <r>
    <n v="4700"/>
    <x v="58"/>
    <s v="Day"/>
    <x v="0"/>
    <n v="2000721635"/>
    <n v="2000"/>
    <n v="150"/>
    <n v="0"/>
    <s v="U03968"/>
    <s v="L1144/47"/>
    <x v="13"/>
    <m/>
    <m/>
    <m/>
    <n v="0"/>
    <m/>
    <m/>
  </r>
  <r>
    <n v="4701"/>
    <x v="58"/>
    <s v="Day"/>
    <x v="0"/>
    <n v="2000722194"/>
    <n v="1000"/>
    <n v="200"/>
    <n v="0"/>
    <s v="U03968"/>
    <s v="L1144/47"/>
    <x v="64"/>
    <m/>
    <m/>
    <m/>
    <n v="0"/>
    <m/>
    <m/>
  </r>
  <r>
    <n v="4702"/>
    <x v="58"/>
    <s v="Day"/>
    <x v="0"/>
    <n v="2000722265"/>
    <n v="1800"/>
    <n v="120"/>
    <n v="0"/>
    <s v="U03968"/>
    <s v="L1151/52"/>
    <x v="85"/>
    <m/>
    <m/>
    <m/>
    <n v="0"/>
    <m/>
    <m/>
  </r>
  <r>
    <n v="4703"/>
    <x v="58"/>
    <s v="Day"/>
    <x v="0"/>
    <n v="2000722077"/>
    <n v="1000"/>
    <n v="150"/>
    <n v="0"/>
    <s v="U03968"/>
    <s v="L1077"/>
    <x v="10"/>
    <m/>
    <m/>
    <m/>
    <n v="0"/>
    <m/>
    <m/>
  </r>
  <r>
    <n v="4704"/>
    <x v="58"/>
    <s v="Day"/>
    <x v="1"/>
    <n v="2000721876"/>
    <n v="51"/>
    <n v="20"/>
    <n v="0"/>
    <s v="U32991"/>
    <s v="PSLV"/>
    <x v="112"/>
    <m/>
    <m/>
    <m/>
    <n v="0"/>
    <m/>
    <m/>
  </r>
  <r>
    <n v="4705"/>
    <x v="58"/>
    <s v="Day"/>
    <x v="1"/>
    <n v="2000721874"/>
    <n v="470"/>
    <n v="110"/>
    <n v="0"/>
    <s v="U32991"/>
    <s v="PSHV"/>
    <x v="223"/>
    <m/>
    <m/>
    <m/>
    <n v="0"/>
    <m/>
    <m/>
  </r>
  <r>
    <n v="4706"/>
    <x v="58"/>
    <s v="Day"/>
    <x v="1"/>
    <n v="2000721877"/>
    <n v="600"/>
    <n v="119"/>
    <n v="0"/>
    <s v="U32991"/>
    <s v="PSLV"/>
    <x v="49"/>
    <m/>
    <m/>
    <m/>
    <n v="0"/>
    <m/>
    <m/>
  </r>
  <r>
    <n v="4707"/>
    <x v="58"/>
    <s v="Day"/>
    <x v="1"/>
    <n v="2000721880"/>
    <n v="270"/>
    <n v="70"/>
    <n v="0"/>
    <s v="U32991"/>
    <s v="FRANKY"/>
    <x v="81"/>
    <m/>
    <m/>
    <m/>
    <n v="0"/>
    <m/>
    <m/>
  </r>
  <r>
    <n v="4708"/>
    <x v="58"/>
    <s v="Day"/>
    <x v="1"/>
    <n v="2000722321"/>
    <n v="550"/>
    <n v="140"/>
    <n v="0"/>
    <s v="U32991"/>
    <s v="FRANKY"/>
    <x v="81"/>
    <m/>
    <m/>
    <m/>
    <n v="0"/>
    <m/>
    <m/>
  </r>
  <r>
    <n v="4709"/>
    <x v="58"/>
    <s v="Day"/>
    <x v="1"/>
    <n v="2000721879"/>
    <n v="21"/>
    <n v="20"/>
    <n v="0"/>
    <s v="U32991"/>
    <s v="PSLV"/>
    <x v="27"/>
    <m/>
    <m/>
    <m/>
    <n v="0"/>
    <m/>
    <m/>
  </r>
  <r>
    <n v="4710"/>
    <x v="58"/>
    <s v="Day"/>
    <x v="1"/>
    <n v="2000722320"/>
    <n v="380"/>
    <n v="70"/>
    <n v="0"/>
    <s v="U32991"/>
    <s v="PSHV"/>
    <x v="50"/>
    <m/>
    <m/>
    <m/>
    <n v="0"/>
    <m/>
    <m/>
  </r>
  <r>
    <n v="4711"/>
    <x v="58"/>
    <s v="Day"/>
    <x v="1"/>
    <n v="2000721874"/>
    <n v="470"/>
    <n v="90"/>
    <n v="1"/>
    <s v="U15759"/>
    <s v="PSHV"/>
    <x v="223"/>
    <s v="Dính thiếc "/>
    <m/>
    <s v="U401"/>
    <n v="1"/>
    <s v="\\vn-file\QC Department\4.OQC\00. OQC Performance\03. Images\01. NG\20210402-NG-1045721874.jpg"/>
    <s v="\\vn-file\QC Department\4.OQC\00. OQC Performance\03. Images\02. OK\20210402-OK-1045721874.jpg"/>
  </r>
  <r>
    <n v="4712"/>
    <x v="58"/>
    <s v="Day"/>
    <x v="1"/>
    <n v="2000721876"/>
    <n v="51"/>
    <n v="10"/>
    <n v="0"/>
    <s v="U15759"/>
    <s v="PSLV"/>
    <x v="112"/>
    <m/>
    <m/>
    <m/>
    <n v="0"/>
    <m/>
    <m/>
  </r>
  <r>
    <n v="4713"/>
    <x v="58"/>
    <s v="Night"/>
    <x v="0"/>
    <n v="2000721994"/>
    <n v="440"/>
    <n v="40"/>
    <n v="0"/>
    <s v="U27724"/>
    <s v="L1188/89"/>
    <x v="130"/>
    <m/>
    <m/>
    <m/>
    <n v="0"/>
    <m/>
    <m/>
  </r>
  <r>
    <n v="4714"/>
    <x v="58"/>
    <s v="Night"/>
    <x v="0"/>
    <n v="2000723234"/>
    <n v="200"/>
    <n v="199"/>
    <n v="0"/>
    <s v="U27724"/>
    <s v="L1188/89"/>
    <x v="98"/>
    <m/>
    <m/>
    <m/>
    <n v="0"/>
    <m/>
    <m/>
  </r>
  <r>
    <n v="4715"/>
    <x v="58"/>
    <s v="Night"/>
    <x v="0"/>
    <n v="2000723233"/>
    <n v="200"/>
    <n v="199"/>
    <n v="1"/>
    <s v="U27724"/>
    <s v="L1188/89"/>
    <x v="72"/>
    <s v="Bong, vỡ linh kiện"/>
    <m/>
    <s v="L4"/>
    <n v="1"/>
    <s v="\\vn-file\QC Department\4.OQC\00. OQC Performance\03. Images\01. NG\20210402-NG-0800723233.jpg"/>
    <s v="\\vn-file\QC Department\4.OQC\00. OQC Performance\03. Images\02. OK\20210402-OK-0800723233.jpg"/>
  </r>
  <r>
    <n v="4716"/>
    <x v="58"/>
    <s v="Night"/>
    <x v="0"/>
    <n v="2000722261"/>
    <n v="1620"/>
    <n v="240"/>
    <n v="0"/>
    <s v="U27724"/>
    <s v="L1193/94"/>
    <x v="30"/>
    <m/>
    <m/>
    <m/>
    <n v="0"/>
    <m/>
    <m/>
  </r>
  <r>
    <n v="4717"/>
    <x v="58"/>
    <s v="Night"/>
    <x v="0"/>
    <n v="2000722735"/>
    <n v="300"/>
    <n v="297"/>
    <n v="0"/>
    <s v="U27724"/>
    <s v="L1188/89"/>
    <x v="95"/>
    <m/>
    <m/>
    <m/>
    <n v="0"/>
    <m/>
    <m/>
  </r>
  <r>
    <n v="4718"/>
    <x v="58"/>
    <s v="Night"/>
    <x v="0"/>
    <n v="2000722285"/>
    <n v="300"/>
    <n v="160"/>
    <n v="0"/>
    <s v="U31065"/>
    <s v="L1193/94"/>
    <x v="192"/>
    <m/>
    <m/>
    <m/>
    <n v="0"/>
    <m/>
    <m/>
  </r>
  <r>
    <n v="4719"/>
    <x v="58"/>
    <s v="Night"/>
    <x v="0"/>
    <n v="2000722286"/>
    <n v="350"/>
    <n v="350"/>
    <n v="0"/>
    <s v="U31065"/>
    <s v="L1193/94"/>
    <x v="104"/>
    <m/>
    <m/>
    <m/>
    <n v="0"/>
    <m/>
    <m/>
  </r>
  <r>
    <n v="4720"/>
    <x v="58"/>
    <s v="Night"/>
    <x v="0"/>
    <n v="2000721407"/>
    <n v="210"/>
    <n v="1"/>
    <n v="0"/>
    <s v="U31065"/>
    <s v="L1193/94"/>
    <x v="104"/>
    <m/>
    <m/>
    <m/>
    <n v="0"/>
    <m/>
    <m/>
  </r>
  <r>
    <n v="4721"/>
    <x v="58"/>
    <s v="Night"/>
    <x v="0"/>
    <n v="2000722287"/>
    <n v="510"/>
    <n v="90"/>
    <n v="0"/>
    <s v="U31065"/>
    <s v="L1193/94"/>
    <x v="116"/>
    <m/>
    <m/>
    <m/>
    <n v="0"/>
    <m/>
    <m/>
  </r>
  <r>
    <n v="4722"/>
    <x v="58"/>
    <s v="Night"/>
    <x v="0"/>
    <n v="2000721690"/>
    <n v="1800"/>
    <n v="90"/>
    <n v="0"/>
    <s v="U36008"/>
    <s v="L1188/89"/>
    <x v="109"/>
    <m/>
    <m/>
    <m/>
    <n v="0"/>
    <m/>
    <m/>
  </r>
  <r>
    <n v="4723"/>
    <x v="58"/>
    <s v="Night"/>
    <x v="0"/>
    <n v="2000721994"/>
    <n v="440"/>
    <n v="318"/>
    <n v="0"/>
    <s v="U36008"/>
    <s v="L1188/89"/>
    <x v="130"/>
    <m/>
    <m/>
    <m/>
    <n v="0"/>
    <m/>
    <m/>
  </r>
  <r>
    <n v="4724"/>
    <x v="58"/>
    <s v="Night"/>
    <x v="0"/>
    <n v="2000721991"/>
    <n v="120"/>
    <n v="120"/>
    <n v="0"/>
    <s v="U36008"/>
    <s v="L1188/89"/>
    <x v="73"/>
    <m/>
    <m/>
    <m/>
    <n v="0"/>
    <m/>
    <m/>
  </r>
  <r>
    <n v="4725"/>
    <x v="58"/>
    <s v="Night"/>
    <x v="0"/>
    <n v="2000721992"/>
    <n v="550"/>
    <n v="80"/>
    <n v="0"/>
    <s v="U36008"/>
    <s v="L1188/89"/>
    <x v="0"/>
    <m/>
    <m/>
    <m/>
    <n v="0"/>
    <m/>
    <m/>
  </r>
  <r>
    <n v="4726"/>
    <x v="58"/>
    <s v="Night"/>
    <x v="0"/>
    <n v="2000721992"/>
    <n v="550"/>
    <n v="80"/>
    <n v="0"/>
    <s v="U23987"/>
    <s v="L1188/89"/>
    <x v="0"/>
    <m/>
    <m/>
    <m/>
    <n v="0"/>
    <m/>
    <m/>
  </r>
  <r>
    <n v="4727"/>
    <x v="58"/>
    <s v="Night"/>
    <x v="0"/>
    <n v="2000721960"/>
    <n v="1800"/>
    <n v="668"/>
    <n v="0"/>
    <s v="U30119"/>
    <s v="L1188/89"/>
    <x v="109"/>
    <m/>
    <m/>
    <m/>
    <n v="0"/>
    <m/>
    <m/>
  </r>
  <r>
    <n v="4728"/>
    <x v="58"/>
    <s v="Night"/>
    <x v="0"/>
    <n v="2000722655"/>
    <n v="3900"/>
    <n v="110"/>
    <n v="0"/>
    <s v="U30119"/>
    <s v="L1174/75"/>
    <x v="3"/>
    <m/>
    <m/>
    <m/>
    <n v="0"/>
    <m/>
    <m/>
  </r>
  <r>
    <n v="4729"/>
    <x v="58"/>
    <s v="Night"/>
    <x v="0"/>
    <n v="2000722522"/>
    <n v="150"/>
    <n v="30"/>
    <n v="0"/>
    <s v="U30119"/>
    <s v="L1172/73"/>
    <x v="169"/>
    <m/>
    <m/>
    <m/>
    <n v="0"/>
    <m/>
    <m/>
  </r>
  <r>
    <n v="4730"/>
    <x v="58"/>
    <s v="Night"/>
    <x v="0"/>
    <n v="2000723291"/>
    <n v="420"/>
    <n v="80"/>
    <n v="0"/>
    <s v="U30119"/>
    <s v="L1144/47"/>
    <x v="57"/>
    <m/>
    <m/>
    <m/>
    <n v="0"/>
    <m/>
    <m/>
  </r>
  <r>
    <n v="4731"/>
    <x v="58"/>
    <s v="Night"/>
    <x v="0"/>
    <n v="2000722733"/>
    <n v="460"/>
    <n v="60"/>
    <n v="0"/>
    <s v="U30119"/>
    <s v="L1144/47"/>
    <x v="89"/>
    <m/>
    <m/>
    <m/>
    <n v="0"/>
    <m/>
    <m/>
  </r>
  <r>
    <n v="4732"/>
    <x v="58"/>
    <s v="Night"/>
    <x v="0"/>
    <n v="2000722196"/>
    <n v="1000"/>
    <n v="150"/>
    <n v="0"/>
    <s v="U09854"/>
    <s v="L1144/47"/>
    <x v="74"/>
    <m/>
    <m/>
    <m/>
    <n v="0"/>
    <m/>
    <m/>
  </r>
  <r>
    <n v="4733"/>
    <x v="58"/>
    <s v="Night"/>
    <x v="0"/>
    <n v="2000722257"/>
    <n v="1800"/>
    <n v="160"/>
    <n v="0"/>
    <s v="U09854"/>
    <s v="L1144/47"/>
    <x v="14"/>
    <m/>
    <m/>
    <m/>
    <n v="0"/>
    <m/>
    <m/>
  </r>
  <r>
    <n v="4734"/>
    <x v="58"/>
    <s v="Night"/>
    <x v="0"/>
    <n v="2000722079"/>
    <n v="1000"/>
    <n v="160"/>
    <n v="0"/>
    <s v="U09854"/>
    <s v="L1077"/>
    <x v="6"/>
    <m/>
    <m/>
    <m/>
    <n v="0"/>
    <m/>
    <m/>
  </r>
  <r>
    <n v="4735"/>
    <x v="58"/>
    <s v="Night"/>
    <x v="0"/>
    <n v="2000722078"/>
    <n v="1000"/>
    <n v="100"/>
    <n v="0"/>
    <s v="U09854"/>
    <s v="L1077"/>
    <x v="33"/>
    <m/>
    <m/>
    <m/>
    <n v="0"/>
    <m/>
    <m/>
  </r>
  <r>
    <n v="4736"/>
    <x v="58"/>
    <s v="Night"/>
    <x v="0"/>
    <n v="2000722265"/>
    <n v="1800"/>
    <n v="760"/>
    <n v="0"/>
    <s v="U09854"/>
    <s v="L1151/52"/>
    <x v="85"/>
    <m/>
    <m/>
    <m/>
    <n v="0"/>
    <m/>
    <m/>
  </r>
  <r>
    <n v="4737"/>
    <x v="58"/>
    <s v="Night"/>
    <x v="0"/>
    <n v="2000722654"/>
    <n v="3900"/>
    <n v="200"/>
    <n v="0"/>
    <s v="U09854"/>
    <s v="L1174/75"/>
    <x v="62"/>
    <m/>
    <m/>
    <m/>
    <n v="0"/>
    <m/>
    <m/>
  </r>
  <r>
    <n v="4738"/>
    <x v="58"/>
    <s v="Night"/>
    <x v="0"/>
    <n v="2000722806"/>
    <n v="1040"/>
    <n v="54"/>
    <n v="0"/>
    <s v="U09854"/>
    <s v="L1151/52"/>
    <x v="167"/>
    <m/>
    <m/>
    <m/>
    <n v="0"/>
    <m/>
    <m/>
  </r>
  <r>
    <n v="4739"/>
    <x v="58"/>
    <s v="Night"/>
    <x v="0"/>
    <n v="2000722267"/>
    <n v="3609"/>
    <n v="240"/>
    <n v="0"/>
    <s v="U09854"/>
    <s v="L1172/73"/>
    <x v="7"/>
    <m/>
    <m/>
    <m/>
    <n v="0"/>
    <m/>
    <m/>
  </r>
  <r>
    <n v="4740"/>
    <x v="58"/>
    <s v="Night"/>
    <x v="0"/>
    <n v="2000722521"/>
    <n v="600"/>
    <n v="80"/>
    <n v="0"/>
    <s v="U30425"/>
    <s v="L1172/73"/>
    <x v="83"/>
    <m/>
    <m/>
    <m/>
    <n v="0"/>
    <m/>
    <m/>
  </r>
  <r>
    <n v="4741"/>
    <x v="58"/>
    <s v="Night"/>
    <x v="0"/>
    <n v="2000721950"/>
    <n v="1000"/>
    <n v="90"/>
    <n v="0"/>
    <s v="U30425"/>
    <s v="L1172/73"/>
    <x v="18"/>
    <m/>
    <m/>
    <m/>
    <n v="0"/>
    <m/>
    <m/>
  </r>
  <r>
    <n v="4742"/>
    <x v="58"/>
    <s v="Night"/>
    <x v="0"/>
    <n v="2000722747"/>
    <n v="760"/>
    <n v="80"/>
    <n v="0"/>
    <s v="U30425"/>
    <s v="L1144/47"/>
    <x v="39"/>
    <m/>
    <m/>
    <m/>
    <n v="0"/>
    <m/>
    <m/>
  </r>
  <r>
    <n v="4743"/>
    <x v="58"/>
    <s v="Night"/>
    <x v="0"/>
    <n v="2000722839"/>
    <n v="1200"/>
    <n v="80"/>
    <n v="0"/>
    <s v="U30425"/>
    <s v="L1168/69"/>
    <x v="48"/>
    <m/>
    <m/>
    <m/>
    <n v="0"/>
    <m/>
    <m/>
  </r>
  <r>
    <n v="4744"/>
    <x v="58"/>
    <s v="Night"/>
    <x v="0"/>
    <n v="2000714596"/>
    <n v="2768"/>
    <n v="177"/>
    <n v="0"/>
    <s v="U30425"/>
    <s v="L1128/29"/>
    <x v="11"/>
    <m/>
    <m/>
    <m/>
    <n v="0"/>
    <m/>
    <m/>
  </r>
  <r>
    <n v="4745"/>
    <x v="58"/>
    <s v="Night"/>
    <x v="1"/>
    <n v="2000722320"/>
    <n v="380"/>
    <n v="308"/>
    <n v="0"/>
    <s v="U23987"/>
    <s v="HVPS"/>
    <x v="50"/>
    <m/>
    <m/>
    <m/>
    <n v="0"/>
    <m/>
    <m/>
  </r>
  <r>
    <n v="4746"/>
    <x v="58"/>
    <s v="Night"/>
    <x v="1"/>
    <n v="2000722322"/>
    <n v="345"/>
    <n v="96"/>
    <n v="0"/>
    <s v="U23987"/>
    <s v="FRANKY"/>
    <x v="51"/>
    <m/>
    <m/>
    <m/>
    <n v="0"/>
    <m/>
    <m/>
  </r>
  <r>
    <n v="4747"/>
    <x v="58"/>
    <s v="Night"/>
    <x v="1"/>
    <n v="2000721878"/>
    <n v="576"/>
    <n v="96"/>
    <n v="0"/>
    <s v="U23987"/>
    <s v="FRANKY"/>
    <x v="51"/>
    <m/>
    <m/>
    <m/>
    <n v="0"/>
    <m/>
    <m/>
  </r>
  <r>
    <n v="4748"/>
    <x v="58"/>
    <s v="Night"/>
    <x v="1"/>
    <n v="2000721882"/>
    <n v="178"/>
    <n v="40"/>
    <n v="0"/>
    <s v="U23987"/>
    <s v="SHANKS"/>
    <x v="166"/>
    <m/>
    <m/>
    <m/>
    <n v="0"/>
    <m/>
    <m/>
  </r>
  <r>
    <n v="4749"/>
    <x v="58"/>
    <s v="Night"/>
    <x v="1"/>
    <n v="2000722323"/>
    <n v="550"/>
    <n v="35"/>
    <n v="0"/>
    <s v="U23987"/>
    <s v="FRANKY"/>
    <x v="81"/>
    <m/>
    <m/>
    <m/>
    <n v="0"/>
    <m/>
    <m/>
  </r>
  <r>
    <n v="4750"/>
    <x v="59"/>
    <s v="Day"/>
    <x v="0"/>
    <n v="2000723232"/>
    <n v="720"/>
    <n v="240"/>
    <n v="0"/>
    <s v="U18660"/>
    <s v="L1188/89"/>
    <x v="16"/>
    <m/>
    <m/>
    <m/>
    <n v="0"/>
    <m/>
    <m/>
  </r>
  <r>
    <n v="4751"/>
    <x v="59"/>
    <s v="Day"/>
    <x v="0"/>
    <n v="2000721961"/>
    <n v="1000"/>
    <n v="210"/>
    <n v="0"/>
    <s v="U18660"/>
    <s v="L1188/89"/>
    <x v="84"/>
    <m/>
    <m/>
    <m/>
    <n v="0"/>
    <m/>
    <m/>
  </r>
  <r>
    <n v="4752"/>
    <x v="59"/>
    <s v="Day"/>
    <x v="0"/>
    <n v="2000721990"/>
    <n v="200"/>
    <n v="198"/>
    <n v="0"/>
    <s v="U18660"/>
    <s v="L1188/89"/>
    <x v="183"/>
    <m/>
    <m/>
    <m/>
    <n v="0"/>
    <m/>
    <m/>
  </r>
  <r>
    <n v="4753"/>
    <x v="59"/>
    <s v="Day"/>
    <x v="0"/>
    <n v="2000723235"/>
    <n v="160"/>
    <n v="157"/>
    <n v="0"/>
    <s v="U18660"/>
    <s v="L1188/89"/>
    <x v="212"/>
    <m/>
    <m/>
    <m/>
    <n v="0"/>
    <m/>
    <m/>
  </r>
  <r>
    <n v="4754"/>
    <x v="59"/>
    <s v="Day"/>
    <x v="0"/>
    <n v="2000720391"/>
    <n v="120"/>
    <n v="2"/>
    <n v="0"/>
    <s v="U18660"/>
    <s v="L1188/89"/>
    <x v="212"/>
    <m/>
    <m/>
    <m/>
    <n v="0"/>
    <m/>
    <m/>
  </r>
  <r>
    <n v="4755"/>
    <x v="59"/>
    <s v="Day"/>
    <x v="0"/>
    <n v="2000722702"/>
    <n v="540"/>
    <n v="80"/>
    <n v="0"/>
    <s v="U18660"/>
    <s v="L1168/69"/>
    <x v="93"/>
    <m/>
    <m/>
    <m/>
    <n v="0"/>
    <m/>
    <m/>
  </r>
  <r>
    <n v="4756"/>
    <x v="59"/>
    <s v="Day"/>
    <x v="0"/>
    <n v="2000722287"/>
    <n v="510"/>
    <n v="290"/>
    <n v="0"/>
    <s v="U15759"/>
    <s v="L1193/94"/>
    <x v="116"/>
    <m/>
    <m/>
    <m/>
    <n v="0"/>
    <m/>
    <m/>
  </r>
  <r>
    <n v="4757"/>
    <x v="59"/>
    <s v="Day"/>
    <x v="0"/>
    <n v="2000722283"/>
    <n v="510"/>
    <n v="180"/>
    <n v="0"/>
    <s v="U15759"/>
    <s v="L1193/94"/>
    <x v="146"/>
    <m/>
    <m/>
    <m/>
    <n v="0"/>
    <m/>
    <m/>
  </r>
  <r>
    <n v="4758"/>
    <x v="59"/>
    <s v="Day"/>
    <x v="0"/>
    <n v="2000722288"/>
    <n v="940"/>
    <n v="120"/>
    <n v="0"/>
    <s v="U15759"/>
    <s v="L1193/94"/>
    <x v="192"/>
    <m/>
    <m/>
    <m/>
    <n v="0"/>
    <m/>
    <m/>
  </r>
  <r>
    <n v="4759"/>
    <x v="59"/>
    <s v="Day"/>
    <x v="0"/>
    <n v="2000721992"/>
    <n v="550"/>
    <n v="280"/>
    <n v="0"/>
    <s v="U32991"/>
    <s v="L1188/89"/>
    <x v="0"/>
    <m/>
    <m/>
    <m/>
    <n v="0"/>
    <m/>
    <m/>
  </r>
  <r>
    <n v="4760"/>
    <x v="59"/>
    <s v="Day"/>
    <x v="0"/>
    <n v="2000722287"/>
    <n v="510"/>
    <n v="120"/>
    <n v="0"/>
    <s v="U30500"/>
    <s v="L1193/94"/>
    <x v="261"/>
    <m/>
    <m/>
    <m/>
    <n v="0"/>
    <m/>
    <m/>
  </r>
  <r>
    <n v="4761"/>
    <x v="59"/>
    <s v="Day"/>
    <x v="0"/>
    <n v="2000722283"/>
    <n v="510"/>
    <n v="30"/>
    <n v="0"/>
    <s v="U30500"/>
    <s v="L1193/94"/>
    <x v="146"/>
    <m/>
    <m/>
    <m/>
    <n v="0"/>
    <m/>
    <m/>
  </r>
  <r>
    <n v="4762"/>
    <x v="59"/>
    <s v="Day"/>
    <x v="0"/>
    <n v="2000722265"/>
    <n v="1800"/>
    <n v="400"/>
    <n v="0"/>
    <s v="U30500"/>
    <s v="L1151/52"/>
    <x v="85"/>
    <m/>
    <m/>
    <m/>
    <n v="0"/>
    <m/>
    <m/>
  </r>
  <r>
    <n v="4763"/>
    <x v="59"/>
    <s v="Day"/>
    <x v="0"/>
    <n v="2000722199"/>
    <n v="1200"/>
    <n v="150"/>
    <n v="0"/>
    <s v="U03968"/>
    <s v="L1144/47"/>
    <x v="77"/>
    <m/>
    <m/>
    <m/>
    <n v="0"/>
    <m/>
    <m/>
  </r>
  <r>
    <n v="4764"/>
    <x v="59"/>
    <s v="Day"/>
    <x v="0"/>
    <n v="2000722198"/>
    <n v="1200"/>
    <n v="200"/>
    <n v="0"/>
    <s v="U03968"/>
    <s v="L1144/47"/>
    <x v="92"/>
    <m/>
    <m/>
    <m/>
    <n v="0"/>
    <m/>
    <m/>
  </r>
  <r>
    <n v="4765"/>
    <x v="59"/>
    <s v="Day"/>
    <x v="0"/>
    <n v="2000722261"/>
    <n v="1620"/>
    <n v="240"/>
    <n v="0"/>
    <s v="U03968"/>
    <s v="L1193/94"/>
    <x v="30"/>
    <m/>
    <m/>
    <m/>
    <n v="0"/>
    <m/>
    <m/>
  </r>
  <r>
    <n v="4766"/>
    <x v="59"/>
    <s v="Day"/>
    <x v="0"/>
    <n v="2000722265"/>
    <n v="1800"/>
    <n v="440"/>
    <n v="0"/>
    <s v="U03968"/>
    <s v="L1151/52"/>
    <x v="85"/>
    <m/>
    <m/>
    <m/>
    <n v="0"/>
    <m/>
    <m/>
  </r>
  <r>
    <n v="4767"/>
    <x v="59"/>
    <s v="Day"/>
    <x v="0"/>
    <n v="2000722203"/>
    <n v="2800"/>
    <n v="150"/>
    <n v="0"/>
    <s v="U03968"/>
    <s v="L1144/47"/>
    <x v="77"/>
    <m/>
    <m/>
    <m/>
    <n v="0"/>
    <m/>
    <m/>
  </r>
  <r>
    <n v="4768"/>
    <x v="59"/>
    <s v="Day"/>
    <x v="0"/>
    <n v="2000722200"/>
    <n v="1200"/>
    <n v="150"/>
    <n v="0"/>
    <s v="U03968"/>
    <s v="L1144/47"/>
    <x v="13"/>
    <m/>
    <m/>
    <m/>
    <n v="0"/>
    <m/>
    <m/>
  </r>
  <r>
    <n v="4769"/>
    <x v="59"/>
    <s v="Day"/>
    <x v="0"/>
    <n v="2000722259"/>
    <n v="1200"/>
    <n v="200"/>
    <n v="0"/>
    <s v="U03968"/>
    <s v="L1174/75"/>
    <x v="262"/>
    <m/>
    <m/>
    <m/>
    <n v="0"/>
    <m/>
    <m/>
  </r>
  <r>
    <n v="4770"/>
    <x v="59"/>
    <s v="Day"/>
    <x v="0"/>
    <n v="2000722084"/>
    <n v="2000"/>
    <n v="160"/>
    <n v="0"/>
    <s v="U03968"/>
    <s v="L1077"/>
    <x v="6"/>
    <m/>
    <m/>
    <m/>
    <n v="0"/>
    <m/>
    <m/>
  </r>
  <r>
    <n v="4771"/>
    <x v="59"/>
    <s v="Day"/>
    <x v="0"/>
    <n v="2000722085"/>
    <n v="2000"/>
    <n v="160"/>
    <n v="0"/>
    <s v="U03968"/>
    <s v="L1077"/>
    <x v="36"/>
    <m/>
    <m/>
    <m/>
    <n v="0"/>
    <m/>
    <m/>
  </r>
  <r>
    <n v="4772"/>
    <x v="59"/>
    <s v="Day"/>
    <x v="0"/>
    <n v="2000723474"/>
    <n v="1750"/>
    <n v="150"/>
    <n v="0"/>
    <s v="U03968"/>
    <s v="L1144/47"/>
    <x v="138"/>
    <m/>
    <m/>
    <m/>
    <n v="0"/>
    <m/>
    <m/>
  </r>
  <r>
    <n v="4773"/>
    <x v="59"/>
    <s v="Day"/>
    <x v="0"/>
    <n v="2000722254"/>
    <n v="2000"/>
    <n v="130"/>
    <n v="0"/>
    <s v="U03968"/>
    <s v="T515"/>
    <x v="263"/>
    <m/>
    <m/>
    <m/>
    <n v="0"/>
    <m/>
    <m/>
  </r>
  <r>
    <n v="4774"/>
    <x v="59"/>
    <s v="Day"/>
    <x v="0"/>
    <n v="2000722523"/>
    <n v="460"/>
    <n v="334"/>
    <n v="0"/>
    <s v="U29686"/>
    <s v="L1172/73"/>
    <x v="193"/>
    <m/>
    <m/>
    <m/>
    <n v="0"/>
    <m/>
    <m/>
  </r>
  <r>
    <n v="4775"/>
    <x v="59"/>
    <s v="Day"/>
    <x v="0"/>
    <n v="2000722733"/>
    <n v="460"/>
    <n v="20"/>
    <n v="0"/>
    <s v="U27723"/>
    <s v="L1144/47"/>
    <x v="89"/>
    <m/>
    <m/>
    <m/>
    <n v="0"/>
    <m/>
    <m/>
  </r>
  <r>
    <n v="4776"/>
    <x v="59"/>
    <s v="Day"/>
    <x v="0"/>
    <n v="2000714596"/>
    <n v="2768"/>
    <n v="160"/>
    <n v="0"/>
    <s v="U27723"/>
    <s v="L1128/29"/>
    <x v="11"/>
    <m/>
    <m/>
    <m/>
    <n v="0"/>
    <m/>
    <m/>
  </r>
  <r>
    <n v="4777"/>
    <x v="59"/>
    <s v="Day"/>
    <x v="0"/>
    <n v="2000714598"/>
    <n v="2704"/>
    <n v="80"/>
    <n v="0"/>
    <s v="U27723"/>
    <s v="L1128/29"/>
    <x v="11"/>
    <m/>
    <m/>
    <m/>
    <n v="0"/>
    <m/>
    <m/>
  </r>
  <r>
    <n v="4778"/>
    <x v="59"/>
    <s v="Day"/>
    <x v="0"/>
    <n v="2000713894"/>
    <n v="2752"/>
    <n v="40"/>
    <n v="0"/>
    <s v="U27723"/>
    <s v="L1128/29"/>
    <x v="11"/>
    <m/>
    <m/>
    <m/>
    <n v="0"/>
    <m/>
    <m/>
  </r>
  <r>
    <n v="4779"/>
    <x v="59"/>
    <s v="Day"/>
    <x v="0"/>
    <n v="2000713890"/>
    <n v="2720"/>
    <n v="40"/>
    <n v="0"/>
    <s v="U27723"/>
    <s v="L1128/29"/>
    <x v="11"/>
    <m/>
    <m/>
    <m/>
    <n v="0"/>
    <m/>
    <m/>
  </r>
  <r>
    <n v="4780"/>
    <x v="59"/>
    <s v="Day"/>
    <x v="0"/>
    <n v="2000722734"/>
    <n v="700"/>
    <n v="80"/>
    <n v="0"/>
    <s v="U27723"/>
    <s v="L1144/47"/>
    <x v="1"/>
    <m/>
    <m/>
    <m/>
    <n v="0"/>
    <m/>
    <m/>
  </r>
  <r>
    <n v="4781"/>
    <x v="59"/>
    <s v="Day"/>
    <x v="0"/>
    <n v="2000721968"/>
    <n v="3999"/>
    <n v="120"/>
    <n v="0"/>
    <s v="U27723"/>
    <s v="L1168/69"/>
    <x v="37"/>
    <m/>
    <m/>
    <m/>
    <n v="0"/>
    <m/>
    <m/>
  </r>
  <r>
    <n v="4782"/>
    <x v="59"/>
    <s v="Day"/>
    <x v="0"/>
    <n v="2000722841"/>
    <n v="1200"/>
    <n v="80"/>
    <n v="0"/>
    <s v="U27723"/>
    <s v="L1168/69"/>
    <x v="93"/>
    <m/>
    <m/>
    <m/>
    <n v="0"/>
    <m/>
    <m/>
  </r>
  <r>
    <n v="4783"/>
    <x v="59"/>
    <s v="Day"/>
    <x v="0"/>
    <n v="2000723292"/>
    <n v="730"/>
    <n v="80"/>
    <n v="0"/>
    <s v="U27723"/>
    <s v="L1144/47"/>
    <x v="56"/>
    <m/>
    <m/>
    <m/>
    <n v="0"/>
    <m/>
    <m/>
  </r>
  <r>
    <n v="4784"/>
    <x v="59"/>
    <s v="Day"/>
    <x v="0"/>
    <n v="2000722748"/>
    <n v="170"/>
    <n v="20"/>
    <n v="0"/>
    <s v="U27723"/>
    <s v="L1144/47"/>
    <x v="88"/>
    <m/>
    <m/>
    <m/>
    <n v="0"/>
    <m/>
    <m/>
  </r>
  <r>
    <n v="4785"/>
    <x v="59"/>
    <s v="Day"/>
    <x v="0"/>
    <n v="2000722086"/>
    <n v="2000"/>
    <n v="20"/>
    <n v="0"/>
    <s v="U27723"/>
    <s v="L1077"/>
    <x v="2"/>
    <m/>
    <m/>
    <m/>
    <n v="0"/>
    <m/>
    <m/>
  </r>
  <r>
    <n v="4786"/>
    <x v="59"/>
    <s v="Day"/>
    <x v="0"/>
    <n v="2000723473"/>
    <n v="264"/>
    <n v="80"/>
    <n v="0"/>
    <s v="U27723"/>
    <s v="L1144/47"/>
    <x v="58"/>
    <m/>
    <m/>
    <m/>
    <n v="0"/>
    <m/>
    <m/>
  </r>
  <r>
    <n v="4787"/>
    <x v="59"/>
    <s v="Day"/>
    <x v="1"/>
    <n v="2000722323"/>
    <n v="380"/>
    <n v="90"/>
    <n v="0"/>
    <s v="U32991"/>
    <s v="PSLV"/>
    <x v="79"/>
    <m/>
    <m/>
    <m/>
    <n v="0"/>
    <m/>
    <m/>
  </r>
  <r>
    <n v="4788"/>
    <x v="59"/>
    <s v="Day"/>
    <x v="1"/>
    <n v="2000722323"/>
    <n v="550"/>
    <n v="70"/>
    <n v="0"/>
    <s v="U32991"/>
    <s v="FRANKY"/>
    <x v="81"/>
    <m/>
    <m/>
    <m/>
    <n v="0"/>
    <m/>
    <m/>
  </r>
  <r>
    <n v="4789"/>
    <x v="59"/>
    <s v="Day"/>
    <x v="1"/>
    <n v="2000722800"/>
    <n v="1000"/>
    <n v="100"/>
    <n v="0"/>
    <s v="U32991"/>
    <s v="PSHV"/>
    <x v="25"/>
    <m/>
    <m/>
    <m/>
    <n v="0"/>
    <m/>
    <m/>
  </r>
  <r>
    <n v="4790"/>
    <x v="59"/>
    <s v="Day"/>
    <x v="1"/>
    <n v="2000722444"/>
    <n v="345"/>
    <n v="96"/>
    <n v="0"/>
    <s v="U32991"/>
    <s v="FRANKY"/>
    <x v="51"/>
    <m/>
    <m/>
    <m/>
    <n v="0"/>
    <m/>
    <m/>
  </r>
  <r>
    <n v="4791"/>
    <x v="59"/>
    <s v="Day"/>
    <x v="1"/>
    <n v="2000722794"/>
    <n v="346"/>
    <n v="100"/>
    <n v="0"/>
    <s v="U32991"/>
    <s v="PSHV"/>
    <x v="50"/>
    <m/>
    <m/>
    <m/>
    <n v="0"/>
    <m/>
    <m/>
  </r>
  <r>
    <n v="4792"/>
    <x v="59"/>
    <s v="Night"/>
    <x v="0"/>
    <n v="2000721961"/>
    <n v="1000"/>
    <n v="788"/>
    <n v="0"/>
    <s v="U30119"/>
    <s v="L1188/89"/>
    <x v="84"/>
    <m/>
    <m/>
    <m/>
    <n v="0"/>
    <m/>
    <m/>
  </r>
  <r>
    <n v="4793"/>
    <x v="59"/>
    <s v="Night"/>
    <x v="0"/>
    <n v="2000723319"/>
    <n v="330"/>
    <n v="329"/>
    <n v="0"/>
    <s v="U30119"/>
    <s v="L1209/10"/>
    <x v="55"/>
    <m/>
    <m/>
    <m/>
    <n v="0"/>
    <m/>
    <m/>
  </r>
  <r>
    <n v="4794"/>
    <x v="59"/>
    <s v="Night"/>
    <x v="0"/>
    <n v="2000723243"/>
    <n v="800"/>
    <n v="100"/>
    <n v="0"/>
    <s v="U30119"/>
    <s v="L1186"/>
    <x v="32"/>
    <m/>
    <m/>
    <m/>
    <n v="0"/>
    <m/>
    <m/>
  </r>
  <r>
    <n v="4795"/>
    <x v="59"/>
    <s v="Night"/>
    <x v="0"/>
    <n v="2000723244"/>
    <n v="800"/>
    <n v="100"/>
    <n v="0"/>
    <s v="U30119"/>
    <s v="L1186"/>
    <x v="34"/>
    <m/>
    <m/>
    <m/>
    <n v="0"/>
    <m/>
    <m/>
  </r>
  <r>
    <n v="4796"/>
    <x v="59"/>
    <s v="Night"/>
    <x v="0"/>
    <n v="2000723470"/>
    <n v="800"/>
    <n v="150"/>
    <n v="0"/>
    <s v="U30119"/>
    <s v="L1186"/>
    <x v="35"/>
    <m/>
    <m/>
    <m/>
    <n v="0"/>
    <m/>
    <m/>
  </r>
  <r>
    <n v="4802"/>
    <x v="59"/>
    <s v="Night"/>
    <x v="0"/>
    <n v="2000722288"/>
    <n v="940"/>
    <n v="256"/>
    <n v="0"/>
    <s v="U30106"/>
    <s v="L1193/94"/>
    <x v="192"/>
    <m/>
    <m/>
    <m/>
    <n v="0"/>
    <m/>
    <m/>
  </r>
  <r>
    <n v="4803"/>
    <x v="59"/>
    <s v="Night"/>
    <x v="0"/>
    <n v="2000723239"/>
    <n v="600"/>
    <n v="120"/>
    <n v="0"/>
    <s v="U30106"/>
    <s v="L1188/89"/>
    <x v="16"/>
    <m/>
    <m/>
    <m/>
    <n v="0"/>
    <m/>
    <m/>
  </r>
  <r>
    <n v="4804"/>
    <x v="59"/>
    <s v="Night"/>
    <x v="0"/>
    <n v="2000722282"/>
    <n v="520"/>
    <n v="180"/>
    <n v="0"/>
    <s v="U30106"/>
    <s v="L1193/94"/>
    <x v="21"/>
    <m/>
    <m/>
    <m/>
    <n v="0"/>
    <m/>
    <m/>
  </r>
  <r>
    <n v="4805"/>
    <x v="59"/>
    <s v="Night"/>
    <x v="0"/>
    <n v="2000721992"/>
    <n v="550"/>
    <n v="110"/>
    <n v="0"/>
    <s v="U27724"/>
    <s v="L1188/89"/>
    <x v="0"/>
    <m/>
    <m/>
    <m/>
    <n v="0"/>
    <m/>
    <m/>
  </r>
  <r>
    <n v="4806"/>
    <x v="59"/>
    <s v="Night"/>
    <x v="0"/>
    <n v="2000721993"/>
    <n v="160"/>
    <n v="120"/>
    <n v="0"/>
    <s v="U27724"/>
    <s v="L1188/89"/>
    <x v="136"/>
    <m/>
    <m/>
    <m/>
    <n v="0"/>
    <m/>
    <m/>
  </r>
  <r>
    <n v="4807"/>
    <x v="59"/>
    <s v="Night"/>
    <x v="0"/>
    <n v="2000722523"/>
    <n v="460"/>
    <n v="20"/>
    <n v="0"/>
    <s v="U27724"/>
    <s v="L1172/73"/>
    <x v="193"/>
    <m/>
    <m/>
    <m/>
    <n v="0"/>
    <m/>
    <m/>
  </r>
  <r>
    <n v="4808"/>
    <x v="59"/>
    <s v="Night"/>
    <x v="0"/>
    <n v="2000720034"/>
    <n v="2808"/>
    <n v="2024"/>
    <n v="0"/>
    <s v="U27724"/>
    <s v="L1151/52"/>
    <x v="256"/>
    <m/>
    <m/>
    <m/>
    <n v="0"/>
    <m/>
    <m/>
  </r>
  <r>
    <n v="4809"/>
    <x v="59"/>
    <s v="Night"/>
    <x v="0"/>
    <n v="2000722256"/>
    <n v="1092"/>
    <n v="425"/>
    <n v="0"/>
    <s v="U27724"/>
    <s v="L1151/52"/>
    <x v="173"/>
    <m/>
    <m/>
    <m/>
    <n v="0"/>
    <m/>
    <m/>
  </r>
  <r>
    <n v="4810"/>
    <x v="59"/>
    <s v="Night"/>
    <x v="0"/>
    <n v="2000723236"/>
    <n v="1020"/>
    <n v="90"/>
    <n v="0"/>
    <s v="U30425"/>
    <s v="L1172/73"/>
    <x v="99"/>
    <m/>
    <m/>
    <m/>
    <n v="0"/>
    <m/>
    <m/>
  </r>
  <r>
    <n v="4811"/>
    <x v="59"/>
    <s v="Night"/>
    <x v="0"/>
    <n v="2000722086"/>
    <n v="2000"/>
    <n v="100"/>
    <n v="0"/>
    <s v="U30425"/>
    <s v="L1077"/>
    <x v="2"/>
    <m/>
    <m/>
    <m/>
    <n v="0"/>
    <m/>
    <m/>
  </r>
  <r>
    <n v="4812"/>
    <x v="59"/>
    <s v="Night"/>
    <x v="0"/>
    <n v="2000723242"/>
    <n v="800"/>
    <n v="80"/>
    <n v="0"/>
    <s v="U30425"/>
    <s v="L1186"/>
    <x v="4"/>
    <m/>
    <m/>
    <m/>
    <n v="0"/>
    <m/>
    <m/>
  </r>
  <r>
    <n v="4813"/>
    <x v="59"/>
    <s v="Night"/>
    <x v="0"/>
    <n v="2000722840"/>
    <n v="1200"/>
    <n v="80"/>
    <n v="0"/>
    <s v="U30425"/>
    <s v="L1168/69"/>
    <x v="195"/>
    <m/>
    <m/>
    <m/>
    <n v="0"/>
    <m/>
    <m/>
  </r>
  <r>
    <n v="4814"/>
    <x v="59"/>
    <s v="Night"/>
    <x v="0"/>
    <n v="2000722440"/>
    <n v="1812"/>
    <n v="120"/>
    <n v="0"/>
    <s v="U30425"/>
    <s v="L1128/29"/>
    <x v="11"/>
    <m/>
    <m/>
    <m/>
    <n v="0"/>
    <m/>
    <m/>
  </r>
  <r>
    <n v="4815"/>
    <x v="59"/>
    <s v="Night"/>
    <x v="0"/>
    <n v="2000723237"/>
    <n v="320"/>
    <n v="80"/>
    <n v="0"/>
    <s v="U30425"/>
    <s v="T543"/>
    <x v="100"/>
    <m/>
    <m/>
    <m/>
    <n v="0"/>
    <m/>
    <m/>
  </r>
  <r>
    <n v="4816"/>
    <x v="59"/>
    <s v="Night"/>
    <x v="0"/>
    <n v="2000723245"/>
    <n v="400"/>
    <n v="80"/>
    <n v="0"/>
    <s v="U30425"/>
    <s v="L1182"/>
    <x v="189"/>
    <m/>
    <m/>
    <m/>
    <n v="0"/>
    <m/>
    <m/>
  </r>
  <r>
    <n v="4817"/>
    <x v="59"/>
    <s v="Night"/>
    <x v="0"/>
    <n v="2000722686"/>
    <n v="600"/>
    <n v="30"/>
    <n v="0"/>
    <s v="U30425"/>
    <s v="L1172/73"/>
    <x v="18"/>
    <m/>
    <m/>
    <m/>
    <n v="0"/>
    <m/>
    <m/>
  </r>
  <r>
    <n v="4818"/>
    <x v="59"/>
    <s v="Night"/>
    <x v="0"/>
    <n v="2000722807"/>
    <n v="440"/>
    <n v="440"/>
    <n v="0"/>
    <s v="U09854"/>
    <s v="L1151/52"/>
    <x v="85"/>
    <m/>
    <m/>
    <m/>
    <n v="0"/>
    <m/>
    <m/>
  </r>
  <r>
    <n v="4819"/>
    <x v="59"/>
    <s v="Night"/>
    <x v="0"/>
    <n v="2000722265"/>
    <n v="1800"/>
    <n v="80"/>
    <n v="0"/>
    <s v="U09854"/>
    <s v="L1151/52"/>
    <x v="85"/>
    <m/>
    <m/>
    <m/>
    <n v="0"/>
    <m/>
    <m/>
  </r>
  <r>
    <n v="4820"/>
    <x v="59"/>
    <s v="Night"/>
    <x v="0"/>
    <n v="2000722202"/>
    <n v="2800"/>
    <n v="200"/>
    <n v="0"/>
    <s v="U09854"/>
    <s v="L1144/47"/>
    <x v="92"/>
    <m/>
    <m/>
    <m/>
    <n v="0"/>
    <m/>
    <m/>
  </r>
  <r>
    <n v="4821"/>
    <x v="59"/>
    <s v="Night"/>
    <x v="0"/>
    <n v="2000722204"/>
    <n v="2800"/>
    <n v="300"/>
    <n v="0"/>
    <s v="U09854"/>
    <s v="L1144/47"/>
    <x v="97"/>
    <m/>
    <m/>
    <m/>
    <n v="0"/>
    <m/>
    <m/>
  </r>
  <r>
    <n v="4822"/>
    <x v="59"/>
    <s v="Night"/>
    <x v="0"/>
    <n v="2000722806"/>
    <n v="1044"/>
    <n v="990"/>
    <n v="0"/>
    <s v="U09854"/>
    <s v="L1151/52"/>
    <x v="167"/>
    <m/>
    <m/>
    <m/>
    <n v="0"/>
    <m/>
    <m/>
  </r>
  <r>
    <n v="4823"/>
    <x v="59"/>
    <s v="Night"/>
    <x v="0"/>
    <n v="2000722262"/>
    <n v="4200"/>
    <n v="240"/>
    <n v="0"/>
    <s v="U09854"/>
    <s v="T515"/>
    <x v="15"/>
    <m/>
    <m/>
    <m/>
    <n v="0"/>
    <m/>
    <m/>
  </r>
  <r>
    <n v="4824"/>
    <x v="59"/>
    <s v="Night"/>
    <x v="0"/>
    <n v="2000722082"/>
    <n v="2000"/>
    <n v="150"/>
    <n v="0"/>
    <s v="U09854"/>
    <s v="L1077"/>
    <x v="10"/>
    <m/>
    <m/>
    <m/>
    <n v="0"/>
    <m/>
    <m/>
  </r>
  <r>
    <n v="4825"/>
    <x v="59"/>
    <s v="Night"/>
    <x v="0"/>
    <n v="2000722083"/>
    <n v="2000"/>
    <n v="150"/>
    <n v="0"/>
    <s v="U09854"/>
    <s v="L1077"/>
    <x v="33"/>
    <m/>
    <m/>
    <m/>
    <n v="0"/>
    <m/>
    <m/>
  </r>
  <r>
    <n v="4826"/>
    <x v="59"/>
    <s v="Night"/>
    <x v="0"/>
    <n v="2000722256"/>
    <n v="1092"/>
    <n v="665"/>
    <n v="1"/>
    <s v="U26613"/>
    <s v="L1151/52"/>
    <x v="173"/>
    <s v="NG linh kiện "/>
    <s v="biến dạng chân pin"/>
    <s v="J872"/>
    <n v="1"/>
    <s v="\\vn-file\QC Department\4.OQC\00. OQC Performance\03. Images\01. NG\20210403-NG-0210722256.jpg"/>
    <s v="\\vn-file\QC Department\4.OQC\00. OQC Performance\03. Images\02. OK\20210403-OK-0210722256.jpg"/>
  </r>
  <r>
    <n v="4827"/>
    <x v="59"/>
    <s v="Night"/>
    <x v="0"/>
    <n v="2000722261"/>
    <n v="1620"/>
    <n v="240"/>
    <n v="0"/>
    <s v="U26613"/>
    <s v="L1193/94"/>
    <x v="30"/>
    <m/>
    <m/>
    <m/>
    <n v="0"/>
    <m/>
    <m/>
  </r>
  <r>
    <n v="4828"/>
    <x v="59"/>
    <s v="Night"/>
    <x v="0"/>
    <n v="2000720034"/>
    <n v="2808"/>
    <n v="400"/>
    <n v="0"/>
    <s v="U26613"/>
    <s v="L1151/52"/>
    <x v="256"/>
    <m/>
    <m/>
    <m/>
    <n v="0"/>
    <m/>
    <m/>
  </r>
  <r>
    <n v="4829"/>
    <x v="59"/>
    <s v="Night"/>
    <x v="0"/>
    <n v="2000723239"/>
    <n v="600"/>
    <n v="120"/>
    <n v="0"/>
    <s v="U23987"/>
    <s v="L1188/89"/>
    <x v="16"/>
    <m/>
    <m/>
    <m/>
    <n v="0"/>
    <m/>
    <m/>
  </r>
  <r>
    <n v="4830"/>
    <x v="59"/>
    <s v="Night"/>
    <x v="0"/>
    <n v="2000723235"/>
    <n v="160"/>
    <n v="3"/>
    <n v="0"/>
    <s v="U23987"/>
    <s v="L1188/89"/>
    <x v="212"/>
    <m/>
    <m/>
    <m/>
    <n v="0"/>
    <m/>
    <m/>
  </r>
  <r>
    <n v="4831"/>
    <x v="59"/>
    <s v="Night"/>
    <x v="1"/>
    <n v="2000722794"/>
    <n v="346"/>
    <n v="242"/>
    <n v="0"/>
    <s v="U23987"/>
    <s v="PDHV"/>
    <x v="50"/>
    <m/>
    <m/>
    <m/>
    <n v="0"/>
    <m/>
    <m/>
  </r>
  <r>
    <n v="4832"/>
    <x v="59"/>
    <s v="Night"/>
    <x v="1"/>
    <n v="2000722797"/>
    <n v="690"/>
    <n v="120"/>
    <n v="0"/>
    <s v="U23987"/>
    <s v="PSLV"/>
    <x v="49"/>
    <m/>
    <m/>
    <m/>
    <n v="0"/>
    <m/>
    <m/>
  </r>
  <r>
    <n v="4833"/>
    <x v="59"/>
    <s v="Night"/>
    <x v="1"/>
    <n v="2000721877"/>
    <n v="600"/>
    <n v="10"/>
    <n v="0"/>
    <s v="U23987"/>
    <s v="PSLV"/>
    <x v="49"/>
    <m/>
    <m/>
    <m/>
    <n v="0"/>
    <m/>
    <m/>
  </r>
  <r>
    <n v="4834"/>
    <x v="59"/>
    <s v="Night"/>
    <x v="1"/>
    <n v="2000722792"/>
    <n v="550"/>
    <n v="105"/>
    <n v="0"/>
    <s v="U23987"/>
    <s v="SHANKS"/>
    <x v="24"/>
    <m/>
    <m/>
    <m/>
    <n v="0"/>
    <m/>
    <m/>
  </r>
  <r>
    <n v="4835"/>
    <x v="60"/>
    <s v="Night"/>
    <x v="1"/>
    <n v="2000722797"/>
    <n v="690"/>
    <n v="100"/>
    <n v="0"/>
    <s v="U24575"/>
    <s v="PSLV"/>
    <x v="49"/>
    <m/>
    <m/>
    <m/>
    <n v="0"/>
    <m/>
    <m/>
  </r>
  <r>
    <n v="4836"/>
    <x v="60"/>
    <s v="Night"/>
    <x v="1"/>
    <n v="2000722797"/>
    <n v="690"/>
    <n v="160"/>
    <n v="0"/>
    <s v="U23987"/>
    <s v="PSLV"/>
    <x v="49"/>
    <m/>
    <m/>
    <m/>
    <n v="0"/>
    <m/>
    <m/>
  </r>
  <r>
    <n v="4837"/>
    <x v="60"/>
    <s v="Night"/>
    <x v="1"/>
    <n v="2000722318"/>
    <n v="1000"/>
    <n v="80"/>
    <n v="0"/>
    <s v="U23987"/>
    <s v="PSHV"/>
    <x v="25"/>
    <m/>
    <m/>
    <m/>
    <n v="0"/>
    <m/>
    <m/>
  </r>
  <r>
    <n v="4838"/>
    <x v="60"/>
    <s v="Night"/>
    <x v="1"/>
    <n v="2000722791"/>
    <n v="550"/>
    <n v="105"/>
    <n v="0"/>
    <s v="U23987"/>
    <s v="SHANKS"/>
    <x v="24"/>
    <m/>
    <m/>
    <m/>
    <n v="0"/>
    <m/>
    <m/>
  </r>
  <r>
    <n v="4839"/>
    <x v="60"/>
    <s v="Night"/>
    <x v="1"/>
    <n v="2000722788"/>
    <n v="470"/>
    <n v="100"/>
    <n v="0"/>
    <s v="U23987"/>
    <s v="HVPS"/>
    <x v="223"/>
    <m/>
    <m/>
    <m/>
    <n v="0"/>
    <m/>
    <m/>
  </r>
  <r>
    <n v="4840"/>
    <x v="60"/>
    <s v="Night"/>
    <x v="1"/>
    <n v="2000722291"/>
    <n v="1080"/>
    <n v="180"/>
    <n v="0"/>
    <s v="U23987"/>
    <s v="SHANKS"/>
    <x v="67"/>
    <m/>
    <m/>
    <m/>
    <n v="0"/>
    <m/>
    <m/>
  </r>
  <r>
    <n v="4841"/>
    <x v="61"/>
    <s v="Day"/>
    <x v="0"/>
    <n v="2000722657"/>
    <n v="800"/>
    <n v="160"/>
    <n v="0"/>
    <s v="U36206"/>
    <s v="L1174/75"/>
    <x v="3"/>
    <m/>
    <m/>
    <m/>
    <n v="0"/>
    <m/>
    <m/>
  </r>
  <r>
    <n v="4842"/>
    <x v="61"/>
    <s v="Day"/>
    <x v="0"/>
    <n v="2000723238"/>
    <n v="2000"/>
    <n v="130"/>
    <n v="0"/>
    <s v="U36206"/>
    <s v="L1174/75"/>
    <x v="40"/>
    <m/>
    <m/>
    <m/>
    <n v="0"/>
    <m/>
    <m/>
  </r>
  <r>
    <n v="4843"/>
    <x v="61"/>
    <s v="Day"/>
    <x v="0"/>
    <n v="2000722647"/>
    <n v="1800"/>
    <n v="100"/>
    <n v="0"/>
    <s v="U36206"/>
    <s v="L1077"/>
    <x v="2"/>
    <m/>
    <m/>
    <m/>
    <n v="0"/>
    <m/>
    <m/>
  </r>
  <r>
    <n v="4844"/>
    <x v="61"/>
    <s v="Day"/>
    <x v="0"/>
    <n v="2000723239"/>
    <n v="600"/>
    <n v="110"/>
    <n v="0"/>
    <s v="U30500"/>
    <s v="L1188/89"/>
    <x v="16"/>
    <m/>
    <m/>
    <m/>
    <n v="0"/>
    <m/>
    <m/>
  </r>
  <r>
    <n v="4845"/>
    <x v="61"/>
    <s v="Day"/>
    <x v="0"/>
    <n v="2000723232"/>
    <n v="720"/>
    <n v="160"/>
    <n v="0"/>
    <s v="U30500"/>
    <s v="L1188/89"/>
    <x v="16"/>
    <m/>
    <m/>
    <m/>
    <n v="0"/>
    <m/>
    <m/>
  </r>
  <r>
    <n v="4846"/>
    <x v="61"/>
    <s v="Day"/>
    <x v="1"/>
    <n v="2000722803"/>
    <n v="300"/>
    <n v="120"/>
    <n v="0"/>
    <s v="U32991"/>
    <s v="SHANKS"/>
    <x v="22"/>
    <m/>
    <m/>
    <m/>
    <n v="0"/>
    <m/>
    <m/>
  </r>
  <r>
    <n v="4847"/>
    <x v="61"/>
    <s v="Day"/>
    <x v="1"/>
    <n v="2000722318"/>
    <n v="1000"/>
    <n v="120"/>
    <n v="0"/>
    <s v="U32991"/>
    <s v="PSHV"/>
    <x v="25"/>
    <m/>
    <m/>
    <m/>
    <n v="0"/>
    <m/>
    <m/>
  </r>
  <r>
    <n v="4848"/>
    <x v="61"/>
    <s v="Day"/>
    <x v="1"/>
    <n v="2000722797"/>
    <n v="690"/>
    <n v="290"/>
    <n v="0"/>
    <s v="U32991"/>
    <s v="PSLV"/>
    <x v="49"/>
    <m/>
    <m/>
    <m/>
    <n v="0"/>
    <m/>
    <m/>
  </r>
  <r>
    <n v="4849"/>
    <x v="61"/>
    <s v="Day"/>
    <x v="1"/>
    <n v="2000722817"/>
    <n v="1440"/>
    <n v="150"/>
    <n v="0"/>
    <s v="U32991"/>
    <s v="SHANKS"/>
    <x v="67"/>
    <m/>
    <m/>
    <m/>
    <n v="0"/>
    <m/>
    <m/>
  </r>
  <r>
    <n v="4850"/>
    <x v="61"/>
    <s v="Day"/>
    <x v="1"/>
    <n v="2000722813"/>
    <n v="550"/>
    <n v="70"/>
    <n v="0"/>
    <s v="U32991"/>
    <s v="SHANKS"/>
    <x v="24"/>
    <m/>
    <m/>
    <m/>
    <n v="0"/>
    <m/>
    <m/>
  </r>
  <r>
    <n v="4851"/>
    <x v="61"/>
    <s v="Day"/>
    <x v="0"/>
    <n v="2000723239"/>
    <n v="600"/>
    <n v="80"/>
    <n v="0"/>
    <s v="U18660"/>
    <s v="L1188/89"/>
    <x v="16"/>
    <m/>
    <m/>
    <m/>
    <n v="0"/>
    <m/>
    <m/>
  </r>
  <r>
    <n v="4852"/>
    <x v="61"/>
    <s v="Day"/>
    <x v="0"/>
    <n v="2000721982"/>
    <n v="1270"/>
    <n v="321"/>
    <n v="0"/>
    <s v="U18660"/>
    <s v="L1188/89"/>
    <x v="17"/>
    <m/>
    <m/>
    <m/>
    <n v="0"/>
    <m/>
    <m/>
  </r>
  <r>
    <n v="4853"/>
    <x v="61"/>
    <s v="Day"/>
    <x v="0"/>
    <n v="2000723471"/>
    <n v="1304"/>
    <n v="400"/>
    <n v="0"/>
    <s v="U18660"/>
    <s v="L1188/89"/>
    <x v="98"/>
    <m/>
    <m/>
    <m/>
    <n v="0"/>
    <m/>
    <m/>
  </r>
  <r>
    <n v="4854"/>
    <x v="61"/>
    <s v="Day"/>
    <x v="0"/>
    <n v="2000722686"/>
    <n v="600"/>
    <n v="60"/>
    <n v="0"/>
    <s v="U18660"/>
    <s v="L1172/73"/>
    <x v="18"/>
    <m/>
    <m/>
    <m/>
    <n v="0"/>
    <m/>
    <m/>
  </r>
  <r>
    <n v="4855"/>
    <x v="61"/>
    <s v="Day"/>
    <x v="0"/>
    <n v="2000721982"/>
    <n v="1270"/>
    <n v="40"/>
    <n v="0"/>
    <s v="U32991"/>
    <s v="L1188/89"/>
    <x v="17"/>
    <m/>
    <m/>
    <m/>
    <n v="0"/>
    <m/>
    <m/>
  </r>
  <r>
    <n v="4856"/>
    <x v="61"/>
    <s v="Day"/>
    <x v="0"/>
    <n v="2000723289"/>
    <n v="7860"/>
    <n v="300"/>
    <n v="0"/>
    <s v="U03968"/>
    <s v="L1112/13"/>
    <x v="75"/>
    <m/>
    <m/>
    <m/>
    <n v="0"/>
    <m/>
    <m/>
  </r>
  <r>
    <n v="4857"/>
    <x v="61"/>
    <s v="Day"/>
    <x v="0"/>
    <n v="2000723709"/>
    <n v="400"/>
    <n v="150"/>
    <n v="0"/>
    <s v="U03968"/>
    <s v="L1182"/>
    <x v="143"/>
    <m/>
    <m/>
    <m/>
    <n v="0"/>
    <m/>
    <m/>
  </r>
  <r>
    <n v="4858"/>
    <x v="61"/>
    <s v="Day"/>
    <x v="0"/>
    <n v="2000723707"/>
    <n v="400"/>
    <n v="100"/>
    <n v="0"/>
    <s v="U03968"/>
    <s v="L1182"/>
    <x v="144"/>
    <m/>
    <m/>
    <m/>
    <n v="0"/>
    <m/>
    <m/>
  </r>
  <r>
    <n v="4859"/>
    <x v="61"/>
    <s v="Day"/>
    <x v="0"/>
    <n v="2000723708"/>
    <n v="400"/>
    <n v="150"/>
    <n v="0"/>
    <s v="U03968"/>
    <s v="L1182"/>
    <x v="142"/>
    <m/>
    <m/>
    <m/>
    <n v="0"/>
    <m/>
    <m/>
  </r>
  <r>
    <n v="4860"/>
    <x v="61"/>
    <s v="Day"/>
    <x v="0"/>
    <n v="2000723296"/>
    <n v="1200"/>
    <n v="150"/>
    <n v="0"/>
    <s v="U03968"/>
    <s v="L1144/47"/>
    <x v="77"/>
    <m/>
    <m/>
    <m/>
    <n v="0"/>
    <m/>
    <m/>
  </r>
  <r>
    <n v="4861"/>
    <x v="61"/>
    <s v="Day"/>
    <x v="0"/>
    <n v="2000723475"/>
    <n v="1050"/>
    <n v="150"/>
    <n v="0"/>
    <s v="U03968"/>
    <s v="L1172/73"/>
    <x v="165"/>
    <m/>
    <m/>
    <m/>
    <n v="0"/>
    <m/>
    <m/>
  </r>
  <r>
    <n v="4862"/>
    <x v="61"/>
    <s v="Day"/>
    <x v="0"/>
    <n v="2000722202"/>
    <n v="2800"/>
    <n v="200"/>
    <n v="0"/>
    <s v="U03968"/>
    <s v="L1144/47"/>
    <x v="92"/>
    <m/>
    <m/>
    <m/>
    <n v="0"/>
    <m/>
    <m/>
  </r>
  <r>
    <n v="4863"/>
    <x v="61"/>
    <s v="Day"/>
    <x v="0"/>
    <n v="2000722656"/>
    <n v="1800"/>
    <n v="300"/>
    <n v="0"/>
    <s v="U03968"/>
    <s v="L1174/75"/>
    <x v="62"/>
    <m/>
    <m/>
    <m/>
    <n v="0"/>
    <m/>
    <m/>
  </r>
  <r>
    <n v="4864"/>
    <x v="61"/>
    <s v="Day"/>
    <x v="0"/>
    <n v="2000722083"/>
    <n v="2000"/>
    <n v="150"/>
    <n v="0"/>
    <s v="U03968"/>
    <s v="L1077"/>
    <x v="33"/>
    <m/>
    <m/>
    <m/>
    <n v="0"/>
    <m/>
    <m/>
  </r>
  <r>
    <n v="4865"/>
    <x v="61"/>
    <s v="Day"/>
    <x v="0"/>
    <n v="2000722262"/>
    <n v="4200"/>
    <n v="240"/>
    <n v="0"/>
    <s v="U03968"/>
    <s v="T515"/>
    <x v="15"/>
    <m/>
    <m/>
    <m/>
    <n v="0"/>
    <m/>
    <m/>
  </r>
  <r>
    <n v="4866"/>
    <x v="61"/>
    <s v="Day"/>
    <x v="0"/>
    <n v="2000722204"/>
    <n v="2800"/>
    <n v="150"/>
    <n v="0"/>
    <s v="U03968"/>
    <s v="L1144/47"/>
    <x v="13"/>
    <m/>
    <m/>
    <m/>
    <n v="0"/>
    <m/>
    <m/>
  </r>
  <r>
    <n v="4867"/>
    <x v="61"/>
    <s v="Day"/>
    <x v="0"/>
    <n v="2000722645"/>
    <n v="1800"/>
    <n v="160"/>
    <n v="0"/>
    <s v="U03968"/>
    <s v="L1077"/>
    <x v="6"/>
    <m/>
    <m/>
    <m/>
    <n v="0"/>
    <m/>
    <m/>
  </r>
  <r>
    <n v="4868"/>
    <x v="61"/>
    <s v="Day"/>
    <x v="0"/>
    <n v="2000722522"/>
    <n v="150"/>
    <n v="120"/>
    <n v="0"/>
    <s v="U29686"/>
    <s v="L1172/73"/>
    <x v="264"/>
    <m/>
    <m/>
    <m/>
    <n v="0"/>
    <m/>
    <m/>
  </r>
  <r>
    <n v="4869"/>
    <x v="61"/>
    <s v="Day"/>
    <x v="0"/>
    <n v="2000723290"/>
    <n v="1800"/>
    <n v="140"/>
    <n v="0"/>
    <s v="U29686"/>
    <s v="L1172/73"/>
    <x v="83"/>
    <m/>
    <m/>
    <m/>
    <n v="0"/>
    <m/>
    <m/>
  </r>
  <r>
    <n v="4870"/>
    <x v="61"/>
    <s v="Day"/>
    <x v="0"/>
    <n v="2000722523"/>
    <n v="460"/>
    <n v="100"/>
    <n v="0"/>
    <s v="U29686"/>
    <s v="L1172/73"/>
    <x v="193"/>
    <m/>
    <m/>
    <m/>
    <n v="0"/>
    <m/>
    <m/>
  </r>
  <r>
    <n v="4871"/>
    <x v="61"/>
    <s v="Day"/>
    <x v="0"/>
    <n v="2000723232"/>
    <n v="720"/>
    <n v="320"/>
    <n v="1"/>
    <s v="U15759"/>
    <s v="L1188/89"/>
    <x v="16"/>
    <s v="NG barcode,label"/>
    <s v="DÍNH MỰC"/>
    <s v="BACRCODE"/>
    <n v="1"/>
    <s v="\\vn-file\QC Department\4.OQC\00. OQC Performance\03. Images\01. NG\20210405-NG-1600723232.jpg"/>
    <s v="\\vn-file\QC Department\4.OQC\00. OQC Performance\03. Images\02. OK\20210405-OK-1600723232.jpg"/>
  </r>
  <r>
    <n v="4872"/>
    <x v="61"/>
    <s v="Day"/>
    <x v="0"/>
    <n v="2000723239"/>
    <n v="600"/>
    <n v="160"/>
    <n v="0"/>
    <s v="U15759"/>
    <s v="L1188/89"/>
    <x v="16"/>
    <m/>
    <m/>
    <m/>
    <n v="0"/>
    <m/>
    <m/>
  </r>
  <r>
    <n v="4873"/>
    <x v="61"/>
    <s v="Day"/>
    <x v="0"/>
    <n v="2000721982"/>
    <n v="1270"/>
    <n v="440"/>
    <n v="0"/>
    <s v="U15759"/>
    <s v="L1188/89"/>
    <x v="17"/>
    <m/>
    <m/>
    <m/>
    <n v="0"/>
    <m/>
    <m/>
  </r>
  <r>
    <n v="4874"/>
    <x v="61"/>
    <s v="Day"/>
    <x v="0"/>
    <n v="2000722439"/>
    <n v="3200"/>
    <n v="160"/>
    <n v="0"/>
    <s v="U27723"/>
    <s v="L1112/13"/>
    <x v="8"/>
    <m/>
    <m/>
    <m/>
    <n v="0"/>
    <m/>
    <m/>
  </r>
  <r>
    <n v="4875"/>
    <x v="61"/>
    <s v="Day"/>
    <x v="0"/>
    <n v="2000723294"/>
    <n v="800"/>
    <n v="80"/>
    <n v="0"/>
    <s v="U27723"/>
    <s v="L1144/47"/>
    <x v="120"/>
    <m/>
    <m/>
    <m/>
    <n v="0"/>
    <m/>
    <m/>
  </r>
  <r>
    <n v="4876"/>
    <x v="61"/>
    <s v="Day"/>
    <x v="0"/>
    <n v="2000723300"/>
    <n v="1200"/>
    <n v="80"/>
    <n v="0"/>
    <s v="U27723"/>
    <s v="L1144/47"/>
    <x v="59"/>
    <m/>
    <m/>
    <m/>
    <n v="0"/>
    <m/>
    <m/>
  </r>
  <r>
    <n v="4877"/>
    <x v="61"/>
    <s v="Day"/>
    <x v="0"/>
    <n v="2000723281"/>
    <n v="1200"/>
    <n v="80"/>
    <n v="0"/>
    <s v="U27723"/>
    <s v="L1168/69"/>
    <x v="93"/>
    <m/>
    <m/>
    <m/>
    <n v="0"/>
    <m/>
    <m/>
  </r>
  <r>
    <n v="4878"/>
    <x v="61"/>
    <s v="Day"/>
    <x v="0"/>
    <n v="2000723314"/>
    <n v="2688"/>
    <n v="120"/>
    <n v="0"/>
    <s v="U27723"/>
    <s v="L1128/29"/>
    <x v="11"/>
    <m/>
    <m/>
    <m/>
    <n v="0"/>
    <m/>
    <m/>
  </r>
  <r>
    <n v="4879"/>
    <x v="61"/>
    <s v="Day"/>
    <x v="0"/>
    <n v="2000721968"/>
    <n v="3999"/>
    <n v="120"/>
    <n v="0"/>
    <s v="U27723"/>
    <s v="L1168/69"/>
    <x v="37"/>
    <m/>
    <m/>
    <m/>
    <n v="0"/>
    <m/>
    <m/>
  </r>
  <r>
    <n v="4880"/>
    <x v="61"/>
    <s v="Day"/>
    <x v="0"/>
    <n v="2000723293"/>
    <n v="400"/>
    <n v="80"/>
    <n v="0"/>
    <s v="U27723"/>
    <s v="L1144/47"/>
    <x v="5"/>
    <m/>
    <m/>
    <m/>
    <n v="0"/>
    <m/>
    <m/>
  </r>
  <r>
    <n v="4881"/>
    <x v="61"/>
    <s v="Day"/>
    <x v="0"/>
    <n v="2000723306"/>
    <n v="2800"/>
    <n v="60"/>
    <n v="0"/>
    <s v="U27723"/>
    <s v="L1144/47"/>
    <x v="59"/>
    <m/>
    <m/>
    <m/>
    <n v="0"/>
    <m/>
    <m/>
  </r>
  <r>
    <n v="4882"/>
    <x v="61"/>
    <s v="Night"/>
    <x v="1"/>
    <n v="2000722814"/>
    <n v="550"/>
    <n v="105"/>
    <n v="0"/>
    <s v="U23987"/>
    <s v="SHANKS"/>
    <x v="24"/>
    <m/>
    <m/>
    <m/>
    <n v="0"/>
    <m/>
    <m/>
  </r>
  <r>
    <n v="4883"/>
    <x v="61"/>
    <s v="Night"/>
    <x v="1"/>
    <n v="2000722813"/>
    <n v="550"/>
    <n v="70"/>
    <n v="0"/>
    <s v="U23987"/>
    <s v="SHANKS"/>
    <x v="24"/>
    <m/>
    <m/>
    <m/>
    <n v="0"/>
    <m/>
    <m/>
  </r>
  <r>
    <n v="4884"/>
    <x v="61"/>
    <s v="Night"/>
    <x v="1"/>
    <n v="2000722829"/>
    <n v="600"/>
    <n v="100"/>
    <n v="0"/>
    <s v="U23987"/>
    <s v="PSLV"/>
    <x v="53"/>
    <m/>
    <m/>
    <m/>
    <n v="0"/>
    <m/>
    <m/>
  </r>
  <r>
    <n v="4885"/>
    <x v="61"/>
    <s v="Night"/>
    <x v="1"/>
    <n v="2000722826"/>
    <n v="440"/>
    <n v="100"/>
    <n v="0"/>
    <s v="U23987"/>
    <s v="PSHV"/>
    <x v="80"/>
    <m/>
    <m/>
    <m/>
    <n v="0"/>
    <m/>
    <m/>
  </r>
  <r>
    <n v="4886"/>
    <x v="61"/>
    <s v="Night"/>
    <x v="1"/>
    <n v="2000722866"/>
    <n v="240"/>
    <n v="75"/>
    <n v="0"/>
    <s v="U23987"/>
    <s v="SHIBUKI"/>
    <x v="113"/>
    <m/>
    <m/>
    <m/>
    <n v="0"/>
    <m/>
    <m/>
  </r>
  <r>
    <n v="4887"/>
    <x v="61"/>
    <s v="Night"/>
    <x v="1"/>
    <n v="2000722863"/>
    <n v="400"/>
    <n v="80"/>
    <n v="0"/>
    <s v="U23987"/>
    <s v="HVPS"/>
    <x v="223"/>
    <m/>
    <m/>
    <m/>
    <n v="0"/>
    <m/>
    <m/>
  </r>
  <r>
    <n v="4888"/>
    <x v="61"/>
    <s v="Night"/>
    <x v="1"/>
    <n v="2000722866"/>
    <n v="240"/>
    <n v="120"/>
    <n v="0"/>
    <s v="U31065"/>
    <s v="SHIBUKI"/>
    <x v="113"/>
    <m/>
    <m/>
    <m/>
    <n v="0"/>
    <m/>
    <m/>
  </r>
  <r>
    <n v="4889"/>
    <x v="61"/>
    <s v="Night"/>
    <x v="0"/>
    <n v="2000723306"/>
    <n v="2800"/>
    <n v="120"/>
    <n v="0"/>
    <s v="U26613"/>
    <s v="L1144/47"/>
    <x v="59"/>
    <m/>
    <m/>
    <m/>
    <n v="0"/>
    <m/>
    <m/>
  </r>
  <r>
    <n v="4890"/>
    <x v="61"/>
    <s v="Night"/>
    <x v="0"/>
    <n v="2000723311"/>
    <n v="1110"/>
    <n v="80"/>
    <n v="0"/>
    <s v="U26613"/>
    <s v="L1144/47"/>
    <x v="101"/>
    <m/>
    <m/>
    <m/>
    <n v="0"/>
    <m/>
    <m/>
  </r>
  <r>
    <n v="4891"/>
    <x v="61"/>
    <s v="Night"/>
    <x v="0"/>
    <n v="2000723312"/>
    <n v="500"/>
    <n v="80"/>
    <n v="0"/>
    <s v="U26613"/>
    <s v="L1144/47"/>
    <x v="89"/>
    <m/>
    <m/>
    <m/>
    <n v="0"/>
    <m/>
    <m/>
  </r>
  <r>
    <n v="4892"/>
    <x v="61"/>
    <s v="Night"/>
    <x v="0"/>
    <n v="2000723315"/>
    <n v="6000"/>
    <n v="200"/>
    <n v="0"/>
    <s v="U26613"/>
    <s v="L1112/13"/>
    <x v="8"/>
    <m/>
    <m/>
    <m/>
    <n v="0"/>
    <m/>
    <m/>
  </r>
  <r>
    <n v="4893"/>
    <x v="61"/>
    <s v="Night"/>
    <x v="0"/>
    <n v="2000722647"/>
    <n v="1800"/>
    <n v="20"/>
    <n v="0"/>
    <s v="U26613"/>
    <s v="L1077"/>
    <x v="2"/>
    <m/>
    <m/>
    <m/>
    <n v="0"/>
    <m/>
    <m/>
  </r>
  <r>
    <n v="4894"/>
    <x v="61"/>
    <s v="Night"/>
    <x v="0"/>
    <n v="2000723261"/>
    <n v="410"/>
    <n v="80"/>
    <n v="0"/>
    <s v="U26613"/>
    <s v="L1174/75"/>
    <x v="171"/>
    <m/>
    <m/>
    <m/>
    <n v="0"/>
    <m/>
    <m/>
  </r>
  <r>
    <n v="4895"/>
    <x v="61"/>
    <s v="Night"/>
    <x v="0"/>
    <n v="2000721982"/>
    <n v="1270"/>
    <n v="23"/>
    <n v="0"/>
    <s v="U27724"/>
    <s v="L1188/89"/>
    <x v="17"/>
    <m/>
    <m/>
    <m/>
    <n v="0"/>
    <m/>
    <m/>
  </r>
  <r>
    <n v="4896"/>
    <x v="61"/>
    <s v="Night"/>
    <x v="0"/>
    <n v="2000723271"/>
    <n v="320"/>
    <n v="68"/>
    <n v="0"/>
    <s v="U27724"/>
    <s v="L1188/89"/>
    <x v="17"/>
    <m/>
    <m/>
    <m/>
    <n v="0"/>
    <m/>
    <m/>
  </r>
  <r>
    <n v="4897"/>
    <x v="61"/>
    <s v="Night"/>
    <x v="0"/>
    <n v="2000721991"/>
    <n v="120"/>
    <n v="3"/>
    <n v="0"/>
    <s v="U27724"/>
    <s v="L1188/89"/>
    <x v="73"/>
    <m/>
    <m/>
    <m/>
    <n v="0"/>
    <m/>
    <m/>
  </r>
  <r>
    <n v="4898"/>
    <x v="61"/>
    <s v="Night"/>
    <x v="0"/>
    <n v="2000723472"/>
    <n v="680"/>
    <n v="640"/>
    <n v="0"/>
    <s v="U27724"/>
    <s v="L1188/89"/>
    <x v="54"/>
    <m/>
    <m/>
    <m/>
    <n v="0"/>
    <m/>
    <m/>
  </r>
  <r>
    <n v="4899"/>
    <x v="61"/>
    <s v="Night"/>
    <x v="0"/>
    <n v="2000724122"/>
    <n v="800"/>
    <n v="40"/>
    <n v="0"/>
    <s v="U27724"/>
    <s v="L1188/89"/>
    <x v="54"/>
    <m/>
    <m/>
    <m/>
    <n v="0"/>
    <m/>
    <m/>
  </r>
  <r>
    <n v="4900"/>
    <x v="61"/>
    <s v="Night"/>
    <x v="0"/>
    <n v="2000723471"/>
    <n v="1304"/>
    <n v="120"/>
    <n v="0"/>
    <s v="U30425"/>
    <s v="L1188/89"/>
    <x v="98"/>
    <m/>
    <m/>
    <m/>
    <n v="0"/>
    <m/>
    <m/>
  </r>
  <r>
    <n v="4901"/>
    <x v="61"/>
    <s v="Night"/>
    <x v="0"/>
    <n v="2000722685"/>
    <n v="660"/>
    <n v="90"/>
    <n v="0"/>
    <s v="U30425"/>
    <s v="L1188/89"/>
    <x v="110"/>
    <m/>
    <m/>
    <m/>
    <n v="0"/>
    <m/>
    <m/>
  </r>
  <r>
    <n v="4902"/>
    <x v="61"/>
    <s v="Night"/>
    <x v="0"/>
    <n v="2000723270"/>
    <n v="600"/>
    <n v="160"/>
    <n v="0"/>
    <s v="U30425"/>
    <s v="L1188/89"/>
    <x v="98"/>
    <m/>
    <m/>
    <m/>
    <n v="0"/>
    <m/>
    <m/>
  </r>
  <r>
    <n v="4903"/>
    <x v="61"/>
    <s v="Night"/>
    <x v="0"/>
    <n v="2000721962"/>
    <n v="1000"/>
    <n v="720"/>
    <n v="0"/>
    <s v="U30119"/>
    <s v="L1209/10"/>
    <x v="44"/>
    <m/>
    <m/>
    <m/>
    <n v="0"/>
    <m/>
    <m/>
  </r>
  <r>
    <n v="4904"/>
    <x v="61"/>
    <s v="Night"/>
    <x v="0"/>
    <n v="2000723471"/>
    <n v="1304"/>
    <n v="40"/>
    <n v="0"/>
    <s v="U30119"/>
    <s v="L1188/89"/>
    <x v="98"/>
    <m/>
    <m/>
    <m/>
    <n v="0"/>
    <m/>
    <m/>
  </r>
  <r>
    <n v="4905"/>
    <x v="61"/>
    <s v="Night"/>
    <x v="0"/>
    <n v="2000723270"/>
    <n v="600"/>
    <n v="80"/>
    <n v="0"/>
    <s v="U30119"/>
    <s v="L1188/89"/>
    <x v="98"/>
    <m/>
    <m/>
    <m/>
    <n v="0"/>
    <m/>
    <m/>
  </r>
  <r>
    <n v="4906"/>
    <x v="61"/>
    <s v="Night"/>
    <x v="0"/>
    <n v="2000721982"/>
    <n v="1270"/>
    <n v="80"/>
    <n v="0"/>
    <s v="U31065"/>
    <s v="L1188/89"/>
    <x v="17"/>
    <m/>
    <m/>
    <m/>
    <n v="0"/>
    <m/>
    <m/>
  </r>
  <r>
    <n v="4907"/>
    <x v="61"/>
    <s v="Night"/>
    <x v="0"/>
    <n v="2000723271"/>
    <n v="320"/>
    <n v="251"/>
    <n v="0"/>
    <s v="U31065"/>
    <s v="L1188/89"/>
    <x v="17"/>
    <m/>
    <m/>
    <m/>
    <n v="0"/>
    <m/>
    <m/>
  </r>
  <r>
    <n v="4908"/>
    <x v="61"/>
    <s v="Night"/>
    <x v="0"/>
    <n v="2000723471"/>
    <n v="1304"/>
    <n v="137"/>
    <n v="0"/>
    <s v="U31065"/>
    <s v="L1188/89"/>
    <x v="98"/>
    <m/>
    <m/>
    <m/>
    <n v="0"/>
    <m/>
    <m/>
  </r>
  <r>
    <n v="4909"/>
    <x v="61"/>
    <s v="Night"/>
    <x v="0"/>
    <n v="2000723270"/>
    <n v="600"/>
    <n v="20"/>
    <n v="0"/>
    <s v="U31065"/>
    <s v="L1188/89"/>
    <x v="98"/>
    <m/>
    <m/>
    <m/>
    <n v="0"/>
    <m/>
    <m/>
  </r>
  <r>
    <n v="4910"/>
    <x v="61"/>
    <s v="Night"/>
    <x v="0"/>
    <n v="2000722082"/>
    <n v="2000"/>
    <n v="200"/>
    <n v="0"/>
    <s v="U09854"/>
    <s v="L1077"/>
    <x v="10"/>
    <m/>
    <m/>
    <m/>
    <n v="0"/>
    <m/>
    <m/>
  </r>
  <r>
    <n v="4911"/>
    <x v="61"/>
    <s v="Night"/>
    <x v="0"/>
    <n v="2000722646"/>
    <n v="1800"/>
    <n v="200"/>
    <n v="0"/>
    <s v="U09854"/>
    <s v="L1077"/>
    <x v="36"/>
    <m/>
    <m/>
    <m/>
    <n v="0"/>
    <m/>
    <m/>
  </r>
  <r>
    <n v="4912"/>
    <x v="61"/>
    <s v="Night"/>
    <x v="0"/>
    <n v="2000722267"/>
    <n v="3609"/>
    <n v="300"/>
    <n v="0"/>
    <s v="U09854"/>
    <s v="L1172/73"/>
    <x v="7"/>
    <m/>
    <m/>
    <m/>
    <n v="0"/>
    <m/>
    <m/>
  </r>
  <r>
    <n v="4913"/>
    <x v="61"/>
    <s v="Night"/>
    <x v="0"/>
    <n v="2000723246"/>
    <n v="4210"/>
    <n v="240"/>
    <n v="0"/>
    <s v="U09854"/>
    <s v="T515"/>
    <x v="15"/>
    <m/>
    <m/>
    <m/>
    <n v="0"/>
    <m/>
    <m/>
  </r>
  <r>
    <n v="4914"/>
    <x v="61"/>
    <s v="Night"/>
    <x v="0"/>
    <n v="2000722202"/>
    <n v="2800"/>
    <n v="300"/>
    <n v="0"/>
    <s v="U09854"/>
    <s v="L1144/47"/>
    <x v="92"/>
    <m/>
    <m/>
    <m/>
    <n v="0"/>
    <m/>
    <m/>
  </r>
  <r>
    <n v="4915"/>
    <x v="61"/>
    <s v="Night"/>
    <x v="0"/>
    <n v="2000723309"/>
    <n v="2800"/>
    <n v="200"/>
    <n v="0"/>
    <s v="U09854"/>
    <s v="L1144/47"/>
    <x v="77"/>
    <m/>
    <m/>
    <m/>
    <n v="0"/>
    <m/>
    <m/>
  </r>
  <r>
    <n v="4916"/>
    <x v="61"/>
    <s v="Night"/>
    <x v="0"/>
    <n v="2000723297"/>
    <n v="2000"/>
    <n v="200"/>
    <n v="0"/>
    <s v="U09854"/>
    <s v="L1174/75"/>
    <x v="62"/>
    <m/>
    <m/>
    <m/>
    <n v="0"/>
    <m/>
    <m/>
  </r>
  <r>
    <n v="4917"/>
    <x v="61"/>
    <s v="Night"/>
    <x v="0"/>
    <n v="2000723258"/>
    <n v="3200"/>
    <n v="400"/>
    <n v="0"/>
    <s v="U09854"/>
    <s v="L1193/94"/>
    <x v="119"/>
    <m/>
    <m/>
    <m/>
    <n v="0"/>
    <m/>
    <m/>
  </r>
  <r>
    <n v="4918"/>
    <x v="61"/>
    <s v="Night"/>
    <x v="0"/>
    <n v="2000723278"/>
    <n v="1800"/>
    <n v="150"/>
    <n v="0"/>
    <s v="U09854"/>
    <s v="L1182"/>
    <x v="124"/>
    <m/>
    <m/>
    <m/>
    <n v="0"/>
    <m/>
    <m/>
  </r>
  <r>
    <n v="4919"/>
    <x v="62"/>
    <s v="Night"/>
    <x v="1"/>
    <n v="2000200012"/>
    <n v="12"/>
    <n v="12"/>
    <n v="12"/>
    <s v="U34811"/>
    <s v="HHH"/>
    <x v="265"/>
    <m/>
    <m/>
    <m/>
    <n v="12"/>
    <m/>
    <m/>
  </r>
  <r>
    <n v="4920"/>
    <x v="62"/>
    <s v="Night"/>
    <x v="1"/>
    <n v="2000200012"/>
    <n v="12"/>
    <n v="12"/>
    <n v="12"/>
    <s v="U34811"/>
    <s v="EEE"/>
    <x v="266"/>
    <m/>
    <m/>
    <m/>
    <n v="12"/>
    <m/>
    <m/>
  </r>
  <r>
    <n v="4921"/>
    <x v="27"/>
    <s v="Day"/>
    <x v="0"/>
    <n v="2000714827"/>
    <n v="1650"/>
    <n v="200"/>
    <n v="0"/>
    <s v="U26613"/>
    <s v="L1077"/>
    <x v="10"/>
    <m/>
    <m/>
    <m/>
    <n v="0"/>
    <m/>
    <m/>
  </r>
  <r>
    <n v="4922"/>
    <x v="27"/>
    <s v="Day"/>
    <x v="0"/>
    <n v="2000714127"/>
    <n v="3008"/>
    <n v="1000"/>
    <n v="0"/>
    <s v="U26613"/>
    <s v="L1193/94"/>
    <x v="119"/>
    <m/>
    <m/>
    <m/>
    <n v="0"/>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r>
    <m/>
    <x v="63"/>
    <m/>
    <x v="2"/>
    <m/>
    <m/>
    <m/>
    <m/>
    <m/>
    <m/>
    <x v="267"/>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portdaily" cacheId="0"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EB9" firstHeaderRow="1" firstDataRow="3" firstDataCol="2"/>
  <pivotFields count="17">
    <pivotField compact="0" outline="0" showAll="0"/>
    <pivotField axis="axisCol" compact="0" outline="0" showAll="0" sortType="ascending" defaultSubtotal="0">
      <items count="211">
        <item m="1" x="115"/>
        <item m="1" x="82"/>
        <item m="1" x="189"/>
        <item m="1" x="150"/>
        <item m="1" x="79"/>
        <item m="1" x="186"/>
        <item m="1" x="147"/>
        <item m="1" x="111"/>
        <item m="1" x="76"/>
        <item m="1" x="145"/>
        <item m="1" x="109"/>
        <item m="1" x="74"/>
        <item m="1" x="181"/>
        <item m="1" x="143"/>
        <item m="1" x="107"/>
        <item m="1" x="71"/>
        <item m="1" x="178"/>
        <item m="1" x="139"/>
        <item m="1" x="104"/>
        <item m="1" x="67"/>
        <item m="1" x="175"/>
        <item m="1" x="135"/>
        <item m="1" x="172"/>
        <item m="1" x="132"/>
        <item m="1" x="98"/>
        <item m="1" x="208"/>
        <item m="1" x="170"/>
        <item m="1" x="141"/>
        <item m="1" x="69"/>
        <item m="1" x="176"/>
        <item m="1" x="137"/>
        <item m="1" x="102"/>
        <item m="1" x="65"/>
        <item m="1" x="99"/>
        <item m="1" x="209"/>
        <item m="1" x="171"/>
        <item m="1" x="131"/>
        <item m="1" x="96"/>
        <item m="1" x="206"/>
        <item m="1" x="168"/>
        <item m="1" x="129"/>
        <item m="1" x="93"/>
        <item m="1" x="203"/>
        <item m="1" x="165"/>
        <item m="1" x="126"/>
        <item m="1" x="161"/>
        <item m="1" x="123"/>
        <item m="1" x="87"/>
        <item m="1" x="198"/>
        <item m="1" x="157"/>
        <item m="1" x="120"/>
        <item m="1" x="195"/>
        <item m="1" x="166"/>
        <item m="1" x="91"/>
        <item m="1" x="202"/>
        <item m="1" x="163"/>
        <item m="1" x="88"/>
        <item m="1" x="199"/>
        <item m="1" x="159"/>
        <item m="1" x="121"/>
        <item m="1" x="86"/>
        <item m="1" x="196"/>
        <item m="1" x="118"/>
        <item m="1" x="84"/>
        <item m="1" x="193"/>
        <item m="1" x="154"/>
        <item m="1" x="117"/>
        <item m="1" x="83"/>
        <item m="1" x="191"/>
        <item m="1" x="152"/>
        <item m="1" x="114"/>
        <item m="1" x="81"/>
        <item m="1" x="188"/>
        <item m="1" x="149"/>
        <item m="1" x="112"/>
        <item m="1" x="78"/>
        <item m="1" x="185"/>
        <item m="1" x="192"/>
        <item m="1" x="153"/>
        <item m="1" x="116"/>
        <item m="1" x="190"/>
        <item m="1" x="151"/>
        <item m="1" x="113"/>
        <item m="1" x="80"/>
        <item m="1" x="187"/>
        <item m="1" x="148"/>
        <item m="1" x="77"/>
        <item m="1" x="183"/>
        <item m="1" x="146"/>
        <item m="1" x="110"/>
        <item m="1" x="75"/>
        <item m="1" x="182"/>
        <item m="1" x="144"/>
        <item m="1" x="108"/>
        <item m="1" x="72"/>
        <item m="1" x="179"/>
        <item m="1" x="140"/>
        <item m="1" x="105"/>
        <item m="1" x="68"/>
        <item m="1" x="136"/>
        <item m="1" x="101"/>
        <item m="1" x="64"/>
        <item m="1" x="173"/>
        <item m="1" x="133"/>
        <item m="1" x="73"/>
        <item m="1" x="180"/>
        <item m="1" x="142"/>
        <item m="1" x="106"/>
        <item m="1" x="70"/>
        <item m="1" x="177"/>
        <item m="1" x="138"/>
        <item m="1" x="103"/>
        <item m="1" x="66"/>
        <item m="1" x="174"/>
        <item m="1" x="134"/>
        <item m="1" x="100"/>
        <item m="1" x="210"/>
        <item m="1" x="97"/>
        <item m="1" x="207"/>
        <item m="1" x="169"/>
        <item m="1" x="130"/>
        <item m="1" x="94"/>
        <item m="1" x="204"/>
        <item m="1" x="127"/>
        <item m="1" x="90"/>
        <item m="1" x="201"/>
        <item m="1" x="162"/>
        <item m="1" x="124"/>
        <item m="1" x="158"/>
        <item m="1" x="95"/>
        <item m="1" x="205"/>
        <item m="1" x="167"/>
        <item m="1" x="128"/>
        <item m="1" x="92"/>
        <item m="1" x="164"/>
        <item m="1" x="125"/>
        <item m="1" x="89"/>
        <item m="1" x="200"/>
        <item m="1" x="160"/>
        <item m="1" x="122"/>
        <item m="1" x="197"/>
        <item m="1" x="156"/>
        <item m="1" x="119"/>
        <item m="1" x="85"/>
        <item m="1" x="194"/>
        <item m="1" x="155"/>
        <item m="1" x="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compact="0" outline="0" showAll="0"/>
    <pivotField axis="axisRow" compact="0" outline="0" showAll="0">
      <items count="5">
        <item sd="0" m="1" x="3"/>
        <item sd="0" x="2"/>
        <item sd="0" x="1"/>
        <item sd="0" x="0"/>
        <item t="default" sd="0"/>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items count="273">
        <item x="267"/>
        <item x="22"/>
        <item x="53"/>
        <item x="51"/>
        <item x="26"/>
        <item x="19"/>
        <item x="59"/>
        <item x="55"/>
        <item x="3"/>
        <item x="0"/>
        <item x="57"/>
        <item x="14"/>
        <item x="11"/>
        <item x="7"/>
        <item x="33"/>
        <item x="37"/>
        <item x="6"/>
        <item x="36"/>
        <item x="10"/>
        <item x="17"/>
        <item x="18"/>
        <item x="62"/>
        <item x="23"/>
        <item x="49"/>
        <item x="66"/>
        <item x="32"/>
        <item x="4"/>
        <item x="2"/>
        <item x="61"/>
        <item x="15"/>
        <item x="13"/>
        <item x="8"/>
        <item x="67"/>
        <item x="56"/>
        <item x="34"/>
        <item x="35"/>
        <item x="16"/>
        <item x="20"/>
        <item x="1"/>
        <item x="47"/>
        <item x="54"/>
        <item x="39"/>
        <item x="48"/>
        <item x="46"/>
        <item x="43"/>
        <item x="40"/>
        <item x="27"/>
        <item x="58"/>
        <item x="5"/>
        <item x="38"/>
        <item x="50"/>
        <item x="24"/>
        <item x="60"/>
        <item x="45"/>
        <item x="42"/>
        <item x="63"/>
        <item x="64"/>
        <item x="52"/>
        <item m="1" x="269"/>
        <item m="1" x="270"/>
        <item x="21"/>
        <item x="30"/>
        <item m="1" x="271"/>
        <item x="28"/>
        <item x="29"/>
        <item m="1" x="268"/>
        <item x="25"/>
        <item x="9"/>
        <item x="12"/>
        <item x="31"/>
        <item x="41"/>
        <item x="44"/>
        <item x="65"/>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2">
    <field x="3"/>
    <field x="10"/>
  </rowFields>
  <rowItems count="4">
    <i>
      <x v="1"/>
    </i>
    <i>
      <x v="2"/>
    </i>
    <i>
      <x v="3"/>
    </i>
    <i t="grand">
      <x/>
    </i>
  </rowItems>
  <colFields count="2">
    <field x="1"/>
    <field x="-2"/>
  </colFields>
  <colItems count="130">
    <i>
      <x v="147"/>
      <x/>
    </i>
    <i r="1" i="1">
      <x v="1"/>
    </i>
    <i>
      <x v="148"/>
      <x/>
    </i>
    <i r="1" i="1">
      <x v="1"/>
    </i>
    <i>
      <x v="149"/>
      <x/>
    </i>
    <i r="1" i="1">
      <x v="1"/>
    </i>
    <i>
      <x v="150"/>
      <x/>
    </i>
    <i r="1" i="1">
      <x v="1"/>
    </i>
    <i>
      <x v="151"/>
      <x/>
    </i>
    <i r="1" i="1">
      <x v="1"/>
    </i>
    <i>
      <x v="152"/>
      <x/>
    </i>
    <i r="1" i="1">
      <x v="1"/>
    </i>
    <i>
      <x v="153"/>
      <x/>
    </i>
    <i r="1" i="1">
      <x v="1"/>
    </i>
    <i>
      <x v="154"/>
      <x/>
    </i>
    <i r="1" i="1">
      <x v="1"/>
    </i>
    <i>
      <x v="155"/>
      <x/>
    </i>
    <i r="1" i="1">
      <x v="1"/>
    </i>
    <i>
      <x v="156"/>
      <x/>
    </i>
    <i r="1" i="1">
      <x v="1"/>
    </i>
    <i>
      <x v="157"/>
      <x/>
    </i>
    <i r="1" i="1">
      <x v="1"/>
    </i>
    <i>
      <x v="158"/>
      <x/>
    </i>
    <i r="1" i="1">
      <x v="1"/>
    </i>
    <i>
      <x v="159"/>
      <x/>
    </i>
    <i r="1" i="1">
      <x v="1"/>
    </i>
    <i>
      <x v="160"/>
      <x/>
    </i>
    <i r="1" i="1">
      <x v="1"/>
    </i>
    <i>
      <x v="161"/>
      <x/>
    </i>
    <i r="1" i="1">
      <x v="1"/>
    </i>
    <i>
      <x v="162"/>
      <x/>
    </i>
    <i r="1" i="1">
      <x v="1"/>
    </i>
    <i>
      <x v="163"/>
      <x/>
    </i>
    <i r="1" i="1">
      <x v="1"/>
    </i>
    <i>
      <x v="164"/>
      <x/>
    </i>
    <i r="1" i="1">
      <x v="1"/>
    </i>
    <i>
      <x v="165"/>
      <x/>
    </i>
    <i r="1" i="1">
      <x v="1"/>
    </i>
    <i>
      <x v="166"/>
      <x/>
    </i>
    <i r="1" i="1">
      <x v="1"/>
    </i>
    <i>
      <x v="167"/>
      <x/>
    </i>
    <i r="1" i="1">
      <x v="1"/>
    </i>
    <i>
      <x v="168"/>
      <x/>
    </i>
    <i r="1" i="1">
      <x v="1"/>
    </i>
    <i>
      <x v="169"/>
      <x/>
    </i>
    <i r="1" i="1">
      <x v="1"/>
    </i>
    <i>
      <x v="170"/>
      <x/>
    </i>
    <i r="1" i="1">
      <x v="1"/>
    </i>
    <i>
      <x v="171"/>
      <x/>
    </i>
    <i r="1" i="1">
      <x v="1"/>
    </i>
    <i>
      <x v="172"/>
      <x/>
    </i>
    <i r="1" i="1">
      <x v="1"/>
    </i>
    <i>
      <x v="173"/>
      <x/>
    </i>
    <i r="1" i="1">
      <x v="1"/>
    </i>
    <i>
      <x v="174"/>
      <x/>
    </i>
    <i r="1" i="1">
      <x v="1"/>
    </i>
    <i>
      <x v="175"/>
      <x/>
    </i>
    <i r="1" i="1">
      <x v="1"/>
    </i>
    <i>
      <x v="176"/>
      <x/>
    </i>
    <i r="1" i="1">
      <x v="1"/>
    </i>
    <i>
      <x v="177"/>
      <x/>
    </i>
    <i r="1" i="1">
      <x v="1"/>
    </i>
    <i>
      <x v="178"/>
      <x/>
    </i>
    <i r="1" i="1">
      <x v="1"/>
    </i>
    <i>
      <x v="179"/>
      <x/>
    </i>
    <i r="1" i="1">
      <x v="1"/>
    </i>
    <i>
      <x v="180"/>
      <x/>
    </i>
    <i r="1" i="1">
      <x v="1"/>
    </i>
    <i>
      <x v="181"/>
      <x/>
    </i>
    <i r="1" i="1">
      <x v="1"/>
    </i>
    <i>
      <x v="182"/>
      <x/>
    </i>
    <i r="1" i="1">
      <x v="1"/>
    </i>
    <i>
      <x v="183"/>
      <x/>
    </i>
    <i r="1" i="1">
      <x v="1"/>
    </i>
    <i>
      <x v="184"/>
      <x/>
    </i>
    <i r="1" i="1">
      <x v="1"/>
    </i>
    <i>
      <x v="185"/>
      <x/>
    </i>
    <i r="1" i="1">
      <x v="1"/>
    </i>
    <i>
      <x v="186"/>
      <x/>
    </i>
    <i r="1" i="1">
      <x v="1"/>
    </i>
    <i>
      <x v="187"/>
      <x/>
    </i>
    <i r="1" i="1">
      <x v="1"/>
    </i>
    <i>
      <x v="188"/>
      <x/>
    </i>
    <i r="1" i="1">
      <x v="1"/>
    </i>
    <i>
      <x v="189"/>
      <x/>
    </i>
    <i r="1" i="1">
      <x v="1"/>
    </i>
    <i>
      <x v="190"/>
      <x/>
    </i>
    <i r="1" i="1">
      <x v="1"/>
    </i>
    <i>
      <x v="191"/>
      <x/>
    </i>
    <i r="1" i="1">
      <x v="1"/>
    </i>
    <i>
      <x v="192"/>
      <x/>
    </i>
    <i r="1" i="1">
      <x v="1"/>
    </i>
    <i>
      <x v="193"/>
      <x/>
    </i>
    <i r="1" i="1">
      <x v="1"/>
    </i>
    <i>
      <x v="194"/>
      <x/>
    </i>
    <i r="1" i="1">
      <x v="1"/>
    </i>
    <i>
      <x v="195"/>
      <x/>
    </i>
    <i r="1" i="1">
      <x v="1"/>
    </i>
    <i>
      <x v="196"/>
      <x/>
    </i>
    <i r="1" i="1">
      <x v="1"/>
    </i>
    <i>
      <x v="197"/>
      <x/>
    </i>
    <i r="1" i="1">
      <x v="1"/>
    </i>
    <i>
      <x v="198"/>
      <x/>
    </i>
    <i r="1" i="1">
      <x v="1"/>
    </i>
    <i>
      <x v="199"/>
      <x/>
    </i>
    <i r="1" i="1">
      <x v="1"/>
    </i>
    <i>
      <x v="200"/>
      <x/>
    </i>
    <i r="1" i="1">
      <x v="1"/>
    </i>
    <i>
      <x v="201"/>
      <x/>
    </i>
    <i r="1" i="1">
      <x v="1"/>
    </i>
    <i>
      <x v="202"/>
      <x/>
    </i>
    <i r="1" i="1">
      <x v="1"/>
    </i>
    <i>
      <x v="203"/>
      <x/>
    </i>
    <i r="1" i="1">
      <x v="1"/>
    </i>
    <i>
      <x v="204"/>
      <x/>
    </i>
    <i r="1" i="1">
      <x v="1"/>
    </i>
    <i>
      <x v="205"/>
      <x/>
    </i>
    <i r="1" i="1">
      <x v="1"/>
    </i>
    <i>
      <x v="206"/>
      <x/>
    </i>
    <i r="1" i="1">
      <x v="1"/>
    </i>
    <i>
      <x v="207"/>
      <x/>
    </i>
    <i r="1" i="1">
      <x v="1"/>
    </i>
    <i>
      <x v="208"/>
      <x/>
    </i>
    <i r="1" i="1">
      <x v="1"/>
    </i>
    <i>
      <x v="209"/>
      <x/>
    </i>
    <i r="1" i="1">
      <x v="1"/>
    </i>
    <i>
      <x v="210"/>
      <x/>
    </i>
    <i r="1" i="1">
      <x v="1"/>
    </i>
    <i t="grand">
      <x/>
    </i>
    <i t="grand" i="1">
      <x/>
    </i>
  </colItems>
  <dataFields count="2">
    <dataField name="KTra" fld="6" baseField="3" baseItem="1"/>
    <dataField name="NG" fld="7" baseField="3" baseItem="1"/>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blnglist" displayName="tblnglist" ref="H1:J34" totalsRowShown="0">
  <autoFilter ref="H1:J34"/>
  <tableColumns count="3">
    <tableColumn id="1" name="Type"/>
    <tableColumn id="2" name="Eng"/>
    <tableColumn id="3" name="ID"/>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34998626667073579"/>
  </sheetPr>
  <dimension ref="A1:AR13967"/>
  <sheetViews>
    <sheetView tabSelected="1" topLeftCell="A13968" zoomScale="85" zoomScaleNormal="85" workbookViewId="0">
      <selection activeCell="A2165" sqref="A2165:XFD2165"/>
    </sheetView>
  </sheetViews>
  <sheetFormatPr defaultRowHeight="15" x14ac:dyDescent="0.25"/>
  <cols>
    <col min="1" max="1" width="5.140625" style="33" bestFit="1" customWidth="1"/>
    <col min="2" max="2" width="14.42578125" style="24" customWidth="1"/>
    <col min="3" max="3" width="5.85546875" bestFit="1" customWidth="1"/>
    <col min="4" max="4" width="7.28515625" bestFit="1" customWidth="1"/>
    <col min="5" max="5" width="12.28515625" bestFit="1" customWidth="1"/>
    <col min="6" max="6" width="11" bestFit="1" customWidth="1"/>
    <col min="7" max="7" width="12.7109375" customWidth="1"/>
    <col min="11" max="11" width="12.5703125" bestFit="1" customWidth="1"/>
    <col min="16" max="16" width="10.28515625" customWidth="1"/>
    <col min="18" max="18" width="13.42578125" customWidth="1"/>
    <col min="19" max="19" width="10.42578125" style="36" bestFit="1" customWidth="1"/>
  </cols>
  <sheetData>
    <row r="1" spans="1:44" ht="15.75" thickBot="1" x14ac:dyDescent="0.3">
      <c r="A1" s="61" t="s">
        <v>93</v>
      </c>
      <c r="B1" s="23" t="s">
        <v>0</v>
      </c>
      <c r="C1" s="1" t="s">
        <v>1</v>
      </c>
      <c r="D1" s="1" t="s">
        <v>2</v>
      </c>
      <c r="E1" s="1" t="s">
        <v>3</v>
      </c>
      <c r="F1" s="1" t="s">
        <v>4</v>
      </c>
      <c r="G1" s="1" t="s">
        <v>5</v>
      </c>
      <c r="H1" s="1" t="s">
        <v>6</v>
      </c>
      <c r="I1" s="1" t="s">
        <v>7</v>
      </c>
      <c r="J1" s="1" t="s">
        <v>8</v>
      </c>
      <c r="K1" s="1" t="s">
        <v>9</v>
      </c>
      <c r="L1" s="1" t="s">
        <v>10</v>
      </c>
      <c r="M1" s="1" t="s">
        <v>11</v>
      </c>
      <c r="N1" s="1" t="s">
        <v>12</v>
      </c>
      <c r="O1" s="1" t="s">
        <v>13</v>
      </c>
      <c r="P1" s="1" t="s">
        <v>16</v>
      </c>
      <c r="Q1" s="1" t="s">
        <v>17</v>
      </c>
      <c r="R1" s="1" t="s">
        <v>18</v>
      </c>
      <c r="S1" s="35" t="s">
        <v>20</v>
      </c>
      <c r="T1" s="1" t="s">
        <v>33</v>
      </c>
      <c r="U1" s="1" t="s">
        <v>80</v>
      </c>
      <c r="V1" s="1" t="s">
        <v>82</v>
      </c>
      <c r="W1" s="1" t="s">
        <v>14</v>
      </c>
      <c r="X1" s="1" t="s">
        <v>15</v>
      </c>
      <c r="Y1" s="1" t="s">
        <v>19</v>
      </c>
      <c r="Z1" s="1" t="s">
        <v>21</v>
      </c>
      <c r="AA1" s="1" t="s">
        <v>22</v>
      </c>
      <c r="AB1" s="1" t="s">
        <v>23</v>
      </c>
      <c r="AC1" s="1" t="s">
        <v>24</v>
      </c>
      <c r="AD1" s="1" t="s">
        <v>25</v>
      </c>
      <c r="AE1" s="1" t="s">
        <v>26</v>
      </c>
      <c r="AF1" s="1" t="s">
        <v>27</v>
      </c>
      <c r="AG1" s="1" t="s">
        <v>28</v>
      </c>
      <c r="AH1" s="1" t="s">
        <v>29</v>
      </c>
      <c r="AI1" s="1" t="s">
        <v>30</v>
      </c>
      <c r="AJ1" s="1" t="s">
        <v>31</v>
      </c>
      <c r="AK1" s="1" t="s">
        <v>32</v>
      </c>
      <c r="AL1" s="1" t="s">
        <v>33</v>
      </c>
      <c r="AM1" s="1" t="s">
        <v>34</v>
      </c>
      <c r="AN1" s="1" t="s">
        <v>79</v>
      </c>
      <c r="AO1" s="1" t="s">
        <v>35</v>
      </c>
      <c r="AP1" s="1" t="s">
        <v>36</v>
      </c>
      <c r="AQ1" s="1" t="s">
        <v>37</v>
      </c>
      <c r="AR1" s="1" t="s">
        <v>38</v>
      </c>
    </row>
    <row r="2" spans="1:44" x14ac:dyDescent="0.25">
      <c r="A2" s="33">
        <v>1</v>
      </c>
      <c r="B2" s="24">
        <v>44200</v>
      </c>
      <c r="C2" t="s">
        <v>181</v>
      </c>
      <c r="D2" t="s">
        <v>41</v>
      </c>
      <c r="E2">
        <v>2000705992</v>
      </c>
      <c r="F2">
        <v>200</v>
      </c>
      <c r="G2">
        <v>340</v>
      </c>
      <c r="H2">
        <v>0</v>
      </c>
      <c r="I2" t="s">
        <v>180</v>
      </c>
      <c r="J2" t="s">
        <v>174</v>
      </c>
      <c r="K2" t="s">
        <v>644</v>
      </c>
      <c r="O2">
        <v>0</v>
      </c>
      <c r="U2" t="s">
        <v>81</v>
      </c>
    </row>
    <row r="3" spans="1:44" x14ac:dyDescent="0.25">
      <c r="A3" s="33">
        <v>2</v>
      </c>
      <c r="B3" s="24">
        <v>44200</v>
      </c>
      <c r="C3" t="s">
        <v>181</v>
      </c>
      <c r="D3" t="s">
        <v>41</v>
      </c>
      <c r="E3">
        <v>2000706893</v>
      </c>
      <c r="F3">
        <v>1840</v>
      </c>
      <c r="G3">
        <v>80</v>
      </c>
      <c r="H3">
        <v>0</v>
      </c>
      <c r="I3" t="s">
        <v>642</v>
      </c>
      <c r="J3" t="s">
        <v>645</v>
      </c>
      <c r="K3" t="s">
        <v>646</v>
      </c>
      <c r="O3">
        <v>0</v>
      </c>
      <c r="U3" t="s">
        <v>81</v>
      </c>
    </row>
    <row r="4" spans="1:44" x14ac:dyDescent="0.25">
      <c r="A4" s="33">
        <v>3</v>
      </c>
      <c r="B4" s="24">
        <v>44200</v>
      </c>
      <c r="C4" t="s">
        <v>181</v>
      </c>
      <c r="D4" t="s">
        <v>41</v>
      </c>
      <c r="E4">
        <v>2000705730</v>
      </c>
      <c r="F4">
        <v>2000</v>
      </c>
      <c r="G4">
        <v>140</v>
      </c>
      <c r="H4">
        <v>0</v>
      </c>
      <c r="I4" t="s">
        <v>642</v>
      </c>
      <c r="J4" t="s">
        <v>193</v>
      </c>
      <c r="K4" t="s">
        <v>647</v>
      </c>
      <c r="O4">
        <v>0</v>
      </c>
      <c r="U4" t="s">
        <v>81</v>
      </c>
    </row>
    <row r="5" spans="1:44" x14ac:dyDescent="0.25">
      <c r="A5" s="33">
        <v>4</v>
      </c>
      <c r="B5" s="24">
        <v>44200</v>
      </c>
      <c r="C5" t="s">
        <v>181</v>
      </c>
      <c r="D5" t="s">
        <v>41</v>
      </c>
      <c r="E5">
        <v>2000706285</v>
      </c>
      <c r="F5">
        <v>2000</v>
      </c>
      <c r="G5">
        <v>80</v>
      </c>
      <c r="H5">
        <v>0</v>
      </c>
      <c r="I5" t="s">
        <v>642</v>
      </c>
      <c r="J5" t="s">
        <v>193</v>
      </c>
      <c r="K5" t="s">
        <v>647</v>
      </c>
      <c r="O5">
        <v>0</v>
      </c>
      <c r="U5" t="s">
        <v>81</v>
      </c>
    </row>
    <row r="6" spans="1:44" x14ac:dyDescent="0.25">
      <c r="A6" s="33">
        <v>5</v>
      </c>
      <c r="B6" s="24">
        <v>44200</v>
      </c>
      <c r="C6" t="s">
        <v>181</v>
      </c>
      <c r="D6" t="s">
        <v>41</v>
      </c>
      <c r="E6">
        <v>2000706019</v>
      </c>
      <c r="F6">
        <v>3700</v>
      </c>
      <c r="G6">
        <v>80</v>
      </c>
      <c r="H6">
        <v>0</v>
      </c>
      <c r="I6" t="s">
        <v>642</v>
      </c>
      <c r="J6" t="s">
        <v>172</v>
      </c>
      <c r="K6" t="s">
        <v>173</v>
      </c>
      <c r="O6">
        <v>0</v>
      </c>
      <c r="U6" t="s">
        <v>81</v>
      </c>
    </row>
    <row r="7" spans="1:44" x14ac:dyDescent="0.25">
      <c r="A7" s="33">
        <v>6</v>
      </c>
      <c r="B7" s="24">
        <v>44200</v>
      </c>
      <c r="C7" t="s">
        <v>181</v>
      </c>
      <c r="D7" t="s">
        <v>41</v>
      </c>
      <c r="E7">
        <v>2000706773</v>
      </c>
      <c r="F7">
        <v>1000</v>
      </c>
      <c r="G7">
        <v>120</v>
      </c>
      <c r="H7">
        <v>0</v>
      </c>
      <c r="I7" t="s">
        <v>642</v>
      </c>
      <c r="J7" t="s">
        <v>196</v>
      </c>
      <c r="K7" t="s">
        <v>648</v>
      </c>
      <c r="O7">
        <v>0</v>
      </c>
      <c r="U7" t="s">
        <v>81</v>
      </c>
    </row>
    <row r="8" spans="1:44" x14ac:dyDescent="0.25">
      <c r="A8" s="33">
        <v>7</v>
      </c>
      <c r="B8" s="24">
        <v>44200</v>
      </c>
      <c r="C8" t="s">
        <v>181</v>
      </c>
      <c r="D8" t="s">
        <v>41</v>
      </c>
      <c r="E8">
        <v>2000706782</v>
      </c>
      <c r="F8">
        <v>420</v>
      </c>
      <c r="G8">
        <v>100</v>
      </c>
      <c r="H8">
        <v>0</v>
      </c>
      <c r="I8" t="s">
        <v>642</v>
      </c>
      <c r="J8" t="s">
        <v>645</v>
      </c>
      <c r="K8" t="s">
        <v>649</v>
      </c>
      <c r="O8">
        <v>0</v>
      </c>
      <c r="U8" t="s">
        <v>81</v>
      </c>
    </row>
    <row r="9" spans="1:44" x14ac:dyDescent="0.25">
      <c r="A9" s="33">
        <v>8</v>
      </c>
      <c r="B9" s="24">
        <v>44200</v>
      </c>
      <c r="C9" t="s">
        <v>181</v>
      </c>
      <c r="D9" t="s">
        <v>41</v>
      </c>
      <c r="E9">
        <v>2000705728</v>
      </c>
      <c r="F9">
        <v>2000</v>
      </c>
      <c r="G9">
        <v>200</v>
      </c>
      <c r="H9">
        <v>0</v>
      </c>
      <c r="I9" t="s">
        <v>201</v>
      </c>
      <c r="J9" t="s">
        <v>193</v>
      </c>
      <c r="K9" t="s">
        <v>650</v>
      </c>
      <c r="O9">
        <v>0</v>
      </c>
      <c r="U9" t="s">
        <v>81</v>
      </c>
    </row>
    <row r="10" spans="1:44" x14ac:dyDescent="0.25">
      <c r="A10" s="33">
        <v>9</v>
      </c>
      <c r="B10" s="24">
        <v>44200</v>
      </c>
      <c r="C10" t="s">
        <v>181</v>
      </c>
      <c r="D10" t="s">
        <v>41</v>
      </c>
      <c r="E10">
        <v>2000705368</v>
      </c>
      <c r="F10">
        <v>4239</v>
      </c>
      <c r="G10">
        <v>300</v>
      </c>
      <c r="H10">
        <v>0</v>
      </c>
      <c r="I10" t="s">
        <v>201</v>
      </c>
      <c r="J10" t="s">
        <v>651</v>
      </c>
      <c r="K10" t="s">
        <v>652</v>
      </c>
      <c r="O10">
        <v>0</v>
      </c>
      <c r="U10" t="s">
        <v>81</v>
      </c>
    </row>
    <row r="11" spans="1:44" x14ac:dyDescent="0.25">
      <c r="A11" s="33">
        <v>10</v>
      </c>
      <c r="B11" s="24">
        <v>44200</v>
      </c>
      <c r="C11" t="s">
        <v>181</v>
      </c>
      <c r="D11" t="s">
        <v>41</v>
      </c>
      <c r="E11">
        <v>2000704714</v>
      </c>
      <c r="F11">
        <v>3200</v>
      </c>
      <c r="G11">
        <v>160</v>
      </c>
      <c r="H11">
        <v>0</v>
      </c>
      <c r="I11" t="s">
        <v>201</v>
      </c>
      <c r="J11" t="s">
        <v>200</v>
      </c>
      <c r="K11" t="s">
        <v>653</v>
      </c>
      <c r="O11">
        <v>0</v>
      </c>
      <c r="U11" t="s">
        <v>81</v>
      </c>
    </row>
    <row r="12" spans="1:44" x14ac:dyDescent="0.25">
      <c r="A12" s="33">
        <v>11</v>
      </c>
      <c r="B12" s="24">
        <v>44200</v>
      </c>
      <c r="C12" t="s">
        <v>181</v>
      </c>
      <c r="D12" t="s">
        <v>41</v>
      </c>
      <c r="E12">
        <v>2000706150</v>
      </c>
      <c r="F12">
        <v>896</v>
      </c>
      <c r="G12">
        <v>200</v>
      </c>
      <c r="H12">
        <v>0</v>
      </c>
      <c r="I12" t="s">
        <v>201</v>
      </c>
      <c r="J12" t="s">
        <v>202</v>
      </c>
      <c r="K12" t="s">
        <v>654</v>
      </c>
      <c r="O12">
        <v>0</v>
      </c>
      <c r="U12" t="s">
        <v>81</v>
      </c>
    </row>
    <row r="13" spans="1:44" x14ac:dyDescent="0.25">
      <c r="A13" s="33">
        <v>12</v>
      </c>
      <c r="B13" s="24">
        <v>44200</v>
      </c>
      <c r="C13" t="s">
        <v>181</v>
      </c>
      <c r="D13" t="s">
        <v>41</v>
      </c>
      <c r="E13">
        <v>2000705726</v>
      </c>
      <c r="F13">
        <v>2000</v>
      </c>
      <c r="G13">
        <v>200</v>
      </c>
      <c r="H13">
        <v>0</v>
      </c>
      <c r="I13" t="s">
        <v>201</v>
      </c>
      <c r="J13" t="s">
        <v>193</v>
      </c>
      <c r="K13" t="s">
        <v>176</v>
      </c>
      <c r="O13">
        <v>0</v>
      </c>
      <c r="U13" t="s">
        <v>81</v>
      </c>
    </row>
    <row r="14" spans="1:44" x14ac:dyDescent="0.25">
      <c r="A14" s="33">
        <v>13</v>
      </c>
      <c r="B14" s="24">
        <v>44200</v>
      </c>
      <c r="C14" t="s">
        <v>181</v>
      </c>
      <c r="D14" t="s">
        <v>41</v>
      </c>
      <c r="E14">
        <v>2000705521</v>
      </c>
      <c r="F14">
        <v>1328</v>
      </c>
      <c r="G14">
        <v>160</v>
      </c>
      <c r="H14">
        <v>0</v>
      </c>
      <c r="I14" t="s">
        <v>201</v>
      </c>
      <c r="J14" t="s">
        <v>655</v>
      </c>
      <c r="K14" t="s">
        <v>656</v>
      </c>
      <c r="O14">
        <v>0</v>
      </c>
      <c r="U14" t="s">
        <v>81</v>
      </c>
    </row>
    <row r="15" spans="1:44" x14ac:dyDescent="0.25">
      <c r="A15" s="33">
        <v>14</v>
      </c>
      <c r="B15" s="24">
        <v>44200</v>
      </c>
      <c r="C15" t="s">
        <v>181</v>
      </c>
      <c r="D15" t="s">
        <v>41</v>
      </c>
      <c r="E15">
        <v>2000706017</v>
      </c>
      <c r="F15">
        <v>3700</v>
      </c>
      <c r="G15">
        <v>300</v>
      </c>
      <c r="H15">
        <v>0</v>
      </c>
      <c r="I15" t="s">
        <v>201</v>
      </c>
      <c r="J15" t="s">
        <v>172</v>
      </c>
      <c r="K15" t="s">
        <v>657</v>
      </c>
      <c r="O15">
        <v>0</v>
      </c>
      <c r="U15" t="s">
        <v>81</v>
      </c>
    </row>
    <row r="16" spans="1:44" x14ac:dyDescent="0.25">
      <c r="A16" s="33">
        <v>15</v>
      </c>
      <c r="B16" s="24">
        <v>44200</v>
      </c>
      <c r="C16" t="s">
        <v>181</v>
      </c>
      <c r="D16" t="s">
        <v>41</v>
      </c>
      <c r="E16">
        <v>2000706305</v>
      </c>
      <c r="F16">
        <v>1600</v>
      </c>
      <c r="G16">
        <v>300</v>
      </c>
      <c r="H16">
        <v>0</v>
      </c>
      <c r="I16" t="s">
        <v>201</v>
      </c>
      <c r="J16" t="s">
        <v>645</v>
      </c>
      <c r="K16" t="s">
        <v>658</v>
      </c>
      <c r="O16">
        <v>0</v>
      </c>
      <c r="U16" t="s">
        <v>81</v>
      </c>
    </row>
    <row r="17" spans="1:21" x14ac:dyDescent="0.25">
      <c r="A17" s="33">
        <v>16</v>
      </c>
      <c r="B17" s="24">
        <v>44200</v>
      </c>
      <c r="C17" t="s">
        <v>181</v>
      </c>
      <c r="D17" t="s">
        <v>41</v>
      </c>
      <c r="E17">
        <v>2000706434</v>
      </c>
      <c r="F17">
        <v>4158</v>
      </c>
      <c r="G17">
        <v>200</v>
      </c>
      <c r="H17">
        <v>0</v>
      </c>
      <c r="I17" t="s">
        <v>201</v>
      </c>
      <c r="J17" t="s">
        <v>645</v>
      </c>
      <c r="K17" t="s">
        <v>659</v>
      </c>
      <c r="O17">
        <v>0</v>
      </c>
      <c r="U17" t="s">
        <v>81</v>
      </c>
    </row>
    <row r="18" spans="1:21" x14ac:dyDescent="0.25">
      <c r="A18" s="33">
        <v>17</v>
      </c>
      <c r="B18" s="24">
        <v>44200</v>
      </c>
      <c r="C18" t="s">
        <v>181</v>
      </c>
      <c r="D18" t="s">
        <v>41</v>
      </c>
      <c r="E18">
        <v>2000706148</v>
      </c>
      <c r="F18">
        <v>4200</v>
      </c>
      <c r="G18">
        <v>240</v>
      </c>
      <c r="H18">
        <v>0</v>
      </c>
      <c r="I18" t="s">
        <v>201</v>
      </c>
      <c r="J18" t="s">
        <v>199</v>
      </c>
      <c r="K18" t="s">
        <v>660</v>
      </c>
      <c r="O18">
        <v>0</v>
      </c>
      <c r="U18" t="s">
        <v>81</v>
      </c>
    </row>
    <row r="19" spans="1:21" x14ac:dyDescent="0.25">
      <c r="A19" s="33">
        <v>18</v>
      </c>
      <c r="B19" s="24">
        <v>44200</v>
      </c>
      <c r="C19" t="s">
        <v>181</v>
      </c>
      <c r="D19" t="s">
        <v>41</v>
      </c>
      <c r="E19">
        <v>2000705992</v>
      </c>
      <c r="F19">
        <v>2800</v>
      </c>
      <c r="G19">
        <v>240</v>
      </c>
      <c r="H19">
        <v>0</v>
      </c>
      <c r="I19" t="s">
        <v>661</v>
      </c>
      <c r="J19" t="s">
        <v>174</v>
      </c>
      <c r="K19" t="s">
        <v>644</v>
      </c>
      <c r="O19">
        <v>0</v>
      </c>
      <c r="U19" t="s">
        <v>81</v>
      </c>
    </row>
    <row r="20" spans="1:21" x14ac:dyDescent="0.25">
      <c r="A20" s="33">
        <v>19</v>
      </c>
      <c r="B20" s="24">
        <v>44200</v>
      </c>
      <c r="C20" t="s">
        <v>181</v>
      </c>
      <c r="D20" t="s">
        <v>41</v>
      </c>
      <c r="E20">
        <v>2000705993</v>
      </c>
      <c r="F20">
        <v>640</v>
      </c>
      <c r="G20">
        <v>70</v>
      </c>
      <c r="H20">
        <v>0</v>
      </c>
      <c r="I20" t="s">
        <v>661</v>
      </c>
      <c r="J20" t="s">
        <v>174</v>
      </c>
      <c r="K20" t="s">
        <v>662</v>
      </c>
      <c r="O20">
        <v>0</v>
      </c>
      <c r="U20" t="s">
        <v>81</v>
      </c>
    </row>
    <row r="21" spans="1:21" x14ac:dyDescent="0.25">
      <c r="A21" s="33">
        <v>20</v>
      </c>
      <c r="B21" s="24">
        <v>44200</v>
      </c>
      <c r="C21" t="s">
        <v>181</v>
      </c>
      <c r="D21" t="s">
        <v>41</v>
      </c>
      <c r="E21">
        <v>2000704680</v>
      </c>
      <c r="F21">
        <v>1080</v>
      </c>
      <c r="G21">
        <v>12</v>
      </c>
      <c r="H21">
        <v>0</v>
      </c>
      <c r="I21" t="s">
        <v>178</v>
      </c>
      <c r="J21" t="s">
        <v>174</v>
      </c>
      <c r="K21" t="s">
        <v>177</v>
      </c>
      <c r="O21">
        <v>0</v>
      </c>
      <c r="U21" t="s">
        <v>81</v>
      </c>
    </row>
    <row r="22" spans="1:21" x14ac:dyDescent="0.25">
      <c r="A22" s="33">
        <v>21</v>
      </c>
      <c r="B22" s="24">
        <v>44200</v>
      </c>
      <c r="C22" t="s">
        <v>181</v>
      </c>
      <c r="D22" t="s">
        <v>41</v>
      </c>
      <c r="E22">
        <v>2000705986</v>
      </c>
      <c r="F22">
        <v>670</v>
      </c>
      <c r="G22">
        <v>119</v>
      </c>
      <c r="H22">
        <v>0</v>
      </c>
      <c r="I22" t="s">
        <v>178</v>
      </c>
      <c r="J22" t="s">
        <v>174</v>
      </c>
      <c r="K22" t="s">
        <v>177</v>
      </c>
      <c r="O22">
        <v>0</v>
      </c>
      <c r="U22" t="s">
        <v>81</v>
      </c>
    </row>
    <row r="23" spans="1:21" x14ac:dyDescent="0.25">
      <c r="A23" s="33">
        <v>22</v>
      </c>
      <c r="B23" s="24">
        <v>44200</v>
      </c>
      <c r="C23" t="s">
        <v>181</v>
      </c>
      <c r="D23" t="s">
        <v>41</v>
      </c>
      <c r="E23">
        <v>2000705992</v>
      </c>
      <c r="F23">
        <v>2800</v>
      </c>
      <c r="G23">
        <v>200</v>
      </c>
      <c r="H23">
        <v>0</v>
      </c>
      <c r="I23" t="s">
        <v>178</v>
      </c>
      <c r="J23" t="s">
        <v>174</v>
      </c>
      <c r="K23" t="s">
        <v>644</v>
      </c>
      <c r="O23">
        <v>0</v>
      </c>
      <c r="U23" t="s">
        <v>81</v>
      </c>
    </row>
    <row r="24" spans="1:21" x14ac:dyDescent="0.25">
      <c r="A24" s="33">
        <v>23</v>
      </c>
      <c r="B24" s="24">
        <v>44200</v>
      </c>
      <c r="C24" t="s">
        <v>181</v>
      </c>
      <c r="D24" t="s">
        <v>41</v>
      </c>
      <c r="E24">
        <v>2000705528</v>
      </c>
      <c r="F24">
        <v>1200</v>
      </c>
      <c r="G24">
        <v>30</v>
      </c>
      <c r="H24">
        <v>0</v>
      </c>
      <c r="I24" t="s">
        <v>178</v>
      </c>
      <c r="J24" t="s">
        <v>169</v>
      </c>
      <c r="K24" t="s">
        <v>179</v>
      </c>
      <c r="O24">
        <v>0</v>
      </c>
      <c r="U24" t="s">
        <v>81</v>
      </c>
    </row>
    <row r="25" spans="1:21" x14ac:dyDescent="0.25">
      <c r="A25" s="33">
        <v>24</v>
      </c>
      <c r="B25" s="24">
        <v>44200</v>
      </c>
      <c r="C25" t="s">
        <v>181</v>
      </c>
      <c r="D25" t="s">
        <v>41</v>
      </c>
      <c r="E25">
        <v>2000705700</v>
      </c>
      <c r="F25">
        <v>1790</v>
      </c>
      <c r="G25">
        <v>20</v>
      </c>
      <c r="H25">
        <v>0</v>
      </c>
      <c r="I25" t="s">
        <v>178</v>
      </c>
      <c r="J25" t="s">
        <v>169</v>
      </c>
      <c r="K25" t="s">
        <v>663</v>
      </c>
      <c r="O25">
        <v>0</v>
      </c>
      <c r="U25" t="s">
        <v>81</v>
      </c>
    </row>
    <row r="26" spans="1:21" x14ac:dyDescent="0.25">
      <c r="A26" s="33">
        <v>25</v>
      </c>
      <c r="B26" s="24">
        <v>44200</v>
      </c>
      <c r="C26" t="s">
        <v>181</v>
      </c>
      <c r="D26" t="s">
        <v>41</v>
      </c>
      <c r="E26">
        <v>2000705529</v>
      </c>
      <c r="F26">
        <v>722</v>
      </c>
      <c r="G26">
        <v>90</v>
      </c>
      <c r="H26">
        <v>0</v>
      </c>
      <c r="I26" t="s">
        <v>178</v>
      </c>
      <c r="J26" t="s">
        <v>169</v>
      </c>
      <c r="K26" t="s">
        <v>664</v>
      </c>
      <c r="O26">
        <v>0</v>
      </c>
      <c r="U26" t="s">
        <v>81</v>
      </c>
    </row>
    <row r="27" spans="1:21" x14ac:dyDescent="0.25">
      <c r="A27" s="33">
        <v>26</v>
      </c>
      <c r="B27" s="24">
        <v>44200</v>
      </c>
      <c r="C27" t="s">
        <v>181</v>
      </c>
      <c r="D27" t="s">
        <v>41</v>
      </c>
      <c r="E27">
        <v>2000705992</v>
      </c>
      <c r="F27">
        <v>2800</v>
      </c>
      <c r="G27">
        <v>120</v>
      </c>
      <c r="H27">
        <v>0</v>
      </c>
      <c r="I27" t="s">
        <v>665</v>
      </c>
      <c r="J27" t="s">
        <v>174</v>
      </c>
      <c r="K27" t="s">
        <v>644</v>
      </c>
      <c r="O27">
        <v>0</v>
      </c>
      <c r="U27" t="s">
        <v>81</v>
      </c>
    </row>
    <row r="28" spans="1:21" x14ac:dyDescent="0.25">
      <c r="A28" s="33">
        <v>27</v>
      </c>
      <c r="B28" s="24">
        <v>44200</v>
      </c>
      <c r="C28" t="s">
        <v>181</v>
      </c>
      <c r="D28" t="s">
        <v>41</v>
      </c>
      <c r="E28">
        <v>2000705986</v>
      </c>
      <c r="F28">
        <v>670</v>
      </c>
      <c r="G28">
        <v>80</v>
      </c>
      <c r="H28">
        <v>0</v>
      </c>
      <c r="I28" t="s">
        <v>665</v>
      </c>
      <c r="J28" t="s">
        <v>174</v>
      </c>
      <c r="K28" t="s">
        <v>177</v>
      </c>
      <c r="O28">
        <v>0</v>
      </c>
      <c r="U28" t="s">
        <v>81</v>
      </c>
    </row>
    <row r="29" spans="1:21" x14ac:dyDescent="0.25">
      <c r="A29" s="33">
        <v>28</v>
      </c>
      <c r="B29" s="24">
        <v>44200</v>
      </c>
      <c r="C29" t="s">
        <v>181</v>
      </c>
      <c r="D29" t="s">
        <v>41</v>
      </c>
      <c r="E29">
        <v>2000698521</v>
      </c>
      <c r="F29">
        <v>1240</v>
      </c>
      <c r="G29">
        <v>1</v>
      </c>
      <c r="H29">
        <v>0</v>
      </c>
      <c r="I29" t="s">
        <v>665</v>
      </c>
      <c r="J29" t="s">
        <v>174</v>
      </c>
      <c r="K29" t="s">
        <v>177</v>
      </c>
      <c r="O29">
        <v>0</v>
      </c>
      <c r="U29" t="s">
        <v>81</v>
      </c>
    </row>
    <row r="30" spans="1:21" x14ac:dyDescent="0.25">
      <c r="A30" s="33">
        <v>29</v>
      </c>
      <c r="B30" s="24">
        <v>44200</v>
      </c>
      <c r="C30" t="s">
        <v>181</v>
      </c>
      <c r="D30" t="s">
        <v>41</v>
      </c>
      <c r="E30">
        <v>2000705986</v>
      </c>
      <c r="F30">
        <v>670</v>
      </c>
      <c r="G30">
        <v>12</v>
      </c>
      <c r="H30">
        <v>0</v>
      </c>
      <c r="I30" t="s">
        <v>666</v>
      </c>
      <c r="J30" t="s">
        <v>174</v>
      </c>
      <c r="K30" t="s">
        <v>177</v>
      </c>
      <c r="O30">
        <v>0</v>
      </c>
      <c r="U30" t="s">
        <v>81</v>
      </c>
    </row>
    <row r="31" spans="1:21" x14ac:dyDescent="0.25">
      <c r="A31" s="33">
        <v>30</v>
      </c>
      <c r="B31" s="24">
        <v>44200</v>
      </c>
      <c r="C31" t="s">
        <v>181</v>
      </c>
      <c r="D31" t="s">
        <v>41</v>
      </c>
      <c r="E31">
        <v>2000705992</v>
      </c>
      <c r="F31">
        <v>2800</v>
      </c>
      <c r="G31">
        <v>320</v>
      </c>
      <c r="H31">
        <v>0</v>
      </c>
      <c r="I31" t="s">
        <v>666</v>
      </c>
      <c r="J31" t="s">
        <v>174</v>
      </c>
      <c r="K31" t="s">
        <v>644</v>
      </c>
      <c r="O31">
        <v>0</v>
      </c>
      <c r="U31" t="s">
        <v>81</v>
      </c>
    </row>
    <row r="32" spans="1:21" x14ac:dyDescent="0.25">
      <c r="A32" s="33">
        <v>31</v>
      </c>
      <c r="B32" s="24">
        <v>44200</v>
      </c>
      <c r="C32" t="s">
        <v>181</v>
      </c>
      <c r="D32" t="s">
        <v>41</v>
      </c>
      <c r="E32">
        <v>2000705992</v>
      </c>
      <c r="F32">
        <v>2800</v>
      </c>
      <c r="G32">
        <v>140</v>
      </c>
      <c r="H32">
        <v>0</v>
      </c>
      <c r="I32" t="s">
        <v>666</v>
      </c>
      <c r="J32" t="s">
        <v>174</v>
      </c>
      <c r="K32" t="s">
        <v>644</v>
      </c>
      <c r="O32">
        <v>0</v>
      </c>
      <c r="U32" t="s">
        <v>81</v>
      </c>
    </row>
    <row r="33" spans="1:21" x14ac:dyDescent="0.25">
      <c r="A33" s="33">
        <v>32</v>
      </c>
      <c r="B33" s="24">
        <v>44200</v>
      </c>
      <c r="C33" t="s">
        <v>181</v>
      </c>
      <c r="D33" t="s">
        <v>41</v>
      </c>
      <c r="E33">
        <v>2000705992</v>
      </c>
      <c r="F33">
        <v>2800</v>
      </c>
      <c r="G33">
        <v>40</v>
      </c>
      <c r="H33">
        <v>0</v>
      </c>
      <c r="I33" t="s">
        <v>194</v>
      </c>
      <c r="J33" t="s">
        <v>174</v>
      </c>
      <c r="K33" t="s">
        <v>644</v>
      </c>
      <c r="O33">
        <v>0</v>
      </c>
      <c r="U33" t="s">
        <v>81</v>
      </c>
    </row>
    <row r="34" spans="1:21" x14ac:dyDescent="0.25">
      <c r="A34" s="33">
        <v>33</v>
      </c>
      <c r="B34" s="24">
        <v>44200</v>
      </c>
      <c r="C34" t="s">
        <v>181</v>
      </c>
      <c r="D34" t="s">
        <v>41</v>
      </c>
      <c r="E34">
        <v>2000706490</v>
      </c>
      <c r="F34">
        <v>490</v>
      </c>
      <c r="G34">
        <v>300</v>
      </c>
      <c r="H34">
        <v>0</v>
      </c>
      <c r="I34" t="s">
        <v>194</v>
      </c>
      <c r="J34" t="s">
        <v>203</v>
      </c>
      <c r="K34" t="s">
        <v>638</v>
      </c>
      <c r="O34">
        <v>0</v>
      </c>
      <c r="U34" t="s">
        <v>81</v>
      </c>
    </row>
    <row r="35" spans="1:21" x14ac:dyDescent="0.25">
      <c r="A35" s="33">
        <v>34</v>
      </c>
      <c r="B35" s="24">
        <v>44200</v>
      </c>
      <c r="C35" t="s">
        <v>181</v>
      </c>
      <c r="D35" t="s">
        <v>41</v>
      </c>
      <c r="E35">
        <v>2000705992</v>
      </c>
      <c r="F35">
        <v>2800</v>
      </c>
      <c r="G35">
        <v>80</v>
      </c>
      <c r="H35">
        <v>0</v>
      </c>
      <c r="I35" t="s">
        <v>194</v>
      </c>
      <c r="J35" t="s">
        <v>174</v>
      </c>
      <c r="K35" t="s">
        <v>644</v>
      </c>
      <c r="O35">
        <v>0</v>
      </c>
      <c r="U35" t="s">
        <v>81</v>
      </c>
    </row>
    <row r="36" spans="1:21" x14ac:dyDescent="0.25">
      <c r="A36" s="33">
        <v>35</v>
      </c>
      <c r="B36" s="24">
        <v>44200</v>
      </c>
      <c r="C36" t="s">
        <v>181</v>
      </c>
      <c r="D36" t="s">
        <v>41</v>
      </c>
      <c r="E36">
        <v>2000705700</v>
      </c>
      <c r="F36">
        <v>1790</v>
      </c>
      <c r="G36">
        <v>20</v>
      </c>
      <c r="H36">
        <v>0</v>
      </c>
      <c r="I36" t="s">
        <v>168</v>
      </c>
      <c r="J36" t="s">
        <v>169</v>
      </c>
      <c r="K36" t="s">
        <v>663</v>
      </c>
      <c r="O36">
        <v>0</v>
      </c>
      <c r="U36" t="s">
        <v>81</v>
      </c>
    </row>
    <row r="37" spans="1:21" x14ac:dyDescent="0.25">
      <c r="A37" s="33">
        <v>36</v>
      </c>
      <c r="B37" s="24">
        <v>44200</v>
      </c>
      <c r="C37" t="s">
        <v>181</v>
      </c>
      <c r="D37" t="s">
        <v>51</v>
      </c>
      <c r="E37">
        <v>2000705151</v>
      </c>
      <c r="F37">
        <v>729</v>
      </c>
      <c r="G37">
        <v>150</v>
      </c>
      <c r="H37">
        <v>0</v>
      </c>
      <c r="I37" t="s">
        <v>168</v>
      </c>
      <c r="J37" t="s">
        <v>667</v>
      </c>
      <c r="K37" t="s">
        <v>668</v>
      </c>
      <c r="O37">
        <v>0</v>
      </c>
      <c r="U37" t="s">
        <v>81</v>
      </c>
    </row>
    <row r="38" spans="1:21" x14ac:dyDescent="0.25">
      <c r="A38" s="33">
        <v>37</v>
      </c>
      <c r="B38" s="24">
        <v>44200</v>
      </c>
      <c r="C38" t="s">
        <v>181</v>
      </c>
      <c r="D38" t="s">
        <v>51</v>
      </c>
      <c r="E38">
        <v>2000705150</v>
      </c>
      <c r="F38">
        <v>350</v>
      </c>
      <c r="G38">
        <v>10</v>
      </c>
      <c r="H38">
        <v>0</v>
      </c>
      <c r="I38" t="s">
        <v>168</v>
      </c>
      <c r="J38" t="s">
        <v>669</v>
      </c>
      <c r="K38" t="s">
        <v>670</v>
      </c>
      <c r="O38">
        <v>0</v>
      </c>
      <c r="U38" t="s">
        <v>81</v>
      </c>
    </row>
    <row r="39" spans="1:21" x14ac:dyDescent="0.25">
      <c r="A39" s="33">
        <v>38</v>
      </c>
      <c r="B39" s="24">
        <v>44200</v>
      </c>
      <c r="C39" t="s">
        <v>181</v>
      </c>
      <c r="D39" t="s">
        <v>51</v>
      </c>
      <c r="E39">
        <v>2000705153</v>
      </c>
      <c r="F39">
        <v>650</v>
      </c>
      <c r="G39">
        <v>35</v>
      </c>
      <c r="H39">
        <v>0</v>
      </c>
      <c r="I39" t="s">
        <v>168</v>
      </c>
      <c r="J39" t="s">
        <v>667</v>
      </c>
      <c r="K39" t="s">
        <v>671</v>
      </c>
      <c r="O39">
        <v>0</v>
      </c>
      <c r="U39" t="s">
        <v>81</v>
      </c>
    </row>
    <row r="40" spans="1:21" x14ac:dyDescent="0.25">
      <c r="A40" s="33">
        <v>39</v>
      </c>
      <c r="B40" s="24">
        <v>44200</v>
      </c>
      <c r="C40" t="s">
        <v>181</v>
      </c>
      <c r="D40" t="s">
        <v>51</v>
      </c>
      <c r="E40">
        <v>2000705152</v>
      </c>
      <c r="F40">
        <v>1000</v>
      </c>
      <c r="G40">
        <v>110</v>
      </c>
      <c r="H40">
        <v>0</v>
      </c>
      <c r="I40" t="s">
        <v>168</v>
      </c>
      <c r="J40" t="s">
        <v>667</v>
      </c>
      <c r="K40" t="s">
        <v>672</v>
      </c>
      <c r="O40">
        <v>0</v>
      </c>
      <c r="U40" t="s">
        <v>81</v>
      </c>
    </row>
    <row r="41" spans="1:21" x14ac:dyDescent="0.25">
      <c r="A41" s="33">
        <v>40</v>
      </c>
      <c r="B41" s="24">
        <v>44200</v>
      </c>
      <c r="C41" t="s">
        <v>181</v>
      </c>
      <c r="D41" t="s">
        <v>51</v>
      </c>
      <c r="E41">
        <v>2000705148</v>
      </c>
      <c r="F41">
        <v>500</v>
      </c>
      <c r="G41">
        <v>80</v>
      </c>
      <c r="H41">
        <v>0</v>
      </c>
      <c r="I41" t="s">
        <v>168</v>
      </c>
      <c r="J41" t="s">
        <v>673</v>
      </c>
      <c r="K41" t="s">
        <v>674</v>
      </c>
      <c r="O41">
        <v>0</v>
      </c>
      <c r="U41" t="s">
        <v>81</v>
      </c>
    </row>
    <row r="42" spans="1:21" x14ac:dyDescent="0.25">
      <c r="A42" s="33">
        <v>41</v>
      </c>
      <c r="B42" s="24">
        <v>44200</v>
      </c>
      <c r="C42" t="s">
        <v>181</v>
      </c>
      <c r="D42" t="s">
        <v>51</v>
      </c>
      <c r="E42">
        <v>2000705144</v>
      </c>
      <c r="F42">
        <v>10</v>
      </c>
      <c r="G42">
        <v>10</v>
      </c>
      <c r="H42">
        <v>0</v>
      </c>
      <c r="I42" t="s">
        <v>168</v>
      </c>
      <c r="J42" t="s">
        <v>669</v>
      </c>
      <c r="K42" t="s">
        <v>675</v>
      </c>
      <c r="O42">
        <v>0</v>
      </c>
      <c r="U42" t="s">
        <v>81</v>
      </c>
    </row>
    <row r="43" spans="1:21" x14ac:dyDescent="0.25">
      <c r="A43" s="33">
        <v>42</v>
      </c>
      <c r="B43" s="24">
        <v>44200</v>
      </c>
      <c r="C43" t="s">
        <v>181</v>
      </c>
      <c r="D43" t="s">
        <v>51</v>
      </c>
      <c r="E43">
        <v>2000704657</v>
      </c>
      <c r="F43">
        <v>400</v>
      </c>
      <c r="G43">
        <v>10</v>
      </c>
      <c r="H43">
        <v>0</v>
      </c>
      <c r="I43" t="s">
        <v>168</v>
      </c>
      <c r="J43" t="s">
        <v>676</v>
      </c>
      <c r="K43" t="s">
        <v>677</v>
      </c>
      <c r="O43">
        <v>0</v>
      </c>
      <c r="U43" t="s">
        <v>81</v>
      </c>
    </row>
    <row r="44" spans="1:21" x14ac:dyDescent="0.25">
      <c r="A44" s="33">
        <v>43</v>
      </c>
      <c r="B44" s="24">
        <v>44200</v>
      </c>
      <c r="C44" t="s">
        <v>181</v>
      </c>
      <c r="D44" t="s">
        <v>51</v>
      </c>
      <c r="E44">
        <v>2000706950</v>
      </c>
      <c r="F44">
        <v>10</v>
      </c>
      <c r="G44">
        <v>8</v>
      </c>
      <c r="H44">
        <v>0</v>
      </c>
      <c r="I44" t="s">
        <v>168</v>
      </c>
      <c r="J44" t="s">
        <v>676</v>
      </c>
      <c r="K44" t="s">
        <v>677</v>
      </c>
      <c r="O44">
        <v>0</v>
      </c>
      <c r="U44" t="s">
        <v>81</v>
      </c>
    </row>
    <row r="45" spans="1:21" x14ac:dyDescent="0.25">
      <c r="A45" s="33">
        <v>44</v>
      </c>
      <c r="B45" s="24">
        <v>44200</v>
      </c>
      <c r="C45" t="s">
        <v>181</v>
      </c>
      <c r="D45" t="s">
        <v>51</v>
      </c>
      <c r="E45">
        <v>2000704736</v>
      </c>
      <c r="F45">
        <v>424</v>
      </c>
      <c r="G45">
        <v>424</v>
      </c>
      <c r="H45">
        <v>0</v>
      </c>
      <c r="I45" t="s">
        <v>168</v>
      </c>
      <c r="J45" t="s">
        <v>678</v>
      </c>
      <c r="K45" t="s">
        <v>679</v>
      </c>
      <c r="O45">
        <v>0</v>
      </c>
      <c r="U45" t="s">
        <v>81</v>
      </c>
    </row>
    <row r="46" spans="1:21" x14ac:dyDescent="0.25">
      <c r="A46" s="33">
        <v>45</v>
      </c>
      <c r="B46" s="24">
        <v>44201</v>
      </c>
      <c r="C46" t="s">
        <v>39</v>
      </c>
      <c r="D46" t="s">
        <v>41</v>
      </c>
      <c r="E46">
        <v>2000705735</v>
      </c>
      <c r="F46">
        <v>2160</v>
      </c>
      <c r="G46">
        <v>150</v>
      </c>
      <c r="H46">
        <v>0</v>
      </c>
      <c r="I46" t="s">
        <v>680</v>
      </c>
      <c r="J46" t="s">
        <v>203</v>
      </c>
      <c r="K46" t="s">
        <v>640</v>
      </c>
      <c r="O46">
        <v>0</v>
      </c>
      <c r="U46" t="s">
        <v>81</v>
      </c>
    </row>
    <row r="47" spans="1:21" x14ac:dyDescent="0.25">
      <c r="A47" s="33">
        <v>46</v>
      </c>
      <c r="B47" s="24">
        <v>44201</v>
      </c>
      <c r="C47" t="s">
        <v>39</v>
      </c>
      <c r="D47" t="s">
        <v>41</v>
      </c>
      <c r="E47">
        <v>2000706152</v>
      </c>
      <c r="F47">
        <v>7830</v>
      </c>
      <c r="G47">
        <v>300</v>
      </c>
      <c r="H47">
        <v>0</v>
      </c>
      <c r="I47" t="s">
        <v>680</v>
      </c>
      <c r="J47" t="s">
        <v>200</v>
      </c>
      <c r="K47" t="s">
        <v>681</v>
      </c>
      <c r="O47">
        <v>0</v>
      </c>
      <c r="U47" t="s">
        <v>81</v>
      </c>
    </row>
    <row r="48" spans="1:21" x14ac:dyDescent="0.25">
      <c r="A48" s="33">
        <v>47</v>
      </c>
      <c r="B48" s="24">
        <v>44201</v>
      </c>
      <c r="C48" t="s">
        <v>39</v>
      </c>
      <c r="D48" t="s">
        <v>41</v>
      </c>
      <c r="E48">
        <v>2000706771</v>
      </c>
      <c r="F48">
        <v>1000</v>
      </c>
      <c r="G48">
        <v>200</v>
      </c>
      <c r="H48">
        <v>0</v>
      </c>
      <c r="I48" t="s">
        <v>680</v>
      </c>
      <c r="J48" t="s">
        <v>196</v>
      </c>
      <c r="K48" t="s">
        <v>682</v>
      </c>
      <c r="O48">
        <v>0</v>
      </c>
      <c r="U48" t="s">
        <v>81</v>
      </c>
    </row>
    <row r="49" spans="1:21" x14ac:dyDescent="0.25">
      <c r="A49" s="33">
        <v>48</v>
      </c>
      <c r="B49" s="24">
        <v>44201</v>
      </c>
      <c r="C49" t="s">
        <v>39</v>
      </c>
      <c r="D49" t="s">
        <v>41</v>
      </c>
      <c r="E49">
        <v>2000705726</v>
      </c>
      <c r="F49">
        <v>2000</v>
      </c>
      <c r="G49">
        <v>200</v>
      </c>
      <c r="H49">
        <v>0</v>
      </c>
      <c r="I49" t="s">
        <v>680</v>
      </c>
      <c r="J49" t="s">
        <v>193</v>
      </c>
      <c r="K49" t="s">
        <v>176</v>
      </c>
      <c r="O49">
        <v>0</v>
      </c>
      <c r="U49" t="s">
        <v>81</v>
      </c>
    </row>
    <row r="50" spans="1:21" x14ac:dyDescent="0.25">
      <c r="A50" s="33">
        <v>49</v>
      </c>
      <c r="B50" s="24">
        <v>44201</v>
      </c>
      <c r="C50" t="s">
        <v>39</v>
      </c>
      <c r="D50" t="s">
        <v>41</v>
      </c>
      <c r="E50">
        <v>2000705727</v>
      </c>
      <c r="F50">
        <v>2000</v>
      </c>
      <c r="G50">
        <v>300</v>
      </c>
      <c r="H50">
        <v>0</v>
      </c>
      <c r="I50" t="s">
        <v>680</v>
      </c>
      <c r="J50" t="s">
        <v>193</v>
      </c>
      <c r="K50" t="s">
        <v>683</v>
      </c>
      <c r="O50">
        <v>0</v>
      </c>
      <c r="U50" t="s">
        <v>81</v>
      </c>
    </row>
    <row r="51" spans="1:21" x14ac:dyDescent="0.25">
      <c r="A51" s="33">
        <v>50</v>
      </c>
      <c r="B51" s="24">
        <v>44201</v>
      </c>
      <c r="C51" t="s">
        <v>39</v>
      </c>
      <c r="D51" t="s">
        <v>41</v>
      </c>
      <c r="E51">
        <v>2000705368</v>
      </c>
      <c r="F51">
        <v>4239</v>
      </c>
      <c r="G51">
        <v>120</v>
      </c>
      <c r="H51">
        <v>0</v>
      </c>
      <c r="I51" t="s">
        <v>680</v>
      </c>
      <c r="J51" t="s">
        <v>169</v>
      </c>
      <c r="K51" t="s">
        <v>652</v>
      </c>
      <c r="O51">
        <v>0</v>
      </c>
      <c r="U51" t="s">
        <v>81</v>
      </c>
    </row>
    <row r="52" spans="1:21" x14ac:dyDescent="0.25">
      <c r="A52" s="33">
        <v>51</v>
      </c>
      <c r="B52" s="24">
        <v>44201</v>
      </c>
      <c r="C52" t="s">
        <v>39</v>
      </c>
      <c r="D52" t="s">
        <v>41</v>
      </c>
      <c r="E52">
        <v>2000706770</v>
      </c>
      <c r="F52">
        <v>1000</v>
      </c>
      <c r="G52">
        <v>300</v>
      </c>
      <c r="H52">
        <v>0</v>
      </c>
      <c r="I52" t="s">
        <v>680</v>
      </c>
      <c r="J52" t="s">
        <v>196</v>
      </c>
      <c r="K52" t="s">
        <v>684</v>
      </c>
      <c r="O52">
        <v>0</v>
      </c>
      <c r="U52" t="s">
        <v>81</v>
      </c>
    </row>
    <row r="53" spans="1:21" x14ac:dyDescent="0.25">
      <c r="A53" s="33">
        <v>52</v>
      </c>
      <c r="B53" s="24">
        <v>44201</v>
      </c>
      <c r="C53" t="s">
        <v>39</v>
      </c>
      <c r="D53" t="s">
        <v>41</v>
      </c>
      <c r="E53">
        <v>2000706772</v>
      </c>
      <c r="F53">
        <v>1000</v>
      </c>
      <c r="G53">
        <v>150</v>
      </c>
      <c r="H53">
        <v>0</v>
      </c>
      <c r="I53" t="s">
        <v>680</v>
      </c>
      <c r="J53" t="s">
        <v>196</v>
      </c>
      <c r="K53" t="s">
        <v>685</v>
      </c>
      <c r="O53">
        <v>0</v>
      </c>
      <c r="U53" t="s">
        <v>81</v>
      </c>
    </row>
    <row r="54" spans="1:21" x14ac:dyDescent="0.25">
      <c r="A54" s="33">
        <v>53</v>
      </c>
      <c r="B54" s="24">
        <v>44201</v>
      </c>
      <c r="C54" t="s">
        <v>39</v>
      </c>
      <c r="D54" t="s">
        <v>41</v>
      </c>
      <c r="E54">
        <v>2000706284</v>
      </c>
      <c r="F54">
        <v>2000</v>
      </c>
      <c r="G54">
        <v>200</v>
      </c>
      <c r="H54">
        <v>0</v>
      </c>
      <c r="I54" t="s">
        <v>680</v>
      </c>
      <c r="J54" t="s">
        <v>193</v>
      </c>
      <c r="K54" t="s">
        <v>686</v>
      </c>
      <c r="O54">
        <v>0</v>
      </c>
      <c r="U54" t="s">
        <v>81</v>
      </c>
    </row>
    <row r="55" spans="1:21" x14ac:dyDescent="0.25">
      <c r="A55" s="33">
        <v>54</v>
      </c>
      <c r="B55" s="24">
        <v>44201</v>
      </c>
      <c r="C55" t="s">
        <v>39</v>
      </c>
      <c r="D55" t="s">
        <v>41</v>
      </c>
      <c r="E55">
        <v>2000705993</v>
      </c>
      <c r="F55">
        <v>640</v>
      </c>
      <c r="G55">
        <v>10</v>
      </c>
      <c r="H55">
        <v>0</v>
      </c>
      <c r="I55" t="s">
        <v>184</v>
      </c>
      <c r="J55" t="s">
        <v>174</v>
      </c>
      <c r="K55" t="s">
        <v>662</v>
      </c>
      <c r="O55">
        <v>0</v>
      </c>
      <c r="U55" t="s">
        <v>81</v>
      </c>
    </row>
    <row r="56" spans="1:21" x14ac:dyDescent="0.25">
      <c r="A56" s="33">
        <v>55</v>
      </c>
      <c r="B56" s="24">
        <v>44201</v>
      </c>
      <c r="C56" t="s">
        <v>39</v>
      </c>
      <c r="D56" t="s">
        <v>41</v>
      </c>
      <c r="E56">
        <v>2000706490</v>
      </c>
      <c r="F56">
        <v>490</v>
      </c>
      <c r="G56">
        <v>190</v>
      </c>
      <c r="H56">
        <v>0</v>
      </c>
      <c r="I56" t="s">
        <v>184</v>
      </c>
      <c r="J56" t="s">
        <v>203</v>
      </c>
      <c r="K56" t="s">
        <v>638</v>
      </c>
      <c r="O56">
        <v>0</v>
      </c>
      <c r="U56" t="s">
        <v>81</v>
      </c>
    </row>
    <row r="57" spans="1:21" x14ac:dyDescent="0.25">
      <c r="A57" s="33">
        <v>56</v>
      </c>
      <c r="B57" s="24">
        <v>44201</v>
      </c>
      <c r="C57" t="s">
        <v>39</v>
      </c>
      <c r="D57" t="s">
        <v>41</v>
      </c>
      <c r="E57">
        <v>2000706492</v>
      </c>
      <c r="F57">
        <v>1050</v>
      </c>
      <c r="G57">
        <v>360</v>
      </c>
      <c r="H57">
        <v>0</v>
      </c>
      <c r="I57" t="s">
        <v>184</v>
      </c>
      <c r="J57" t="s">
        <v>203</v>
      </c>
      <c r="K57" t="s">
        <v>638</v>
      </c>
      <c r="O57">
        <v>0</v>
      </c>
      <c r="U57" t="s">
        <v>81</v>
      </c>
    </row>
    <row r="58" spans="1:21" x14ac:dyDescent="0.25">
      <c r="A58" s="33">
        <v>57</v>
      </c>
      <c r="B58" s="24">
        <v>44201</v>
      </c>
      <c r="C58" t="s">
        <v>39</v>
      </c>
      <c r="D58" t="s">
        <v>41</v>
      </c>
      <c r="E58">
        <v>2000705699</v>
      </c>
      <c r="F58">
        <v>3900</v>
      </c>
      <c r="G58">
        <v>240</v>
      </c>
      <c r="H58">
        <v>0</v>
      </c>
      <c r="I58" t="s">
        <v>185</v>
      </c>
      <c r="J58" t="s">
        <v>687</v>
      </c>
      <c r="K58" t="s">
        <v>688</v>
      </c>
      <c r="O58">
        <v>0</v>
      </c>
      <c r="U58" t="s">
        <v>81</v>
      </c>
    </row>
    <row r="59" spans="1:21" x14ac:dyDescent="0.25">
      <c r="A59" s="33">
        <v>58</v>
      </c>
      <c r="B59" s="24">
        <v>44201</v>
      </c>
      <c r="C59" t="s">
        <v>39</v>
      </c>
      <c r="D59" t="s">
        <v>41</v>
      </c>
      <c r="E59">
        <v>2000706892</v>
      </c>
      <c r="F59">
        <v>340</v>
      </c>
      <c r="G59">
        <v>80</v>
      </c>
      <c r="H59">
        <v>0</v>
      </c>
      <c r="I59" t="s">
        <v>185</v>
      </c>
      <c r="J59" t="s">
        <v>196</v>
      </c>
      <c r="K59" t="s">
        <v>689</v>
      </c>
      <c r="O59">
        <v>0</v>
      </c>
      <c r="U59" t="s">
        <v>81</v>
      </c>
    </row>
    <row r="60" spans="1:21" x14ac:dyDescent="0.25">
      <c r="A60" s="33">
        <v>59</v>
      </c>
      <c r="B60" s="24">
        <v>44201</v>
      </c>
      <c r="C60" t="s">
        <v>39</v>
      </c>
      <c r="D60" t="s">
        <v>41</v>
      </c>
      <c r="E60">
        <v>2000706285</v>
      </c>
      <c r="F60">
        <v>2000</v>
      </c>
      <c r="G60">
        <v>40</v>
      </c>
      <c r="H60">
        <v>0</v>
      </c>
      <c r="I60" t="s">
        <v>185</v>
      </c>
      <c r="J60" t="s">
        <v>193</v>
      </c>
      <c r="K60" t="s">
        <v>647</v>
      </c>
      <c r="O60">
        <v>0</v>
      </c>
      <c r="U60" t="s">
        <v>81</v>
      </c>
    </row>
    <row r="61" spans="1:21" x14ac:dyDescent="0.25">
      <c r="A61" s="33">
        <v>60</v>
      </c>
      <c r="B61" s="24">
        <v>44201</v>
      </c>
      <c r="C61" t="s">
        <v>39</v>
      </c>
      <c r="D61" t="s">
        <v>41</v>
      </c>
      <c r="E61">
        <v>2000705823</v>
      </c>
      <c r="F61">
        <v>2000</v>
      </c>
      <c r="G61">
        <v>60</v>
      </c>
      <c r="H61">
        <v>0</v>
      </c>
      <c r="I61" t="s">
        <v>185</v>
      </c>
      <c r="J61" t="s">
        <v>169</v>
      </c>
      <c r="K61" t="s">
        <v>179</v>
      </c>
      <c r="O61">
        <v>0</v>
      </c>
      <c r="U61" t="s">
        <v>81</v>
      </c>
    </row>
    <row r="62" spans="1:21" x14ac:dyDescent="0.25">
      <c r="A62" s="33">
        <v>61</v>
      </c>
      <c r="B62" s="24">
        <v>44201</v>
      </c>
      <c r="C62" t="s">
        <v>39</v>
      </c>
      <c r="D62" t="s">
        <v>41</v>
      </c>
      <c r="E62">
        <v>2000706923</v>
      </c>
      <c r="F62">
        <v>680</v>
      </c>
      <c r="G62">
        <v>80</v>
      </c>
      <c r="H62">
        <v>0</v>
      </c>
      <c r="I62" t="s">
        <v>185</v>
      </c>
      <c r="J62" t="s">
        <v>645</v>
      </c>
      <c r="K62" t="s">
        <v>690</v>
      </c>
      <c r="O62">
        <v>0</v>
      </c>
      <c r="U62" t="s">
        <v>81</v>
      </c>
    </row>
    <row r="63" spans="1:21" x14ac:dyDescent="0.25">
      <c r="A63" s="33">
        <v>62</v>
      </c>
      <c r="B63" s="24">
        <v>44201</v>
      </c>
      <c r="C63" t="s">
        <v>39</v>
      </c>
      <c r="D63" t="s">
        <v>41</v>
      </c>
      <c r="E63">
        <v>2000706022</v>
      </c>
      <c r="F63">
        <v>1672</v>
      </c>
      <c r="G63">
        <v>110</v>
      </c>
      <c r="H63">
        <v>0</v>
      </c>
      <c r="I63" t="s">
        <v>185</v>
      </c>
      <c r="J63" t="s">
        <v>172</v>
      </c>
      <c r="K63" t="s">
        <v>692</v>
      </c>
      <c r="O63">
        <v>0</v>
      </c>
      <c r="U63" t="s">
        <v>81</v>
      </c>
    </row>
    <row r="64" spans="1:21" x14ac:dyDescent="0.25">
      <c r="A64" s="33">
        <v>63</v>
      </c>
      <c r="B64" s="24">
        <v>44201</v>
      </c>
      <c r="C64" t="s">
        <v>39</v>
      </c>
      <c r="D64" t="s">
        <v>41</v>
      </c>
      <c r="E64">
        <v>2000706773</v>
      </c>
      <c r="F64">
        <v>1000</v>
      </c>
      <c r="G64">
        <v>40</v>
      </c>
      <c r="H64">
        <v>0</v>
      </c>
      <c r="I64" t="s">
        <v>693</v>
      </c>
      <c r="J64" t="s">
        <v>196</v>
      </c>
      <c r="K64" t="s">
        <v>648</v>
      </c>
      <c r="O64">
        <v>0</v>
      </c>
      <c r="U64" t="s">
        <v>81</v>
      </c>
    </row>
    <row r="65" spans="1:21" x14ac:dyDescent="0.25">
      <c r="A65" s="33">
        <v>64</v>
      </c>
      <c r="B65" s="24">
        <v>44201</v>
      </c>
      <c r="C65" t="s">
        <v>39</v>
      </c>
      <c r="D65" t="s">
        <v>41</v>
      </c>
      <c r="E65">
        <v>2000706021</v>
      </c>
      <c r="F65">
        <v>2100</v>
      </c>
      <c r="G65">
        <v>280</v>
      </c>
      <c r="H65">
        <v>0</v>
      </c>
      <c r="I65" t="s">
        <v>693</v>
      </c>
      <c r="J65" t="s">
        <v>172</v>
      </c>
      <c r="K65" t="s">
        <v>691</v>
      </c>
      <c r="O65">
        <v>0</v>
      </c>
      <c r="U65" t="s">
        <v>81</v>
      </c>
    </row>
    <row r="66" spans="1:21" x14ac:dyDescent="0.25">
      <c r="A66" s="33">
        <v>65</v>
      </c>
      <c r="B66" s="24">
        <v>44201</v>
      </c>
      <c r="C66" t="s">
        <v>39</v>
      </c>
      <c r="D66" t="s">
        <v>41</v>
      </c>
      <c r="E66">
        <v>2000707325</v>
      </c>
      <c r="F66">
        <v>1120</v>
      </c>
      <c r="G66">
        <v>80</v>
      </c>
      <c r="H66">
        <v>0</v>
      </c>
      <c r="I66" t="s">
        <v>693</v>
      </c>
      <c r="J66" t="s">
        <v>645</v>
      </c>
      <c r="K66" t="s">
        <v>694</v>
      </c>
      <c r="O66">
        <v>0</v>
      </c>
      <c r="U66" t="s">
        <v>81</v>
      </c>
    </row>
    <row r="67" spans="1:21" x14ac:dyDescent="0.25">
      <c r="A67" s="33">
        <v>66</v>
      </c>
      <c r="B67" s="24">
        <v>44201</v>
      </c>
      <c r="C67" t="s">
        <v>39</v>
      </c>
      <c r="D67" t="s">
        <v>41</v>
      </c>
      <c r="E67">
        <v>2000705735</v>
      </c>
      <c r="F67">
        <v>2160</v>
      </c>
      <c r="G67">
        <v>120</v>
      </c>
      <c r="H67">
        <v>0</v>
      </c>
      <c r="I67" t="s">
        <v>183</v>
      </c>
      <c r="J67" t="s">
        <v>203</v>
      </c>
      <c r="K67" t="s">
        <v>640</v>
      </c>
      <c r="O67">
        <v>0</v>
      </c>
      <c r="U67" t="s">
        <v>81</v>
      </c>
    </row>
    <row r="68" spans="1:21" x14ac:dyDescent="0.25">
      <c r="A68" s="33">
        <v>67</v>
      </c>
      <c r="B68" s="24">
        <v>44201</v>
      </c>
      <c r="C68" t="s">
        <v>39</v>
      </c>
      <c r="D68" t="s">
        <v>41</v>
      </c>
      <c r="E68">
        <v>2000705993</v>
      </c>
      <c r="F68">
        <v>640</v>
      </c>
      <c r="G68">
        <v>120</v>
      </c>
      <c r="H68">
        <v>0</v>
      </c>
      <c r="I68" t="s">
        <v>183</v>
      </c>
      <c r="J68" t="s">
        <v>174</v>
      </c>
      <c r="K68" t="s">
        <v>662</v>
      </c>
      <c r="O68">
        <v>0</v>
      </c>
      <c r="U68" t="s">
        <v>81</v>
      </c>
    </row>
    <row r="69" spans="1:21" x14ac:dyDescent="0.25">
      <c r="A69" s="33">
        <v>68</v>
      </c>
      <c r="B69" s="24">
        <v>44201</v>
      </c>
      <c r="C69" t="s">
        <v>39</v>
      </c>
      <c r="D69" t="s">
        <v>41</v>
      </c>
      <c r="E69">
        <v>2000706276</v>
      </c>
      <c r="F69">
        <v>520</v>
      </c>
      <c r="G69">
        <v>464</v>
      </c>
      <c r="H69">
        <v>0</v>
      </c>
      <c r="I69" t="s">
        <v>183</v>
      </c>
      <c r="J69" t="s">
        <v>174</v>
      </c>
      <c r="K69" t="s">
        <v>177</v>
      </c>
      <c r="O69">
        <v>0</v>
      </c>
      <c r="U69" t="s">
        <v>81</v>
      </c>
    </row>
    <row r="70" spans="1:21" x14ac:dyDescent="0.25">
      <c r="A70" s="33">
        <v>69</v>
      </c>
      <c r="B70" s="24">
        <v>44201</v>
      </c>
      <c r="C70" t="s">
        <v>39</v>
      </c>
      <c r="D70" t="s">
        <v>41</v>
      </c>
      <c r="E70">
        <v>2000706277</v>
      </c>
      <c r="F70">
        <v>560</v>
      </c>
      <c r="G70">
        <v>40</v>
      </c>
      <c r="H70">
        <v>0</v>
      </c>
      <c r="I70" t="s">
        <v>183</v>
      </c>
      <c r="J70" t="s">
        <v>174</v>
      </c>
      <c r="K70" t="s">
        <v>695</v>
      </c>
      <c r="O70">
        <v>0</v>
      </c>
      <c r="U70" t="s">
        <v>81</v>
      </c>
    </row>
    <row r="71" spans="1:21" x14ac:dyDescent="0.25">
      <c r="A71" s="33">
        <v>70</v>
      </c>
      <c r="B71" s="24">
        <v>44201</v>
      </c>
      <c r="C71" t="s">
        <v>39</v>
      </c>
      <c r="D71" t="s">
        <v>41</v>
      </c>
      <c r="E71">
        <v>2000706583</v>
      </c>
      <c r="F71">
        <v>3050</v>
      </c>
      <c r="G71">
        <v>45</v>
      </c>
      <c r="H71">
        <v>0</v>
      </c>
      <c r="I71" t="s">
        <v>696</v>
      </c>
      <c r="J71" t="s">
        <v>170</v>
      </c>
      <c r="K71" t="s">
        <v>697</v>
      </c>
      <c r="O71">
        <v>0</v>
      </c>
      <c r="U71" t="s">
        <v>81</v>
      </c>
    </row>
    <row r="72" spans="1:21" x14ac:dyDescent="0.25">
      <c r="A72" s="33">
        <v>71</v>
      </c>
      <c r="B72" s="24">
        <v>44201</v>
      </c>
      <c r="C72" t="s">
        <v>39</v>
      </c>
      <c r="D72" t="s">
        <v>41</v>
      </c>
      <c r="E72">
        <v>2000705993</v>
      </c>
      <c r="F72">
        <v>640</v>
      </c>
      <c r="G72">
        <v>280</v>
      </c>
      <c r="H72">
        <v>0</v>
      </c>
      <c r="I72" t="s">
        <v>696</v>
      </c>
      <c r="J72" t="s">
        <v>174</v>
      </c>
      <c r="K72" t="s">
        <v>662</v>
      </c>
      <c r="O72">
        <v>0</v>
      </c>
      <c r="U72" t="s">
        <v>81</v>
      </c>
    </row>
    <row r="73" spans="1:21" x14ac:dyDescent="0.25">
      <c r="A73" s="33">
        <v>72</v>
      </c>
      <c r="B73" s="24">
        <v>44201</v>
      </c>
      <c r="C73" t="s">
        <v>39</v>
      </c>
      <c r="D73" t="s">
        <v>41</v>
      </c>
      <c r="E73">
        <v>2000705323</v>
      </c>
      <c r="F73">
        <v>2240</v>
      </c>
      <c r="G73">
        <v>2</v>
      </c>
      <c r="H73">
        <v>0</v>
      </c>
      <c r="I73" t="s">
        <v>696</v>
      </c>
      <c r="J73" t="s">
        <v>174</v>
      </c>
      <c r="K73" t="s">
        <v>662</v>
      </c>
      <c r="O73">
        <v>0</v>
      </c>
      <c r="U73" t="s">
        <v>81</v>
      </c>
    </row>
    <row r="74" spans="1:21" x14ac:dyDescent="0.25">
      <c r="A74" s="33">
        <v>73</v>
      </c>
      <c r="B74" s="24">
        <v>44201</v>
      </c>
      <c r="C74" t="s">
        <v>39</v>
      </c>
      <c r="D74" t="s">
        <v>41</v>
      </c>
      <c r="E74">
        <v>2000703335</v>
      </c>
      <c r="F74">
        <v>3690</v>
      </c>
      <c r="G74">
        <v>8</v>
      </c>
      <c r="H74">
        <v>0</v>
      </c>
      <c r="I74" t="s">
        <v>696</v>
      </c>
      <c r="J74" t="s">
        <v>698</v>
      </c>
      <c r="K74" t="s">
        <v>699</v>
      </c>
      <c r="O74">
        <v>0</v>
      </c>
      <c r="U74" t="s">
        <v>81</v>
      </c>
    </row>
    <row r="75" spans="1:21" x14ac:dyDescent="0.25">
      <c r="A75" s="33">
        <v>74</v>
      </c>
      <c r="B75" s="24">
        <v>44201</v>
      </c>
      <c r="C75" t="s">
        <v>39</v>
      </c>
      <c r="D75" t="s">
        <v>41</v>
      </c>
      <c r="E75">
        <v>2000705683</v>
      </c>
      <c r="F75">
        <v>270</v>
      </c>
      <c r="G75">
        <v>45</v>
      </c>
      <c r="H75">
        <v>0</v>
      </c>
      <c r="I75" t="s">
        <v>696</v>
      </c>
      <c r="J75" t="s">
        <v>698</v>
      </c>
      <c r="K75" t="s">
        <v>699</v>
      </c>
      <c r="O75">
        <v>0</v>
      </c>
      <c r="U75" t="s">
        <v>81</v>
      </c>
    </row>
    <row r="76" spans="1:21" x14ac:dyDescent="0.25">
      <c r="A76" s="33">
        <v>75</v>
      </c>
      <c r="B76" s="24">
        <v>44201</v>
      </c>
      <c r="C76" t="s">
        <v>39</v>
      </c>
      <c r="D76" t="s">
        <v>41</v>
      </c>
      <c r="E76">
        <v>2000705330</v>
      </c>
      <c r="F76">
        <v>540</v>
      </c>
      <c r="G76">
        <v>4</v>
      </c>
      <c r="H76">
        <v>0</v>
      </c>
      <c r="I76" t="s">
        <v>696</v>
      </c>
      <c r="J76" t="s">
        <v>698</v>
      </c>
      <c r="K76" t="s">
        <v>700</v>
      </c>
      <c r="O76">
        <v>0</v>
      </c>
      <c r="U76" t="s">
        <v>81</v>
      </c>
    </row>
    <row r="77" spans="1:21" x14ac:dyDescent="0.25">
      <c r="A77" s="33">
        <v>76</v>
      </c>
      <c r="B77" s="24">
        <v>44201</v>
      </c>
      <c r="C77" t="s">
        <v>39</v>
      </c>
      <c r="D77" t="s">
        <v>41</v>
      </c>
      <c r="E77">
        <v>2000706275</v>
      </c>
      <c r="F77">
        <v>688</v>
      </c>
      <c r="G77">
        <v>40</v>
      </c>
      <c r="H77">
        <v>0</v>
      </c>
      <c r="I77" t="s">
        <v>696</v>
      </c>
      <c r="J77" t="s">
        <v>174</v>
      </c>
      <c r="K77" t="s">
        <v>187</v>
      </c>
      <c r="O77">
        <v>0</v>
      </c>
      <c r="U77" t="s">
        <v>81</v>
      </c>
    </row>
    <row r="78" spans="1:21" x14ac:dyDescent="0.25">
      <c r="A78" s="33">
        <v>77</v>
      </c>
      <c r="B78" s="24">
        <v>44201</v>
      </c>
      <c r="C78" t="s">
        <v>39</v>
      </c>
      <c r="D78" t="s">
        <v>41</v>
      </c>
      <c r="E78">
        <v>2000705735</v>
      </c>
      <c r="F78">
        <v>2160</v>
      </c>
      <c r="G78">
        <v>60</v>
      </c>
      <c r="H78">
        <v>0</v>
      </c>
      <c r="I78" t="s">
        <v>198</v>
      </c>
      <c r="J78" t="s">
        <v>203</v>
      </c>
      <c r="K78" t="s">
        <v>640</v>
      </c>
      <c r="O78">
        <v>0</v>
      </c>
      <c r="U78" t="s">
        <v>81</v>
      </c>
    </row>
    <row r="79" spans="1:21" x14ac:dyDescent="0.25">
      <c r="A79" s="33">
        <v>78</v>
      </c>
      <c r="B79" s="24">
        <v>44201</v>
      </c>
      <c r="C79" t="s">
        <v>39</v>
      </c>
      <c r="D79" t="s">
        <v>41</v>
      </c>
      <c r="E79">
        <v>2000706277</v>
      </c>
      <c r="F79">
        <v>560</v>
      </c>
      <c r="G79">
        <v>60</v>
      </c>
      <c r="H79">
        <v>0</v>
      </c>
      <c r="I79" t="s">
        <v>198</v>
      </c>
      <c r="J79" t="s">
        <v>174</v>
      </c>
      <c r="K79" t="s">
        <v>695</v>
      </c>
      <c r="O79">
        <v>0</v>
      </c>
      <c r="U79" t="s">
        <v>81</v>
      </c>
    </row>
    <row r="80" spans="1:21" x14ac:dyDescent="0.25">
      <c r="A80" s="33">
        <v>79</v>
      </c>
      <c r="B80" s="24">
        <v>44201</v>
      </c>
      <c r="C80" t="s">
        <v>39</v>
      </c>
      <c r="D80" t="s">
        <v>41</v>
      </c>
      <c r="E80">
        <v>2000705992</v>
      </c>
      <c r="F80">
        <v>2800</v>
      </c>
      <c r="G80">
        <v>159</v>
      </c>
      <c r="H80">
        <v>1</v>
      </c>
      <c r="I80" t="s">
        <v>198</v>
      </c>
      <c r="J80" t="s">
        <v>174</v>
      </c>
      <c r="K80" t="s">
        <v>644</v>
      </c>
      <c r="L80" t="s">
        <v>88</v>
      </c>
      <c r="N80" t="s">
        <v>701</v>
      </c>
      <c r="O80">
        <v>1</v>
      </c>
      <c r="P80" t="s">
        <v>702</v>
      </c>
      <c r="Q80" t="s">
        <v>703</v>
      </c>
      <c r="R80" t="s">
        <v>704</v>
      </c>
      <c r="S80" s="36">
        <v>0.39861111111111108</v>
      </c>
      <c r="U80" t="s">
        <v>81</v>
      </c>
    </row>
    <row r="81" spans="1:21" x14ac:dyDescent="0.25">
      <c r="A81" s="33">
        <v>80</v>
      </c>
      <c r="B81" s="24">
        <v>44201</v>
      </c>
      <c r="C81" t="s">
        <v>39</v>
      </c>
      <c r="D81" t="s">
        <v>41</v>
      </c>
      <c r="E81">
        <v>2000706276</v>
      </c>
      <c r="F81">
        <v>520</v>
      </c>
      <c r="G81">
        <v>72</v>
      </c>
      <c r="H81">
        <v>0</v>
      </c>
      <c r="I81" t="s">
        <v>198</v>
      </c>
      <c r="J81" t="s">
        <v>174</v>
      </c>
      <c r="K81" t="s">
        <v>177</v>
      </c>
      <c r="O81">
        <v>0</v>
      </c>
      <c r="U81" t="s">
        <v>81</v>
      </c>
    </row>
    <row r="82" spans="1:21" x14ac:dyDescent="0.25">
      <c r="A82" s="33">
        <v>81</v>
      </c>
      <c r="B82" s="24">
        <v>44201</v>
      </c>
      <c r="C82" t="s">
        <v>39</v>
      </c>
      <c r="D82" t="s">
        <v>41</v>
      </c>
      <c r="E82">
        <v>2000706644</v>
      </c>
      <c r="F82">
        <v>1200</v>
      </c>
      <c r="G82">
        <v>80</v>
      </c>
      <c r="H82">
        <v>0</v>
      </c>
      <c r="I82" t="s">
        <v>198</v>
      </c>
      <c r="J82" t="s">
        <v>687</v>
      </c>
      <c r="K82" t="s">
        <v>705</v>
      </c>
      <c r="O82">
        <v>0</v>
      </c>
      <c r="U82" t="s">
        <v>81</v>
      </c>
    </row>
    <row r="83" spans="1:21" x14ac:dyDescent="0.25">
      <c r="A83" s="33">
        <v>82</v>
      </c>
      <c r="B83" s="24">
        <v>44201</v>
      </c>
      <c r="C83" t="s">
        <v>39</v>
      </c>
      <c r="D83" t="s">
        <v>41</v>
      </c>
      <c r="E83">
        <v>2000706446</v>
      </c>
      <c r="F83">
        <v>1800</v>
      </c>
      <c r="G83">
        <v>60</v>
      </c>
      <c r="H83">
        <v>0</v>
      </c>
      <c r="I83" t="s">
        <v>198</v>
      </c>
      <c r="J83" t="s">
        <v>169</v>
      </c>
      <c r="K83" t="s">
        <v>663</v>
      </c>
      <c r="O83">
        <v>0</v>
      </c>
      <c r="U83" t="s">
        <v>81</v>
      </c>
    </row>
    <row r="84" spans="1:21" x14ac:dyDescent="0.25">
      <c r="A84" s="33">
        <v>83</v>
      </c>
      <c r="B84" s="24">
        <v>44201</v>
      </c>
      <c r="C84" t="s">
        <v>39</v>
      </c>
      <c r="D84" t="s">
        <v>41</v>
      </c>
      <c r="E84">
        <v>2000705819</v>
      </c>
      <c r="F84">
        <v>2640</v>
      </c>
      <c r="G84">
        <v>120</v>
      </c>
      <c r="H84">
        <v>0</v>
      </c>
      <c r="I84" t="s">
        <v>198</v>
      </c>
      <c r="J84" t="s">
        <v>655</v>
      </c>
      <c r="K84" t="s">
        <v>656</v>
      </c>
      <c r="O84">
        <v>0</v>
      </c>
      <c r="U84" t="s">
        <v>81</v>
      </c>
    </row>
    <row r="85" spans="1:21" x14ac:dyDescent="0.25">
      <c r="A85" s="33">
        <v>84</v>
      </c>
      <c r="B85" s="24">
        <v>44201</v>
      </c>
      <c r="C85" t="s">
        <v>39</v>
      </c>
      <c r="D85" t="s">
        <v>41</v>
      </c>
      <c r="E85">
        <v>2000705993</v>
      </c>
      <c r="F85">
        <v>640</v>
      </c>
      <c r="G85">
        <v>160</v>
      </c>
      <c r="H85">
        <v>0</v>
      </c>
      <c r="I85" t="s">
        <v>198</v>
      </c>
      <c r="J85" t="s">
        <v>174</v>
      </c>
      <c r="K85" t="s">
        <v>662</v>
      </c>
      <c r="O85">
        <v>0</v>
      </c>
      <c r="U85" t="s">
        <v>81</v>
      </c>
    </row>
    <row r="86" spans="1:21" x14ac:dyDescent="0.25">
      <c r="A86" s="33">
        <v>85</v>
      </c>
      <c r="B86" s="24">
        <v>44201</v>
      </c>
      <c r="C86" t="s">
        <v>39</v>
      </c>
      <c r="D86" t="s">
        <v>51</v>
      </c>
      <c r="E86">
        <v>2000705150</v>
      </c>
      <c r="F86">
        <v>350</v>
      </c>
      <c r="G86">
        <v>99</v>
      </c>
      <c r="H86">
        <v>0</v>
      </c>
      <c r="I86" t="s">
        <v>706</v>
      </c>
      <c r="J86" t="s">
        <v>669</v>
      </c>
      <c r="K86" t="s">
        <v>670</v>
      </c>
      <c r="O86">
        <v>0</v>
      </c>
      <c r="U86" t="s">
        <v>81</v>
      </c>
    </row>
    <row r="87" spans="1:21" x14ac:dyDescent="0.25">
      <c r="A87" s="33">
        <v>86</v>
      </c>
      <c r="B87" s="24">
        <v>44201</v>
      </c>
      <c r="C87" t="s">
        <v>39</v>
      </c>
      <c r="D87" t="s">
        <v>51</v>
      </c>
      <c r="E87">
        <v>2000705980</v>
      </c>
      <c r="F87">
        <v>600</v>
      </c>
      <c r="G87">
        <v>290</v>
      </c>
      <c r="H87">
        <v>0</v>
      </c>
      <c r="I87" t="s">
        <v>706</v>
      </c>
      <c r="J87" t="s">
        <v>669</v>
      </c>
      <c r="K87" t="s">
        <v>707</v>
      </c>
      <c r="O87">
        <v>0</v>
      </c>
      <c r="U87" t="s">
        <v>81</v>
      </c>
    </row>
    <row r="88" spans="1:21" x14ac:dyDescent="0.25">
      <c r="A88" s="33">
        <v>87</v>
      </c>
      <c r="B88" s="24">
        <v>44201</v>
      </c>
      <c r="C88" t="s">
        <v>39</v>
      </c>
      <c r="D88" t="s">
        <v>51</v>
      </c>
      <c r="E88">
        <v>2000706300</v>
      </c>
      <c r="F88">
        <v>1020</v>
      </c>
      <c r="G88">
        <v>90</v>
      </c>
      <c r="H88">
        <v>0</v>
      </c>
      <c r="I88" t="s">
        <v>706</v>
      </c>
      <c r="J88" t="s">
        <v>667</v>
      </c>
      <c r="K88" t="s">
        <v>668</v>
      </c>
      <c r="O88">
        <v>0</v>
      </c>
      <c r="U88" t="s">
        <v>81</v>
      </c>
    </row>
    <row r="89" spans="1:21" x14ac:dyDescent="0.25">
      <c r="A89" s="33">
        <v>88</v>
      </c>
      <c r="B89" s="24">
        <v>44201</v>
      </c>
      <c r="C89" t="s">
        <v>39</v>
      </c>
      <c r="D89" t="s">
        <v>51</v>
      </c>
      <c r="E89">
        <v>2000705994</v>
      </c>
      <c r="F89">
        <v>760</v>
      </c>
      <c r="G89">
        <v>310</v>
      </c>
      <c r="H89">
        <v>0</v>
      </c>
      <c r="I89" t="s">
        <v>706</v>
      </c>
      <c r="J89" t="s">
        <v>673</v>
      </c>
      <c r="K89" t="s">
        <v>708</v>
      </c>
      <c r="O89">
        <v>0</v>
      </c>
      <c r="U89" t="s">
        <v>81</v>
      </c>
    </row>
    <row r="90" spans="1:21" x14ac:dyDescent="0.25">
      <c r="A90" s="33">
        <v>89</v>
      </c>
      <c r="B90" s="24">
        <v>44201</v>
      </c>
      <c r="C90" t="s">
        <v>39</v>
      </c>
      <c r="D90" t="s">
        <v>51</v>
      </c>
      <c r="E90">
        <v>2000705983</v>
      </c>
      <c r="F90">
        <v>501</v>
      </c>
      <c r="G90">
        <v>96</v>
      </c>
      <c r="H90">
        <v>0</v>
      </c>
      <c r="I90" t="s">
        <v>706</v>
      </c>
      <c r="J90" t="s">
        <v>709</v>
      </c>
      <c r="K90" t="s">
        <v>710</v>
      </c>
      <c r="O90">
        <v>0</v>
      </c>
      <c r="U90" t="s">
        <v>81</v>
      </c>
    </row>
    <row r="91" spans="1:21" x14ac:dyDescent="0.25">
      <c r="A91" s="33">
        <v>90</v>
      </c>
      <c r="B91" s="24">
        <v>44201</v>
      </c>
      <c r="C91" t="s">
        <v>39</v>
      </c>
      <c r="D91" t="s">
        <v>51</v>
      </c>
      <c r="E91">
        <v>2000705544</v>
      </c>
      <c r="F91">
        <v>96</v>
      </c>
      <c r="G91">
        <v>96</v>
      </c>
      <c r="H91">
        <v>0</v>
      </c>
      <c r="I91" t="s">
        <v>706</v>
      </c>
      <c r="J91" t="s">
        <v>667</v>
      </c>
      <c r="K91" t="s">
        <v>711</v>
      </c>
      <c r="O91">
        <v>0</v>
      </c>
      <c r="U91" t="s">
        <v>81</v>
      </c>
    </row>
    <row r="92" spans="1:21" x14ac:dyDescent="0.25">
      <c r="A92" s="33">
        <v>91</v>
      </c>
      <c r="B92" s="24">
        <v>44201</v>
      </c>
      <c r="C92" t="s">
        <v>39</v>
      </c>
      <c r="D92" t="s">
        <v>51</v>
      </c>
      <c r="E92">
        <v>2000706307</v>
      </c>
      <c r="F92">
        <v>300</v>
      </c>
      <c r="G92">
        <v>100</v>
      </c>
      <c r="H92">
        <v>0</v>
      </c>
      <c r="I92" t="s">
        <v>706</v>
      </c>
      <c r="J92" t="s">
        <v>669</v>
      </c>
      <c r="K92" t="s">
        <v>712</v>
      </c>
      <c r="O92">
        <v>0</v>
      </c>
      <c r="U92" t="s">
        <v>81</v>
      </c>
    </row>
    <row r="93" spans="1:21" x14ac:dyDescent="0.25">
      <c r="A93" s="33">
        <v>92</v>
      </c>
      <c r="B93" s="24">
        <v>44201</v>
      </c>
      <c r="C93" t="s">
        <v>181</v>
      </c>
      <c r="D93" t="s">
        <v>41</v>
      </c>
      <c r="E93">
        <v>2000706277</v>
      </c>
      <c r="F93">
        <v>560</v>
      </c>
      <c r="G93">
        <v>144</v>
      </c>
      <c r="H93">
        <v>1</v>
      </c>
      <c r="I93" t="s">
        <v>180</v>
      </c>
      <c r="J93" t="s">
        <v>174</v>
      </c>
      <c r="K93" t="s">
        <v>695</v>
      </c>
      <c r="L93" t="s">
        <v>136</v>
      </c>
      <c r="N93" t="s">
        <v>713</v>
      </c>
      <c r="O93">
        <v>1</v>
      </c>
      <c r="P93" t="s">
        <v>714</v>
      </c>
      <c r="Q93" t="s">
        <v>715</v>
      </c>
      <c r="R93" t="s">
        <v>716</v>
      </c>
      <c r="S93" s="36">
        <v>7.6388888888888895E-2</v>
      </c>
      <c r="U93" t="s">
        <v>81</v>
      </c>
    </row>
    <row r="94" spans="1:21" x14ac:dyDescent="0.25">
      <c r="A94" s="33">
        <v>93</v>
      </c>
      <c r="B94" s="24">
        <v>44201</v>
      </c>
      <c r="C94" t="s">
        <v>181</v>
      </c>
      <c r="D94" t="s">
        <v>41</v>
      </c>
      <c r="E94">
        <v>2000706275</v>
      </c>
      <c r="F94">
        <v>688</v>
      </c>
      <c r="G94">
        <v>40</v>
      </c>
      <c r="H94">
        <v>0</v>
      </c>
      <c r="I94" t="s">
        <v>180</v>
      </c>
      <c r="J94" t="s">
        <v>174</v>
      </c>
      <c r="K94" t="s">
        <v>187</v>
      </c>
      <c r="O94">
        <v>0</v>
      </c>
      <c r="U94" t="s">
        <v>81</v>
      </c>
    </row>
    <row r="95" spans="1:21" x14ac:dyDescent="0.25">
      <c r="A95" s="33">
        <v>94</v>
      </c>
      <c r="B95" s="24">
        <v>44201</v>
      </c>
      <c r="C95" t="s">
        <v>181</v>
      </c>
      <c r="D95" t="s">
        <v>41</v>
      </c>
      <c r="E95">
        <v>2000706278</v>
      </c>
      <c r="F95">
        <v>1120</v>
      </c>
      <c r="G95">
        <v>280</v>
      </c>
      <c r="H95">
        <v>0</v>
      </c>
      <c r="I95" t="s">
        <v>180</v>
      </c>
      <c r="J95" t="s">
        <v>174</v>
      </c>
      <c r="K95" t="s">
        <v>717</v>
      </c>
      <c r="O95">
        <v>0</v>
      </c>
      <c r="U95" t="s">
        <v>81</v>
      </c>
    </row>
    <row r="96" spans="1:21" x14ac:dyDescent="0.25">
      <c r="A96" s="33">
        <v>95</v>
      </c>
      <c r="B96" s="24">
        <v>44201</v>
      </c>
      <c r="C96" t="s">
        <v>181</v>
      </c>
      <c r="D96" t="s">
        <v>41</v>
      </c>
      <c r="E96">
        <v>2000706492</v>
      </c>
      <c r="F96">
        <v>1050</v>
      </c>
      <c r="G96">
        <v>420</v>
      </c>
      <c r="H96">
        <v>0</v>
      </c>
      <c r="I96" t="s">
        <v>168</v>
      </c>
      <c r="J96" t="s">
        <v>203</v>
      </c>
      <c r="K96" t="s">
        <v>638</v>
      </c>
      <c r="O96">
        <v>0</v>
      </c>
      <c r="U96" t="s">
        <v>81</v>
      </c>
    </row>
    <row r="97" spans="1:21" x14ac:dyDescent="0.25">
      <c r="A97" s="33">
        <v>96</v>
      </c>
      <c r="B97" s="24">
        <v>44201</v>
      </c>
      <c r="C97" t="s">
        <v>181</v>
      </c>
      <c r="D97" t="s">
        <v>41</v>
      </c>
      <c r="E97">
        <v>2000706275</v>
      </c>
      <c r="F97">
        <v>688</v>
      </c>
      <c r="G97">
        <v>120</v>
      </c>
      <c r="H97">
        <v>0</v>
      </c>
      <c r="I97" t="s">
        <v>178</v>
      </c>
      <c r="J97" t="s">
        <v>174</v>
      </c>
      <c r="K97" t="s">
        <v>187</v>
      </c>
      <c r="O97">
        <v>0</v>
      </c>
      <c r="U97" t="s">
        <v>81</v>
      </c>
    </row>
    <row r="98" spans="1:21" x14ac:dyDescent="0.25">
      <c r="A98" s="33">
        <v>97</v>
      </c>
      <c r="B98" s="24">
        <v>44201</v>
      </c>
      <c r="C98" t="s">
        <v>181</v>
      </c>
      <c r="D98" t="s">
        <v>41</v>
      </c>
      <c r="E98">
        <v>2000706276</v>
      </c>
      <c r="F98">
        <v>520</v>
      </c>
      <c r="G98">
        <v>32</v>
      </c>
      <c r="H98">
        <v>0</v>
      </c>
      <c r="I98" t="s">
        <v>178</v>
      </c>
      <c r="J98" t="s">
        <v>174</v>
      </c>
      <c r="K98" t="s">
        <v>177</v>
      </c>
      <c r="O98">
        <v>0</v>
      </c>
      <c r="U98" t="s">
        <v>83</v>
      </c>
    </row>
    <row r="99" spans="1:21" x14ac:dyDescent="0.25">
      <c r="A99" s="33">
        <v>98</v>
      </c>
      <c r="B99" s="24">
        <v>44201</v>
      </c>
      <c r="C99" t="s">
        <v>181</v>
      </c>
      <c r="D99" t="s">
        <v>41</v>
      </c>
      <c r="E99">
        <v>2000705823</v>
      </c>
      <c r="F99">
        <v>2000</v>
      </c>
      <c r="G99">
        <v>60</v>
      </c>
      <c r="H99">
        <v>0</v>
      </c>
      <c r="I99" t="s">
        <v>178</v>
      </c>
      <c r="J99" t="s">
        <v>169</v>
      </c>
      <c r="K99" t="s">
        <v>179</v>
      </c>
      <c r="O99">
        <v>0</v>
      </c>
      <c r="U99" t="s">
        <v>81</v>
      </c>
    </row>
    <row r="100" spans="1:21" x14ac:dyDescent="0.25">
      <c r="A100" s="33">
        <v>99</v>
      </c>
      <c r="B100" s="24">
        <v>44201</v>
      </c>
      <c r="C100" t="s">
        <v>181</v>
      </c>
      <c r="D100" t="s">
        <v>41</v>
      </c>
      <c r="E100">
        <v>2000706583</v>
      </c>
      <c r="F100">
        <v>3050</v>
      </c>
      <c r="G100">
        <v>90</v>
      </c>
      <c r="H100">
        <v>0</v>
      </c>
      <c r="I100" t="s">
        <v>178</v>
      </c>
      <c r="J100" t="s">
        <v>170</v>
      </c>
      <c r="K100" t="s">
        <v>697</v>
      </c>
      <c r="O100">
        <v>0</v>
      </c>
      <c r="U100" t="s">
        <v>81</v>
      </c>
    </row>
    <row r="101" spans="1:21" x14ac:dyDescent="0.25">
      <c r="A101" s="33">
        <v>100</v>
      </c>
      <c r="B101" s="24">
        <v>44201</v>
      </c>
      <c r="C101" t="s">
        <v>181</v>
      </c>
      <c r="D101" t="s">
        <v>41</v>
      </c>
      <c r="E101">
        <v>2000706631</v>
      </c>
      <c r="F101">
        <v>2806</v>
      </c>
      <c r="G101">
        <v>405</v>
      </c>
      <c r="H101">
        <v>0</v>
      </c>
      <c r="I101" t="s">
        <v>178</v>
      </c>
      <c r="J101" t="s">
        <v>170</v>
      </c>
      <c r="K101" t="s">
        <v>171</v>
      </c>
      <c r="O101">
        <v>0</v>
      </c>
      <c r="U101" t="s">
        <v>81</v>
      </c>
    </row>
    <row r="102" spans="1:21" x14ac:dyDescent="0.25">
      <c r="A102" s="33">
        <v>101</v>
      </c>
      <c r="B102" s="24">
        <v>44201</v>
      </c>
      <c r="C102" t="s">
        <v>181</v>
      </c>
      <c r="D102" t="s">
        <v>41</v>
      </c>
      <c r="E102">
        <v>2000700021</v>
      </c>
      <c r="F102">
        <v>2600</v>
      </c>
      <c r="G102">
        <v>17</v>
      </c>
      <c r="H102">
        <v>0</v>
      </c>
      <c r="I102" t="s">
        <v>661</v>
      </c>
      <c r="J102" t="s">
        <v>170</v>
      </c>
      <c r="K102" t="s">
        <v>171</v>
      </c>
      <c r="O102">
        <v>0</v>
      </c>
      <c r="U102" t="s">
        <v>81</v>
      </c>
    </row>
    <row r="103" spans="1:21" x14ac:dyDescent="0.25">
      <c r="A103" s="33">
        <v>102</v>
      </c>
      <c r="B103" s="24">
        <v>44201</v>
      </c>
      <c r="C103" t="s">
        <v>181</v>
      </c>
      <c r="D103" t="s">
        <v>41</v>
      </c>
      <c r="E103">
        <v>2000706583</v>
      </c>
      <c r="F103">
        <v>3050</v>
      </c>
      <c r="G103">
        <v>198</v>
      </c>
      <c r="H103">
        <v>0</v>
      </c>
      <c r="I103" t="s">
        <v>661</v>
      </c>
      <c r="J103" t="s">
        <v>170</v>
      </c>
      <c r="K103" t="s">
        <v>697</v>
      </c>
      <c r="O103">
        <v>0</v>
      </c>
      <c r="U103" t="s">
        <v>81</v>
      </c>
    </row>
    <row r="104" spans="1:21" x14ac:dyDescent="0.25">
      <c r="A104" s="33">
        <v>103</v>
      </c>
      <c r="B104" s="24">
        <v>44201</v>
      </c>
      <c r="C104" t="s">
        <v>181</v>
      </c>
      <c r="D104" t="s">
        <v>41</v>
      </c>
      <c r="E104">
        <v>2000706631</v>
      </c>
      <c r="F104">
        <v>2806</v>
      </c>
      <c r="G104">
        <v>360</v>
      </c>
      <c r="H104">
        <v>0</v>
      </c>
      <c r="I104" t="s">
        <v>661</v>
      </c>
      <c r="J104" t="s">
        <v>170</v>
      </c>
      <c r="K104" t="s">
        <v>171</v>
      </c>
      <c r="O104">
        <v>0</v>
      </c>
      <c r="U104" t="s">
        <v>81</v>
      </c>
    </row>
    <row r="105" spans="1:21" x14ac:dyDescent="0.25">
      <c r="A105" s="33">
        <v>104</v>
      </c>
      <c r="B105" s="24">
        <v>44201</v>
      </c>
      <c r="C105" t="s">
        <v>181</v>
      </c>
      <c r="D105" t="s">
        <v>41</v>
      </c>
      <c r="E105">
        <v>2000707325</v>
      </c>
      <c r="F105">
        <v>1120</v>
      </c>
      <c r="G105">
        <v>40</v>
      </c>
      <c r="H105">
        <v>0</v>
      </c>
      <c r="I105" t="s">
        <v>642</v>
      </c>
      <c r="J105" t="s">
        <v>645</v>
      </c>
      <c r="K105" t="s">
        <v>694</v>
      </c>
      <c r="O105">
        <v>0</v>
      </c>
      <c r="U105" t="s">
        <v>81</v>
      </c>
    </row>
    <row r="106" spans="1:21" x14ac:dyDescent="0.25">
      <c r="A106" s="33">
        <v>105</v>
      </c>
      <c r="B106" s="24">
        <v>44201</v>
      </c>
      <c r="C106" t="s">
        <v>181</v>
      </c>
      <c r="D106" t="s">
        <v>41</v>
      </c>
      <c r="E106">
        <v>2000706896</v>
      </c>
      <c r="F106">
        <v>1398</v>
      </c>
      <c r="G106">
        <v>230</v>
      </c>
      <c r="H106">
        <v>0</v>
      </c>
      <c r="I106" t="s">
        <v>642</v>
      </c>
      <c r="J106" t="s">
        <v>645</v>
      </c>
      <c r="K106" t="s">
        <v>718</v>
      </c>
      <c r="O106">
        <v>0</v>
      </c>
      <c r="U106" t="s">
        <v>81</v>
      </c>
    </row>
    <row r="107" spans="1:21" x14ac:dyDescent="0.25">
      <c r="A107" s="33">
        <v>106</v>
      </c>
      <c r="B107" s="24">
        <v>44201</v>
      </c>
      <c r="C107" t="s">
        <v>181</v>
      </c>
      <c r="D107" t="s">
        <v>41</v>
      </c>
      <c r="E107">
        <v>2000706895</v>
      </c>
      <c r="F107">
        <v>620</v>
      </c>
      <c r="G107">
        <v>180</v>
      </c>
      <c r="H107">
        <v>0</v>
      </c>
      <c r="I107" t="s">
        <v>642</v>
      </c>
      <c r="J107" t="s">
        <v>645</v>
      </c>
      <c r="K107" t="s">
        <v>719</v>
      </c>
      <c r="O107">
        <v>0</v>
      </c>
      <c r="U107" t="s">
        <v>81</v>
      </c>
    </row>
    <row r="108" spans="1:21" x14ac:dyDescent="0.25">
      <c r="A108" s="33">
        <v>107</v>
      </c>
      <c r="B108" s="24">
        <v>44201</v>
      </c>
      <c r="C108" t="s">
        <v>181</v>
      </c>
      <c r="D108" t="s">
        <v>41</v>
      </c>
      <c r="E108">
        <v>2000706894</v>
      </c>
      <c r="F108">
        <v>240</v>
      </c>
      <c r="G108">
        <v>40</v>
      </c>
      <c r="H108">
        <v>0</v>
      </c>
      <c r="I108" t="s">
        <v>642</v>
      </c>
      <c r="J108" t="s">
        <v>645</v>
      </c>
      <c r="K108" t="s">
        <v>720</v>
      </c>
      <c r="O108">
        <v>0</v>
      </c>
      <c r="U108" t="s">
        <v>81</v>
      </c>
    </row>
    <row r="109" spans="1:21" x14ac:dyDescent="0.25">
      <c r="A109" s="33">
        <v>108</v>
      </c>
      <c r="B109" s="24">
        <v>44201</v>
      </c>
      <c r="C109" t="s">
        <v>181</v>
      </c>
      <c r="D109" t="s">
        <v>41</v>
      </c>
      <c r="E109">
        <v>2000706022</v>
      </c>
      <c r="F109">
        <v>1672</v>
      </c>
      <c r="G109">
        <v>50</v>
      </c>
      <c r="H109">
        <v>0</v>
      </c>
      <c r="I109" t="s">
        <v>642</v>
      </c>
      <c r="J109" t="s">
        <v>172</v>
      </c>
      <c r="K109" t="s">
        <v>692</v>
      </c>
      <c r="O109">
        <v>0</v>
      </c>
      <c r="U109" t="s">
        <v>81</v>
      </c>
    </row>
    <row r="110" spans="1:21" x14ac:dyDescent="0.25">
      <c r="A110" s="33">
        <v>109</v>
      </c>
      <c r="B110" s="24">
        <v>44201</v>
      </c>
      <c r="C110" t="s">
        <v>181</v>
      </c>
      <c r="D110" t="s">
        <v>41</v>
      </c>
      <c r="E110">
        <v>2000706837</v>
      </c>
      <c r="F110">
        <v>3200</v>
      </c>
      <c r="G110">
        <v>80</v>
      </c>
      <c r="H110">
        <v>0</v>
      </c>
      <c r="I110" t="s">
        <v>642</v>
      </c>
      <c r="J110" t="s">
        <v>645</v>
      </c>
      <c r="K110" t="s">
        <v>721</v>
      </c>
      <c r="O110">
        <v>0</v>
      </c>
      <c r="U110" t="s">
        <v>81</v>
      </c>
    </row>
    <row r="111" spans="1:21" x14ac:dyDescent="0.25">
      <c r="A111" s="33">
        <v>110</v>
      </c>
      <c r="B111" s="24">
        <v>44201</v>
      </c>
      <c r="C111" t="s">
        <v>181</v>
      </c>
      <c r="D111" t="s">
        <v>41</v>
      </c>
      <c r="E111">
        <v>2000706278</v>
      </c>
      <c r="F111">
        <v>1120</v>
      </c>
      <c r="G111">
        <v>120</v>
      </c>
      <c r="H111">
        <v>0</v>
      </c>
      <c r="I111" t="s">
        <v>665</v>
      </c>
      <c r="J111" t="s">
        <v>174</v>
      </c>
      <c r="K111" t="s">
        <v>717</v>
      </c>
      <c r="O111">
        <v>0</v>
      </c>
      <c r="U111" t="s">
        <v>81</v>
      </c>
    </row>
    <row r="112" spans="1:21" x14ac:dyDescent="0.25">
      <c r="A112" s="33">
        <v>111</v>
      </c>
      <c r="B112" s="24">
        <v>44201</v>
      </c>
      <c r="C112" t="s">
        <v>181</v>
      </c>
      <c r="D112" t="s">
        <v>41</v>
      </c>
      <c r="E112">
        <v>2000705686</v>
      </c>
      <c r="F112">
        <v>320</v>
      </c>
      <c r="G112">
        <v>40</v>
      </c>
      <c r="H112">
        <v>0</v>
      </c>
      <c r="I112" t="s">
        <v>665</v>
      </c>
      <c r="J112" t="s">
        <v>174</v>
      </c>
      <c r="K112" t="s">
        <v>722</v>
      </c>
      <c r="O112">
        <v>0</v>
      </c>
      <c r="U112" t="s">
        <v>81</v>
      </c>
    </row>
    <row r="113" spans="1:21" x14ac:dyDescent="0.25">
      <c r="A113" s="33">
        <v>112</v>
      </c>
      <c r="B113" s="24">
        <v>44201</v>
      </c>
      <c r="C113" t="s">
        <v>181</v>
      </c>
      <c r="D113" t="s">
        <v>41</v>
      </c>
      <c r="E113">
        <v>2000706277</v>
      </c>
      <c r="F113">
        <v>560</v>
      </c>
      <c r="G113">
        <v>59</v>
      </c>
      <c r="H113">
        <v>0</v>
      </c>
      <c r="I113" t="s">
        <v>666</v>
      </c>
      <c r="J113" t="s">
        <v>174</v>
      </c>
      <c r="K113" t="s">
        <v>695</v>
      </c>
      <c r="O113">
        <v>0</v>
      </c>
      <c r="U113" t="s">
        <v>81</v>
      </c>
    </row>
    <row r="114" spans="1:21" x14ac:dyDescent="0.25">
      <c r="A114" s="33">
        <v>113</v>
      </c>
      <c r="B114" s="24">
        <v>44201</v>
      </c>
      <c r="C114" t="s">
        <v>181</v>
      </c>
      <c r="D114" t="s">
        <v>41</v>
      </c>
      <c r="E114">
        <v>2000706275</v>
      </c>
      <c r="F114">
        <v>688</v>
      </c>
      <c r="G114">
        <v>280</v>
      </c>
      <c r="H114">
        <v>0</v>
      </c>
      <c r="I114" t="s">
        <v>666</v>
      </c>
      <c r="J114" t="s">
        <v>174</v>
      </c>
      <c r="K114" t="s">
        <v>187</v>
      </c>
      <c r="O114">
        <v>0</v>
      </c>
      <c r="U114" t="s">
        <v>81</v>
      </c>
    </row>
    <row r="115" spans="1:21" x14ac:dyDescent="0.25">
      <c r="A115" s="33">
        <v>114</v>
      </c>
      <c r="B115" s="24">
        <v>44201</v>
      </c>
      <c r="C115" t="s">
        <v>181</v>
      </c>
      <c r="D115" t="s">
        <v>41</v>
      </c>
      <c r="E115">
        <v>2000706275</v>
      </c>
      <c r="F115">
        <v>688</v>
      </c>
      <c r="G115">
        <v>88</v>
      </c>
      <c r="H115">
        <v>0</v>
      </c>
      <c r="I115" t="s">
        <v>666</v>
      </c>
      <c r="J115" t="s">
        <v>174</v>
      </c>
      <c r="K115" t="s">
        <v>187</v>
      </c>
      <c r="O115">
        <v>0</v>
      </c>
      <c r="U115" t="s">
        <v>81</v>
      </c>
    </row>
    <row r="116" spans="1:21" x14ac:dyDescent="0.25">
      <c r="A116" s="33">
        <v>115</v>
      </c>
      <c r="B116" s="24">
        <v>44201</v>
      </c>
      <c r="C116" t="s">
        <v>181</v>
      </c>
      <c r="D116" t="s">
        <v>41</v>
      </c>
      <c r="E116">
        <v>2000706277</v>
      </c>
      <c r="F116">
        <v>560</v>
      </c>
      <c r="G116">
        <v>10</v>
      </c>
      <c r="H116">
        <v>0</v>
      </c>
      <c r="I116" t="s">
        <v>666</v>
      </c>
      <c r="J116" t="s">
        <v>174</v>
      </c>
      <c r="K116" t="s">
        <v>695</v>
      </c>
      <c r="O116">
        <v>0</v>
      </c>
      <c r="U116" t="s">
        <v>81</v>
      </c>
    </row>
    <row r="117" spans="1:21" ht="30" x14ac:dyDescent="0.25">
      <c r="A117" s="33">
        <v>116</v>
      </c>
      <c r="B117" s="24">
        <v>44201</v>
      </c>
      <c r="C117" t="s">
        <v>181</v>
      </c>
      <c r="D117" t="s">
        <v>41</v>
      </c>
      <c r="E117">
        <v>2000706277</v>
      </c>
      <c r="F117">
        <v>560</v>
      </c>
      <c r="G117">
        <v>160</v>
      </c>
      <c r="H117">
        <v>0</v>
      </c>
      <c r="I117" t="s">
        <v>194</v>
      </c>
      <c r="J117" t="s">
        <v>174</v>
      </c>
      <c r="K117" t="s">
        <v>695</v>
      </c>
      <c r="O117">
        <v>0</v>
      </c>
      <c r="T117" s="62" t="s">
        <v>723</v>
      </c>
      <c r="U117" t="s">
        <v>81</v>
      </c>
    </row>
    <row r="118" spans="1:21" x14ac:dyDescent="0.25">
      <c r="A118" s="33">
        <v>117</v>
      </c>
      <c r="B118" s="24">
        <v>44201</v>
      </c>
      <c r="C118" t="s">
        <v>181</v>
      </c>
      <c r="D118" t="s">
        <v>41</v>
      </c>
      <c r="E118">
        <v>2000706446</v>
      </c>
      <c r="F118">
        <v>1800</v>
      </c>
      <c r="G118">
        <v>60</v>
      </c>
      <c r="H118">
        <v>0</v>
      </c>
      <c r="I118" t="s">
        <v>194</v>
      </c>
      <c r="J118" t="s">
        <v>169</v>
      </c>
      <c r="K118" t="s">
        <v>663</v>
      </c>
      <c r="O118">
        <v>0</v>
      </c>
      <c r="U118" t="s">
        <v>81</v>
      </c>
    </row>
    <row r="119" spans="1:21" x14ac:dyDescent="0.25">
      <c r="A119" s="33">
        <v>118</v>
      </c>
      <c r="B119" s="24">
        <v>44201</v>
      </c>
      <c r="C119" t="s">
        <v>181</v>
      </c>
      <c r="D119" t="s">
        <v>41</v>
      </c>
      <c r="E119">
        <v>2000706021</v>
      </c>
      <c r="F119">
        <v>2100</v>
      </c>
      <c r="G119">
        <v>20</v>
      </c>
      <c r="H119">
        <v>0</v>
      </c>
      <c r="I119" t="s">
        <v>194</v>
      </c>
      <c r="J119" t="s">
        <v>172</v>
      </c>
      <c r="K119" t="s">
        <v>724</v>
      </c>
      <c r="O119">
        <v>0</v>
      </c>
      <c r="U119" t="s">
        <v>81</v>
      </c>
    </row>
    <row r="120" spans="1:21" x14ac:dyDescent="0.25">
      <c r="A120" s="33">
        <v>119</v>
      </c>
      <c r="B120" s="24">
        <v>44201</v>
      </c>
      <c r="C120" t="s">
        <v>181</v>
      </c>
      <c r="D120" t="s">
        <v>41</v>
      </c>
      <c r="E120">
        <v>2000706492</v>
      </c>
      <c r="F120">
        <v>1050</v>
      </c>
      <c r="G120">
        <v>90</v>
      </c>
      <c r="H120">
        <v>0</v>
      </c>
      <c r="I120" t="s">
        <v>194</v>
      </c>
      <c r="J120" t="s">
        <v>203</v>
      </c>
      <c r="K120" t="s">
        <v>638</v>
      </c>
      <c r="O120">
        <v>0</v>
      </c>
      <c r="U120" t="s">
        <v>81</v>
      </c>
    </row>
    <row r="121" spans="1:21" x14ac:dyDescent="0.25">
      <c r="A121" s="33">
        <v>120</v>
      </c>
      <c r="B121" s="24">
        <v>44201</v>
      </c>
      <c r="C121" t="s">
        <v>181</v>
      </c>
      <c r="D121" t="s">
        <v>41</v>
      </c>
      <c r="E121">
        <v>2000706275</v>
      </c>
      <c r="F121">
        <v>688</v>
      </c>
      <c r="G121">
        <v>120</v>
      </c>
      <c r="H121">
        <v>0</v>
      </c>
      <c r="I121" t="s">
        <v>194</v>
      </c>
      <c r="J121" t="s">
        <v>174</v>
      </c>
      <c r="K121" t="s">
        <v>187</v>
      </c>
      <c r="O121">
        <v>0</v>
      </c>
      <c r="U121" t="s">
        <v>81</v>
      </c>
    </row>
    <row r="122" spans="1:21" x14ac:dyDescent="0.25">
      <c r="A122" s="33">
        <v>121</v>
      </c>
      <c r="B122" s="24">
        <v>44201</v>
      </c>
      <c r="C122" t="s">
        <v>181</v>
      </c>
      <c r="D122" t="s">
        <v>41</v>
      </c>
      <c r="E122">
        <v>2000705686</v>
      </c>
      <c r="F122">
        <v>320</v>
      </c>
      <c r="G122">
        <v>61</v>
      </c>
      <c r="H122">
        <v>0</v>
      </c>
      <c r="I122" t="s">
        <v>194</v>
      </c>
      <c r="J122" t="s">
        <v>174</v>
      </c>
      <c r="K122" t="s">
        <v>722</v>
      </c>
      <c r="O122">
        <v>0</v>
      </c>
      <c r="U122" t="s">
        <v>81</v>
      </c>
    </row>
    <row r="123" spans="1:21" x14ac:dyDescent="0.25">
      <c r="A123" s="33">
        <v>122</v>
      </c>
      <c r="B123" s="24">
        <v>44201</v>
      </c>
      <c r="C123" t="s">
        <v>181</v>
      </c>
      <c r="D123" t="s">
        <v>41</v>
      </c>
      <c r="E123">
        <v>2000705735</v>
      </c>
      <c r="F123">
        <v>2160</v>
      </c>
      <c r="G123">
        <v>150</v>
      </c>
      <c r="H123">
        <v>0</v>
      </c>
      <c r="I123" t="s">
        <v>201</v>
      </c>
      <c r="J123" t="s">
        <v>203</v>
      </c>
      <c r="K123" t="s">
        <v>640</v>
      </c>
      <c r="O123">
        <v>0</v>
      </c>
      <c r="U123" t="s">
        <v>81</v>
      </c>
    </row>
    <row r="124" spans="1:21" x14ac:dyDescent="0.25">
      <c r="A124" s="33">
        <v>123</v>
      </c>
      <c r="B124" s="24">
        <v>44201</v>
      </c>
      <c r="C124" t="s">
        <v>181</v>
      </c>
      <c r="D124" t="s">
        <v>41</v>
      </c>
      <c r="E124">
        <v>2000703813</v>
      </c>
      <c r="F124">
        <v>2430</v>
      </c>
      <c r="G124">
        <v>300</v>
      </c>
      <c r="H124">
        <v>0</v>
      </c>
      <c r="I124" t="s">
        <v>201</v>
      </c>
      <c r="J124" t="s">
        <v>169</v>
      </c>
      <c r="K124" t="s">
        <v>652</v>
      </c>
      <c r="O124">
        <v>0</v>
      </c>
      <c r="U124" t="s">
        <v>81</v>
      </c>
    </row>
    <row r="125" spans="1:21" x14ac:dyDescent="0.25">
      <c r="A125" s="33">
        <v>124</v>
      </c>
      <c r="B125" s="24">
        <v>44201</v>
      </c>
      <c r="C125" t="s">
        <v>181</v>
      </c>
      <c r="D125" t="s">
        <v>41</v>
      </c>
      <c r="E125">
        <v>2000706018</v>
      </c>
      <c r="F125">
        <v>2100</v>
      </c>
      <c r="G125">
        <v>300</v>
      </c>
      <c r="H125">
        <v>0</v>
      </c>
      <c r="I125" t="s">
        <v>201</v>
      </c>
      <c r="J125" t="s">
        <v>172</v>
      </c>
      <c r="K125" t="s">
        <v>725</v>
      </c>
      <c r="O125">
        <v>0</v>
      </c>
      <c r="U125" t="s">
        <v>81</v>
      </c>
    </row>
    <row r="126" spans="1:21" x14ac:dyDescent="0.25">
      <c r="A126" s="33">
        <v>125</v>
      </c>
      <c r="B126" s="24">
        <v>44201</v>
      </c>
      <c r="C126" t="s">
        <v>181</v>
      </c>
      <c r="D126" t="s">
        <v>41</v>
      </c>
      <c r="E126">
        <v>2000706281</v>
      </c>
      <c r="F126">
        <v>2000</v>
      </c>
      <c r="G126">
        <v>200</v>
      </c>
      <c r="H126">
        <v>0</v>
      </c>
      <c r="I126" t="s">
        <v>201</v>
      </c>
      <c r="J126" t="s">
        <v>193</v>
      </c>
      <c r="K126" t="s">
        <v>176</v>
      </c>
      <c r="O126">
        <v>0</v>
      </c>
      <c r="U126" t="s">
        <v>81</v>
      </c>
    </row>
    <row r="127" spans="1:21" x14ac:dyDescent="0.25">
      <c r="A127" s="33">
        <v>126</v>
      </c>
      <c r="B127" s="24">
        <v>44201</v>
      </c>
      <c r="C127" t="s">
        <v>181</v>
      </c>
      <c r="D127" t="s">
        <v>41</v>
      </c>
      <c r="E127">
        <v>2000707299</v>
      </c>
      <c r="F127">
        <v>1120</v>
      </c>
      <c r="G127">
        <v>200</v>
      </c>
      <c r="H127">
        <v>0</v>
      </c>
      <c r="I127" t="s">
        <v>201</v>
      </c>
      <c r="J127" t="s">
        <v>645</v>
      </c>
      <c r="K127" t="s">
        <v>726</v>
      </c>
      <c r="O127">
        <v>0</v>
      </c>
      <c r="U127" t="s">
        <v>81</v>
      </c>
    </row>
    <row r="128" spans="1:21" x14ac:dyDescent="0.25">
      <c r="A128" s="33">
        <v>127</v>
      </c>
      <c r="B128" s="24">
        <v>44201</v>
      </c>
      <c r="C128" t="s">
        <v>181</v>
      </c>
      <c r="D128" t="s">
        <v>41</v>
      </c>
      <c r="E128">
        <v>2000705520</v>
      </c>
      <c r="F128">
        <v>5408</v>
      </c>
      <c r="G128">
        <v>200</v>
      </c>
      <c r="H128">
        <v>0</v>
      </c>
      <c r="I128" t="s">
        <v>201</v>
      </c>
      <c r="J128" t="s">
        <v>200</v>
      </c>
      <c r="K128" t="s">
        <v>653</v>
      </c>
      <c r="O128">
        <v>0</v>
      </c>
      <c r="U128" t="s">
        <v>81</v>
      </c>
    </row>
    <row r="129" spans="1:21" x14ac:dyDescent="0.25">
      <c r="A129" s="33">
        <v>128</v>
      </c>
      <c r="B129" s="24">
        <v>44201</v>
      </c>
      <c r="C129" t="s">
        <v>181</v>
      </c>
      <c r="D129" t="s">
        <v>41</v>
      </c>
      <c r="E129">
        <v>2000706283</v>
      </c>
      <c r="F129">
        <v>2000</v>
      </c>
      <c r="G129">
        <v>200</v>
      </c>
      <c r="H129">
        <v>0</v>
      </c>
      <c r="I129" t="s">
        <v>201</v>
      </c>
      <c r="J129" t="s">
        <v>193</v>
      </c>
      <c r="K129" t="s">
        <v>650</v>
      </c>
      <c r="O129">
        <v>0</v>
      </c>
      <c r="U129" t="s">
        <v>81</v>
      </c>
    </row>
    <row r="130" spans="1:21" x14ac:dyDescent="0.25">
      <c r="A130" s="33">
        <v>129</v>
      </c>
      <c r="B130" s="24">
        <v>44201</v>
      </c>
      <c r="C130" t="s">
        <v>181</v>
      </c>
      <c r="D130" t="s">
        <v>41</v>
      </c>
      <c r="E130">
        <v>2000707298</v>
      </c>
      <c r="F130">
        <v>1120</v>
      </c>
      <c r="G130">
        <v>200</v>
      </c>
      <c r="H130">
        <v>0</v>
      </c>
      <c r="I130" t="s">
        <v>201</v>
      </c>
      <c r="J130" t="s">
        <v>645</v>
      </c>
      <c r="K130" t="s">
        <v>727</v>
      </c>
      <c r="O130">
        <v>0</v>
      </c>
      <c r="U130" t="s">
        <v>81</v>
      </c>
    </row>
    <row r="131" spans="1:21" x14ac:dyDescent="0.25">
      <c r="A131" s="33">
        <v>130</v>
      </c>
      <c r="B131" s="24">
        <v>44201</v>
      </c>
      <c r="C131" t="s">
        <v>181</v>
      </c>
      <c r="D131" t="s">
        <v>41</v>
      </c>
      <c r="E131">
        <v>2000705735</v>
      </c>
      <c r="F131">
        <v>2160</v>
      </c>
      <c r="G131">
        <v>240</v>
      </c>
      <c r="H131">
        <v>0</v>
      </c>
      <c r="I131" t="s">
        <v>201</v>
      </c>
      <c r="J131" t="s">
        <v>203</v>
      </c>
      <c r="K131" t="s">
        <v>728</v>
      </c>
      <c r="O131">
        <v>0</v>
      </c>
      <c r="U131" t="s">
        <v>81</v>
      </c>
    </row>
    <row r="132" spans="1:21" x14ac:dyDescent="0.25">
      <c r="A132" s="33">
        <v>131</v>
      </c>
      <c r="B132" s="24">
        <v>44201</v>
      </c>
      <c r="C132" t="s">
        <v>181</v>
      </c>
      <c r="D132" t="s">
        <v>41</v>
      </c>
      <c r="E132">
        <v>2000706436</v>
      </c>
      <c r="F132">
        <v>4020</v>
      </c>
      <c r="G132">
        <v>200</v>
      </c>
      <c r="H132">
        <v>0</v>
      </c>
      <c r="I132" t="s">
        <v>201</v>
      </c>
      <c r="J132" t="s">
        <v>172</v>
      </c>
      <c r="K132" t="s">
        <v>729</v>
      </c>
      <c r="O132">
        <v>0</v>
      </c>
      <c r="U132" t="s">
        <v>81</v>
      </c>
    </row>
    <row r="133" spans="1:21" x14ac:dyDescent="0.25">
      <c r="A133" s="33">
        <v>132</v>
      </c>
      <c r="B133" s="24">
        <v>44201</v>
      </c>
      <c r="C133" t="s">
        <v>181</v>
      </c>
      <c r="D133" t="s">
        <v>51</v>
      </c>
      <c r="E133">
        <v>2000706300</v>
      </c>
      <c r="F133">
        <v>1020</v>
      </c>
      <c r="G133">
        <v>120</v>
      </c>
      <c r="H133">
        <v>0</v>
      </c>
      <c r="I133" t="s">
        <v>191</v>
      </c>
      <c r="J133" t="s">
        <v>667</v>
      </c>
      <c r="K133" t="s">
        <v>668</v>
      </c>
      <c r="O133">
        <v>0</v>
      </c>
      <c r="U133" t="s">
        <v>81</v>
      </c>
    </row>
    <row r="134" spans="1:21" x14ac:dyDescent="0.25">
      <c r="A134" s="33">
        <v>133</v>
      </c>
      <c r="B134" s="24">
        <v>44201</v>
      </c>
      <c r="C134" t="s">
        <v>181</v>
      </c>
      <c r="D134" t="s">
        <v>51</v>
      </c>
      <c r="E134">
        <v>2000706223</v>
      </c>
      <c r="F134">
        <v>800</v>
      </c>
      <c r="G134">
        <v>150</v>
      </c>
      <c r="H134">
        <v>0</v>
      </c>
      <c r="I134" t="s">
        <v>191</v>
      </c>
      <c r="J134" t="s">
        <v>667</v>
      </c>
      <c r="K134" t="s">
        <v>730</v>
      </c>
      <c r="O134">
        <v>0</v>
      </c>
      <c r="U134" t="s">
        <v>81</v>
      </c>
    </row>
    <row r="135" spans="1:21" x14ac:dyDescent="0.25">
      <c r="A135" s="33">
        <v>134</v>
      </c>
      <c r="B135" s="24">
        <v>44201</v>
      </c>
      <c r="C135" t="s">
        <v>181</v>
      </c>
      <c r="D135" t="s">
        <v>51</v>
      </c>
      <c r="E135">
        <v>2000705983</v>
      </c>
      <c r="F135">
        <v>501</v>
      </c>
      <c r="G135">
        <v>96</v>
      </c>
      <c r="H135">
        <v>0</v>
      </c>
      <c r="I135" t="s">
        <v>191</v>
      </c>
      <c r="J135" t="s">
        <v>709</v>
      </c>
      <c r="K135" t="s">
        <v>710</v>
      </c>
      <c r="O135">
        <v>0</v>
      </c>
      <c r="U135" t="s">
        <v>81</v>
      </c>
    </row>
    <row r="136" spans="1:21" x14ac:dyDescent="0.25">
      <c r="A136" s="33">
        <v>135</v>
      </c>
      <c r="B136" s="24">
        <v>44201</v>
      </c>
      <c r="C136" t="s">
        <v>181</v>
      </c>
      <c r="D136" t="s">
        <v>51</v>
      </c>
      <c r="E136">
        <v>2000705982</v>
      </c>
      <c r="F136">
        <v>96</v>
      </c>
      <c r="G136">
        <v>96</v>
      </c>
      <c r="H136">
        <v>0</v>
      </c>
      <c r="I136" t="s">
        <v>191</v>
      </c>
      <c r="J136" t="s">
        <v>667</v>
      </c>
      <c r="K136" t="s">
        <v>711</v>
      </c>
      <c r="O136">
        <v>0</v>
      </c>
      <c r="U136" t="s">
        <v>81</v>
      </c>
    </row>
    <row r="137" spans="1:21" x14ac:dyDescent="0.25">
      <c r="A137" s="33">
        <v>136</v>
      </c>
      <c r="B137" s="24">
        <v>44201</v>
      </c>
      <c r="C137" t="s">
        <v>181</v>
      </c>
      <c r="D137" t="s">
        <v>51</v>
      </c>
      <c r="E137">
        <v>2000705977</v>
      </c>
      <c r="F137">
        <v>450</v>
      </c>
      <c r="G137">
        <v>40</v>
      </c>
      <c r="H137">
        <v>0</v>
      </c>
      <c r="I137" t="s">
        <v>191</v>
      </c>
      <c r="J137" t="s">
        <v>673</v>
      </c>
      <c r="K137" t="s">
        <v>674</v>
      </c>
      <c r="O137">
        <v>0</v>
      </c>
      <c r="U137" t="s">
        <v>81</v>
      </c>
    </row>
    <row r="138" spans="1:21" x14ac:dyDescent="0.25">
      <c r="A138" s="33">
        <v>137</v>
      </c>
      <c r="B138" s="24">
        <v>44201</v>
      </c>
      <c r="C138" t="s">
        <v>181</v>
      </c>
      <c r="D138" t="s">
        <v>51</v>
      </c>
      <c r="E138">
        <v>2000707978</v>
      </c>
      <c r="F138">
        <v>500</v>
      </c>
      <c r="G138">
        <v>110</v>
      </c>
      <c r="H138">
        <v>0</v>
      </c>
      <c r="I138" t="s">
        <v>191</v>
      </c>
      <c r="J138" t="s">
        <v>673</v>
      </c>
      <c r="K138" t="s">
        <v>672</v>
      </c>
      <c r="O138">
        <v>0</v>
      </c>
      <c r="U138" t="s">
        <v>81</v>
      </c>
    </row>
    <row r="139" spans="1:21" x14ac:dyDescent="0.25">
      <c r="A139" s="33">
        <v>138</v>
      </c>
      <c r="B139" s="24">
        <v>44201</v>
      </c>
      <c r="C139" t="s">
        <v>181</v>
      </c>
      <c r="D139" t="s">
        <v>51</v>
      </c>
      <c r="E139">
        <v>2000705994</v>
      </c>
      <c r="F139">
        <v>760</v>
      </c>
      <c r="G139">
        <v>240</v>
      </c>
      <c r="H139">
        <v>0</v>
      </c>
      <c r="I139" t="s">
        <v>191</v>
      </c>
      <c r="J139" t="s">
        <v>673</v>
      </c>
      <c r="K139" t="s">
        <v>708</v>
      </c>
      <c r="O139">
        <v>0</v>
      </c>
      <c r="U139" t="s">
        <v>81</v>
      </c>
    </row>
    <row r="140" spans="1:21" x14ac:dyDescent="0.25">
      <c r="A140" s="33">
        <v>139</v>
      </c>
      <c r="B140" s="24">
        <v>44202</v>
      </c>
      <c r="C140" t="s">
        <v>39</v>
      </c>
      <c r="D140" t="s">
        <v>41</v>
      </c>
      <c r="E140">
        <v>2000706492</v>
      </c>
      <c r="F140">
        <v>1050</v>
      </c>
      <c r="G140">
        <v>180</v>
      </c>
      <c r="H140">
        <v>0</v>
      </c>
      <c r="I140" t="s">
        <v>184</v>
      </c>
      <c r="J140" t="s">
        <v>731</v>
      </c>
      <c r="K140" t="s">
        <v>638</v>
      </c>
      <c r="O140">
        <v>0</v>
      </c>
      <c r="U140" t="s">
        <v>81</v>
      </c>
    </row>
    <row r="141" spans="1:21" x14ac:dyDescent="0.25">
      <c r="A141" s="33">
        <v>140</v>
      </c>
      <c r="B141" s="24">
        <v>44202</v>
      </c>
      <c r="C141" t="s">
        <v>39</v>
      </c>
      <c r="D141" t="s">
        <v>41</v>
      </c>
      <c r="E141">
        <v>2000706916</v>
      </c>
      <c r="F141">
        <v>1050</v>
      </c>
      <c r="G141">
        <v>150</v>
      </c>
      <c r="H141">
        <v>0</v>
      </c>
      <c r="I141" t="s">
        <v>184</v>
      </c>
      <c r="J141" t="s">
        <v>731</v>
      </c>
      <c r="K141" t="s">
        <v>638</v>
      </c>
      <c r="O141">
        <v>0</v>
      </c>
      <c r="U141" t="s">
        <v>81</v>
      </c>
    </row>
    <row r="142" spans="1:21" x14ac:dyDescent="0.25">
      <c r="A142" s="33">
        <v>141</v>
      </c>
      <c r="B142" s="24">
        <v>44202</v>
      </c>
      <c r="C142" t="s">
        <v>39</v>
      </c>
      <c r="D142" t="s">
        <v>41</v>
      </c>
      <c r="E142">
        <v>2000706278</v>
      </c>
      <c r="F142">
        <v>1120</v>
      </c>
      <c r="G142">
        <v>80</v>
      </c>
      <c r="H142">
        <v>0</v>
      </c>
      <c r="I142" t="s">
        <v>184</v>
      </c>
      <c r="J142" t="s">
        <v>174</v>
      </c>
      <c r="K142" t="s">
        <v>717</v>
      </c>
      <c r="O142">
        <v>0</v>
      </c>
      <c r="U142" t="s">
        <v>81</v>
      </c>
    </row>
    <row r="143" spans="1:21" x14ac:dyDescent="0.25">
      <c r="A143" s="33">
        <v>142</v>
      </c>
      <c r="B143" s="24">
        <v>44202</v>
      </c>
      <c r="C143" t="s">
        <v>39</v>
      </c>
      <c r="D143" t="s">
        <v>41</v>
      </c>
      <c r="E143">
        <v>2000706250</v>
      </c>
      <c r="F143">
        <v>2100</v>
      </c>
      <c r="G143">
        <v>90</v>
      </c>
      <c r="H143">
        <v>0</v>
      </c>
      <c r="I143" t="s">
        <v>184</v>
      </c>
      <c r="J143" t="s">
        <v>169</v>
      </c>
      <c r="K143" t="s">
        <v>179</v>
      </c>
      <c r="O143">
        <v>0</v>
      </c>
      <c r="U143" t="s">
        <v>81</v>
      </c>
    </row>
    <row r="144" spans="1:21" x14ac:dyDescent="0.25">
      <c r="A144" s="33">
        <v>143</v>
      </c>
      <c r="B144" s="24">
        <v>44202</v>
      </c>
      <c r="C144" t="s">
        <v>39</v>
      </c>
      <c r="D144" t="s">
        <v>41</v>
      </c>
      <c r="E144">
        <v>2000706583</v>
      </c>
      <c r="F144">
        <v>3050</v>
      </c>
      <c r="G144">
        <v>38</v>
      </c>
      <c r="H144">
        <v>0</v>
      </c>
      <c r="I144" t="s">
        <v>184</v>
      </c>
      <c r="J144" t="s">
        <v>170</v>
      </c>
      <c r="K144" t="s">
        <v>697</v>
      </c>
      <c r="O144">
        <v>0</v>
      </c>
      <c r="U144" t="s">
        <v>81</v>
      </c>
    </row>
    <row r="145" spans="1:21" x14ac:dyDescent="0.25">
      <c r="A145" s="33">
        <v>144</v>
      </c>
      <c r="B145" s="24">
        <v>44202</v>
      </c>
      <c r="C145" t="s">
        <v>39</v>
      </c>
      <c r="D145" t="s">
        <v>41</v>
      </c>
      <c r="E145">
        <v>2000703496</v>
      </c>
      <c r="F145">
        <v>1080</v>
      </c>
      <c r="G145">
        <v>4</v>
      </c>
      <c r="H145">
        <v>0</v>
      </c>
      <c r="I145" t="s">
        <v>184</v>
      </c>
      <c r="J145" t="s">
        <v>170</v>
      </c>
      <c r="K145" t="s">
        <v>732</v>
      </c>
      <c r="O145">
        <v>0</v>
      </c>
      <c r="U145" t="s">
        <v>81</v>
      </c>
    </row>
    <row r="146" spans="1:21" x14ac:dyDescent="0.25">
      <c r="A146" s="33">
        <v>145</v>
      </c>
      <c r="B146" s="24">
        <v>44202</v>
      </c>
      <c r="C146" t="s">
        <v>39</v>
      </c>
      <c r="D146" t="s">
        <v>41</v>
      </c>
      <c r="E146">
        <v>2000697297</v>
      </c>
      <c r="F146">
        <v>1216</v>
      </c>
      <c r="G146">
        <v>4</v>
      </c>
      <c r="H146">
        <v>0</v>
      </c>
      <c r="I146" t="s">
        <v>184</v>
      </c>
      <c r="J146" t="s">
        <v>170</v>
      </c>
      <c r="K146" t="s">
        <v>206</v>
      </c>
      <c r="O146">
        <v>0</v>
      </c>
      <c r="U146" t="s">
        <v>81</v>
      </c>
    </row>
    <row r="147" spans="1:21" x14ac:dyDescent="0.25">
      <c r="A147" s="33">
        <v>146</v>
      </c>
      <c r="B147" s="24">
        <v>44202</v>
      </c>
      <c r="C147" t="s">
        <v>39</v>
      </c>
      <c r="D147" t="s">
        <v>41</v>
      </c>
      <c r="E147">
        <v>2000706285</v>
      </c>
      <c r="F147">
        <v>2000</v>
      </c>
      <c r="G147">
        <v>40</v>
      </c>
      <c r="H147">
        <v>0</v>
      </c>
      <c r="I147" t="s">
        <v>185</v>
      </c>
      <c r="J147" t="s">
        <v>193</v>
      </c>
      <c r="K147" t="s">
        <v>647</v>
      </c>
      <c r="O147">
        <v>0</v>
      </c>
      <c r="U147" t="s">
        <v>81</v>
      </c>
    </row>
    <row r="148" spans="1:21" x14ac:dyDescent="0.25">
      <c r="A148" s="33">
        <v>147</v>
      </c>
      <c r="B148" s="24">
        <v>44202</v>
      </c>
      <c r="C148" t="s">
        <v>39</v>
      </c>
      <c r="D148" t="s">
        <v>41</v>
      </c>
      <c r="E148">
        <v>2000707067</v>
      </c>
      <c r="F148">
        <v>1200</v>
      </c>
      <c r="G148">
        <v>80</v>
      </c>
      <c r="H148">
        <v>0</v>
      </c>
      <c r="I148" t="s">
        <v>185</v>
      </c>
      <c r="J148" t="s">
        <v>687</v>
      </c>
      <c r="K148" t="s">
        <v>705</v>
      </c>
      <c r="O148">
        <v>0</v>
      </c>
      <c r="U148" t="s">
        <v>81</v>
      </c>
    </row>
    <row r="149" spans="1:21" x14ac:dyDescent="0.25">
      <c r="A149" s="33">
        <v>148</v>
      </c>
      <c r="B149" s="24">
        <v>44202</v>
      </c>
      <c r="C149" t="s">
        <v>39</v>
      </c>
      <c r="D149" t="s">
        <v>41</v>
      </c>
      <c r="E149">
        <v>2000706622</v>
      </c>
      <c r="F149">
        <v>2672</v>
      </c>
      <c r="G149">
        <v>120</v>
      </c>
      <c r="H149">
        <v>0</v>
      </c>
      <c r="I149" t="s">
        <v>185</v>
      </c>
      <c r="J149" t="s">
        <v>655</v>
      </c>
      <c r="K149" t="s">
        <v>656</v>
      </c>
      <c r="O149">
        <v>0</v>
      </c>
      <c r="U149" t="s">
        <v>81</v>
      </c>
    </row>
    <row r="150" spans="1:21" x14ac:dyDescent="0.25">
      <c r="A150" s="33">
        <v>149</v>
      </c>
      <c r="B150" s="24">
        <v>44202</v>
      </c>
      <c r="C150" t="s">
        <v>39</v>
      </c>
      <c r="D150" t="s">
        <v>41</v>
      </c>
      <c r="E150">
        <v>2000706620</v>
      </c>
      <c r="F150">
        <v>880</v>
      </c>
      <c r="G150">
        <v>40</v>
      </c>
      <c r="H150">
        <v>0</v>
      </c>
      <c r="I150" t="s">
        <v>185</v>
      </c>
      <c r="J150" t="s">
        <v>169</v>
      </c>
      <c r="K150" t="s">
        <v>663</v>
      </c>
      <c r="O150">
        <v>0</v>
      </c>
      <c r="U150" t="s">
        <v>81</v>
      </c>
    </row>
    <row r="151" spans="1:21" x14ac:dyDescent="0.25">
      <c r="A151" s="33">
        <v>150</v>
      </c>
      <c r="B151" s="24">
        <v>44202</v>
      </c>
      <c r="C151" t="s">
        <v>39</v>
      </c>
      <c r="D151" t="s">
        <v>41</v>
      </c>
      <c r="E151">
        <v>2000706594</v>
      </c>
      <c r="F151">
        <v>117</v>
      </c>
      <c r="G151">
        <v>20</v>
      </c>
      <c r="H151">
        <v>0</v>
      </c>
      <c r="I151" t="s">
        <v>185</v>
      </c>
      <c r="J151" t="s">
        <v>216</v>
      </c>
      <c r="K151" t="s">
        <v>733</v>
      </c>
      <c r="O151">
        <v>0</v>
      </c>
      <c r="U151" t="s">
        <v>81</v>
      </c>
    </row>
    <row r="152" spans="1:21" x14ac:dyDescent="0.25">
      <c r="A152" s="33">
        <v>151</v>
      </c>
      <c r="B152" s="24">
        <v>44202</v>
      </c>
      <c r="C152" t="s">
        <v>39</v>
      </c>
      <c r="D152" t="s">
        <v>41</v>
      </c>
      <c r="E152">
        <v>2000707320</v>
      </c>
      <c r="F152">
        <v>822</v>
      </c>
      <c r="G152">
        <v>80</v>
      </c>
      <c r="H152">
        <v>0</v>
      </c>
      <c r="I152" t="s">
        <v>185</v>
      </c>
      <c r="J152" t="s">
        <v>645</v>
      </c>
      <c r="K152" t="s">
        <v>734</v>
      </c>
      <c r="O152">
        <v>0</v>
      </c>
      <c r="U152" t="s">
        <v>81</v>
      </c>
    </row>
    <row r="153" spans="1:21" x14ac:dyDescent="0.25">
      <c r="A153" s="33">
        <v>152</v>
      </c>
      <c r="B153" s="24">
        <v>44202</v>
      </c>
      <c r="C153" t="s">
        <v>39</v>
      </c>
      <c r="D153" t="s">
        <v>41</v>
      </c>
      <c r="E153">
        <v>2000706250</v>
      </c>
      <c r="F153">
        <v>2100</v>
      </c>
      <c r="G153">
        <v>30</v>
      </c>
      <c r="H153">
        <v>0</v>
      </c>
      <c r="I153" t="s">
        <v>185</v>
      </c>
      <c r="J153" t="s">
        <v>169</v>
      </c>
      <c r="K153" t="s">
        <v>179</v>
      </c>
      <c r="O153">
        <v>0</v>
      </c>
      <c r="U153" t="s">
        <v>81</v>
      </c>
    </row>
    <row r="154" spans="1:21" x14ac:dyDescent="0.25">
      <c r="A154" s="33">
        <v>153</v>
      </c>
      <c r="B154" s="24">
        <v>44202</v>
      </c>
      <c r="C154" t="s">
        <v>39</v>
      </c>
      <c r="D154" t="s">
        <v>41</v>
      </c>
      <c r="E154">
        <v>2000705818</v>
      </c>
      <c r="F154">
        <v>5424</v>
      </c>
      <c r="G154">
        <v>200</v>
      </c>
      <c r="H154">
        <v>0</v>
      </c>
      <c r="I154" t="s">
        <v>185</v>
      </c>
      <c r="J154" t="s">
        <v>200</v>
      </c>
      <c r="K154" t="s">
        <v>653</v>
      </c>
      <c r="O154">
        <v>0</v>
      </c>
      <c r="U154" t="s">
        <v>81</v>
      </c>
    </row>
    <row r="155" spans="1:21" x14ac:dyDescent="0.25">
      <c r="A155" s="33">
        <v>154</v>
      </c>
      <c r="B155" s="24">
        <v>44202</v>
      </c>
      <c r="C155" t="s">
        <v>39</v>
      </c>
      <c r="D155" t="s">
        <v>41</v>
      </c>
      <c r="E155">
        <v>2000706781</v>
      </c>
      <c r="F155">
        <v>2000</v>
      </c>
      <c r="G155">
        <v>80</v>
      </c>
      <c r="H155">
        <v>0</v>
      </c>
      <c r="I155" t="s">
        <v>185</v>
      </c>
      <c r="J155" t="s">
        <v>193</v>
      </c>
      <c r="K155" t="s">
        <v>647</v>
      </c>
      <c r="O155">
        <v>0</v>
      </c>
      <c r="U155" t="s">
        <v>81</v>
      </c>
    </row>
    <row r="156" spans="1:21" x14ac:dyDescent="0.25">
      <c r="A156" s="33">
        <v>155</v>
      </c>
      <c r="B156" s="24">
        <v>44202</v>
      </c>
      <c r="C156" t="s">
        <v>39</v>
      </c>
      <c r="D156" t="s">
        <v>41</v>
      </c>
      <c r="E156">
        <v>2000706021</v>
      </c>
      <c r="F156">
        <v>2100</v>
      </c>
      <c r="G156">
        <v>10</v>
      </c>
      <c r="H156">
        <v>0</v>
      </c>
      <c r="I156" t="s">
        <v>693</v>
      </c>
      <c r="J156" t="s">
        <v>172</v>
      </c>
      <c r="K156" t="s">
        <v>724</v>
      </c>
      <c r="O156">
        <v>0</v>
      </c>
      <c r="U156" t="s">
        <v>81</v>
      </c>
    </row>
    <row r="157" spans="1:21" x14ac:dyDescent="0.25">
      <c r="A157" s="33">
        <v>156</v>
      </c>
      <c r="B157" s="24">
        <v>44202</v>
      </c>
      <c r="C157" t="s">
        <v>39</v>
      </c>
      <c r="D157" t="s">
        <v>41</v>
      </c>
      <c r="E157">
        <v>2000706837</v>
      </c>
      <c r="F157">
        <v>3200</v>
      </c>
      <c r="G157">
        <v>240</v>
      </c>
      <c r="H157">
        <v>0</v>
      </c>
      <c r="I157" t="s">
        <v>693</v>
      </c>
      <c r="J157" t="s">
        <v>645</v>
      </c>
      <c r="K157" t="s">
        <v>721</v>
      </c>
      <c r="O157">
        <v>0</v>
      </c>
      <c r="U157" t="s">
        <v>81</v>
      </c>
    </row>
    <row r="158" spans="1:21" x14ac:dyDescent="0.25">
      <c r="A158" s="33">
        <v>157</v>
      </c>
      <c r="B158" s="24">
        <v>44202</v>
      </c>
      <c r="C158" t="s">
        <v>39</v>
      </c>
      <c r="D158" t="s">
        <v>41</v>
      </c>
      <c r="E158">
        <v>2000706795</v>
      </c>
      <c r="F158">
        <v>2000</v>
      </c>
      <c r="G158">
        <v>140</v>
      </c>
      <c r="H158">
        <v>0</v>
      </c>
      <c r="I158" t="s">
        <v>693</v>
      </c>
      <c r="J158" t="s">
        <v>172</v>
      </c>
      <c r="K158" t="s">
        <v>724</v>
      </c>
      <c r="O158">
        <v>0</v>
      </c>
      <c r="U158" t="s">
        <v>81</v>
      </c>
    </row>
    <row r="159" spans="1:21" x14ac:dyDescent="0.25">
      <c r="A159" s="33">
        <v>158</v>
      </c>
      <c r="B159" s="24">
        <v>44202</v>
      </c>
      <c r="C159" t="s">
        <v>39</v>
      </c>
      <c r="D159" t="s">
        <v>41</v>
      </c>
      <c r="E159">
        <v>2000706631</v>
      </c>
      <c r="F159">
        <v>2806</v>
      </c>
      <c r="G159">
        <v>45</v>
      </c>
      <c r="H159">
        <v>0</v>
      </c>
      <c r="I159" t="s">
        <v>693</v>
      </c>
      <c r="J159" t="s">
        <v>170</v>
      </c>
      <c r="K159" t="s">
        <v>171</v>
      </c>
      <c r="O159">
        <v>0</v>
      </c>
      <c r="U159" t="s">
        <v>81</v>
      </c>
    </row>
    <row r="160" spans="1:21" x14ac:dyDescent="0.25">
      <c r="A160" s="33">
        <v>159</v>
      </c>
      <c r="B160" s="24">
        <v>44202</v>
      </c>
      <c r="C160" t="s">
        <v>39</v>
      </c>
      <c r="D160" t="s">
        <v>41</v>
      </c>
      <c r="E160">
        <v>2000706277</v>
      </c>
      <c r="F160">
        <v>560</v>
      </c>
      <c r="G160">
        <v>80</v>
      </c>
      <c r="H160">
        <v>0</v>
      </c>
      <c r="I160" t="s">
        <v>183</v>
      </c>
      <c r="J160" t="s">
        <v>174</v>
      </c>
      <c r="K160" t="s">
        <v>695</v>
      </c>
      <c r="O160">
        <v>0</v>
      </c>
      <c r="U160" t="s">
        <v>81</v>
      </c>
    </row>
    <row r="161" spans="1:21" x14ac:dyDescent="0.25">
      <c r="A161" s="33">
        <v>160</v>
      </c>
      <c r="B161" s="24">
        <v>44202</v>
      </c>
      <c r="C161" t="s">
        <v>39</v>
      </c>
      <c r="D161" t="s">
        <v>41</v>
      </c>
      <c r="E161">
        <v>2000706278</v>
      </c>
      <c r="F161">
        <v>1120</v>
      </c>
      <c r="G161">
        <v>327</v>
      </c>
      <c r="H161">
        <v>0</v>
      </c>
      <c r="I161" t="s">
        <v>183</v>
      </c>
      <c r="J161" t="s">
        <v>174</v>
      </c>
      <c r="K161" t="s">
        <v>717</v>
      </c>
      <c r="O161">
        <v>0</v>
      </c>
      <c r="U161" t="s">
        <v>81</v>
      </c>
    </row>
    <row r="162" spans="1:21" x14ac:dyDescent="0.25">
      <c r="A162" s="33">
        <v>161</v>
      </c>
      <c r="B162" s="24">
        <v>44202</v>
      </c>
      <c r="C162" t="s">
        <v>39</v>
      </c>
      <c r="D162" t="s">
        <v>41</v>
      </c>
      <c r="E162">
        <v>2000706629</v>
      </c>
      <c r="F162">
        <v>764</v>
      </c>
      <c r="G162">
        <v>40</v>
      </c>
      <c r="H162">
        <v>0</v>
      </c>
      <c r="I162" t="s">
        <v>183</v>
      </c>
      <c r="J162" t="s">
        <v>174</v>
      </c>
      <c r="K162" t="s">
        <v>186</v>
      </c>
      <c r="O162">
        <v>0</v>
      </c>
      <c r="U162" t="s">
        <v>81</v>
      </c>
    </row>
    <row r="163" spans="1:21" x14ac:dyDescent="0.25">
      <c r="A163" s="33">
        <v>162</v>
      </c>
      <c r="B163" s="24">
        <v>44202</v>
      </c>
      <c r="C163" t="s">
        <v>39</v>
      </c>
      <c r="D163" t="s">
        <v>41</v>
      </c>
      <c r="E163">
        <v>2000706630</v>
      </c>
      <c r="F163">
        <v>1762</v>
      </c>
      <c r="G163">
        <v>260</v>
      </c>
      <c r="H163">
        <v>0</v>
      </c>
      <c r="I163" t="s">
        <v>183</v>
      </c>
      <c r="J163" t="s">
        <v>174</v>
      </c>
      <c r="K163" t="s">
        <v>662</v>
      </c>
      <c r="O163">
        <v>0</v>
      </c>
      <c r="U163" t="s">
        <v>81</v>
      </c>
    </row>
    <row r="164" spans="1:21" x14ac:dyDescent="0.25">
      <c r="A164" s="33">
        <v>163</v>
      </c>
      <c r="B164" s="24">
        <v>44202</v>
      </c>
      <c r="C164" t="s">
        <v>39</v>
      </c>
      <c r="D164" t="s">
        <v>41</v>
      </c>
      <c r="E164">
        <v>2000706278</v>
      </c>
      <c r="F164">
        <v>1120</v>
      </c>
      <c r="G164">
        <v>312</v>
      </c>
      <c r="H164">
        <v>0</v>
      </c>
      <c r="I164" t="s">
        <v>198</v>
      </c>
      <c r="J164" t="s">
        <v>174</v>
      </c>
      <c r="K164" t="s">
        <v>717</v>
      </c>
      <c r="O164">
        <v>0</v>
      </c>
      <c r="U164" t="s">
        <v>81</v>
      </c>
    </row>
    <row r="165" spans="1:21" x14ac:dyDescent="0.25">
      <c r="A165" s="33">
        <v>164</v>
      </c>
      <c r="B165" s="24">
        <v>44202</v>
      </c>
      <c r="C165" t="s">
        <v>39</v>
      </c>
      <c r="D165" t="s">
        <v>41</v>
      </c>
      <c r="E165">
        <v>2000706631</v>
      </c>
      <c r="F165">
        <v>2806</v>
      </c>
      <c r="G165">
        <v>180</v>
      </c>
      <c r="H165">
        <v>0</v>
      </c>
      <c r="I165" t="s">
        <v>198</v>
      </c>
      <c r="J165" t="s">
        <v>170</v>
      </c>
      <c r="K165" t="s">
        <v>171</v>
      </c>
      <c r="O165">
        <v>0</v>
      </c>
      <c r="U165" t="s">
        <v>81</v>
      </c>
    </row>
    <row r="166" spans="1:21" x14ac:dyDescent="0.25">
      <c r="A166" s="33">
        <v>165</v>
      </c>
      <c r="B166" s="24">
        <v>44202</v>
      </c>
      <c r="C166" t="s">
        <v>39</v>
      </c>
      <c r="D166" t="s">
        <v>41</v>
      </c>
      <c r="E166">
        <v>2000706629</v>
      </c>
      <c r="F166">
        <v>764</v>
      </c>
      <c r="G166">
        <v>200</v>
      </c>
      <c r="H166">
        <v>0</v>
      </c>
      <c r="I166" t="s">
        <v>198</v>
      </c>
      <c r="J166" t="s">
        <v>174</v>
      </c>
      <c r="K166" t="s">
        <v>186</v>
      </c>
      <c r="O166">
        <v>0</v>
      </c>
      <c r="U166" t="s">
        <v>81</v>
      </c>
    </row>
    <row r="167" spans="1:21" x14ac:dyDescent="0.25">
      <c r="A167" s="33">
        <v>166</v>
      </c>
      <c r="B167" s="24">
        <v>44202</v>
      </c>
      <c r="C167" t="s">
        <v>39</v>
      </c>
      <c r="D167" t="s">
        <v>41</v>
      </c>
      <c r="E167">
        <v>2000701041</v>
      </c>
      <c r="F167">
        <v>360</v>
      </c>
      <c r="G167">
        <v>32</v>
      </c>
      <c r="H167">
        <v>0</v>
      </c>
      <c r="I167" t="s">
        <v>198</v>
      </c>
      <c r="J167" t="s">
        <v>174</v>
      </c>
      <c r="K167" t="s">
        <v>735</v>
      </c>
      <c r="O167">
        <v>0</v>
      </c>
      <c r="U167" t="s">
        <v>81</v>
      </c>
    </row>
    <row r="168" spans="1:21" x14ac:dyDescent="0.25">
      <c r="A168" s="33">
        <v>167</v>
      </c>
      <c r="B168" s="24">
        <v>44202</v>
      </c>
      <c r="C168" t="s">
        <v>39</v>
      </c>
      <c r="D168" t="s">
        <v>41</v>
      </c>
      <c r="E168">
        <v>2000706631</v>
      </c>
      <c r="F168">
        <v>2806</v>
      </c>
      <c r="G168">
        <v>585</v>
      </c>
      <c r="H168">
        <v>0</v>
      </c>
      <c r="I168" t="s">
        <v>696</v>
      </c>
      <c r="J168" t="s">
        <v>170</v>
      </c>
      <c r="K168" t="s">
        <v>171</v>
      </c>
      <c r="O168">
        <v>0</v>
      </c>
      <c r="U168" t="s">
        <v>81</v>
      </c>
    </row>
    <row r="169" spans="1:21" x14ac:dyDescent="0.25">
      <c r="A169" s="33">
        <v>168</v>
      </c>
      <c r="B169" s="24">
        <v>44202</v>
      </c>
      <c r="C169" t="s">
        <v>39</v>
      </c>
      <c r="D169" t="s">
        <v>41</v>
      </c>
      <c r="E169">
        <v>2000707300</v>
      </c>
      <c r="F169">
        <v>1120</v>
      </c>
      <c r="G169">
        <v>300</v>
      </c>
      <c r="H169">
        <v>0</v>
      </c>
      <c r="I169" t="s">
        <v>680</v>
      </c>
      <c r="J169" t="s">
        <v>645</v>
      </c>
      <c r="K169" t="s">
        <v>736</v>
      </c>
      <c r="O169">
        <v>0</v>
      </c>
      <c r="U169" t="s">
        <v>81</v>
      </c>
    </row>
    <row r="170" spans="1:21" x14ac:dyDescent="0.25">
      <c r="A170" s="33">
        <v>169</v>
      </c>
      <c r="B170" s="24">
        <v>44202</v>
      </c>
      <c r="C170" t="s">
        <v>39</v>
      </c>
      <c r="D170" t="s">
        <v>41</v>
      </c>
      <c r="E170">
        <v>2000706151</v>
      </c>
      <c r="F170">
        <v>4230</v>
      </c>
      <c r="G170">
        <v>300</v>
      </c>
      <c r="H170">
        <v>0</v>
      </c>
      <c r="I170" t="s">
        <v>680</v>
      </c>
      <c r="J170" t="s">
        <v>199</v>
      </c>
      <c r="K170" t="s">
        <v>660</v>
      </c>
      <c r="O170">
        <v>0</v>
      </c>
      <c r="U170" t="s">
        <v>81</v>
      </c>
    </row>
    <row r="171" spans="1:21" x14ac:dyDescent="0.25">
      <c r="A171" s="33">
        <v>170</v>
      </c>
      <c r="B171" s="24">
        <v>44202</v>
      </c>
      <c r="C171" t="s">
        <v>39</v>
      </c>
      <c r="D171" t="s">
        <v>41</v>
      </c>
      <c r="E171">
        <v>2000706899</v>
      </c>
      <c r="F171">
        <v>7830</v>
      </c>
      <c r="G171">
        <v>300</v>
      </c>
      <c r="H171">
        <v>0</v>
      </c>
      <c r="I171" t="s">
        <v>680</v>
      </c>
      <c r="J171" t="s">
        <v>200</v>
      </c>
      <c r="K171" t="s">
        <v>737</v>
      </c>
      <c r="O171">
        <v>0</v>
      </c>
      <c r="U171" t="s">
        <v>81</v>
      </c>
    </row>
    <row r="172" spans="1:21" x14ac:dyDescent="0.25">
      <c r="A172" s="33">
        <v>171</v>
      </c>
      <c r="B172" s="24">
        <v>44202</v>
      </c>
      <c r="C172" t="s">
        <v>39</v>
      </c>
      <c r="D172" t="s">
        <v>41</v>
      </c>
      <c r="E172">
        <v>2000706435</v>
      </c>
      <c r="F172">
        <v>2100</v>
      </c>
      <c r="G172">
        <v>150</v>
      </c>
      <c r="H172">
        <v>0</v>
      </c>
      <c r="I172" t="s">
        <v>680</v>
      </c>
      <c r="J172" t="s">
        <v>196</v>
      </c>
      <c r="K172" t="s">
        <v>738</v>
      </c>
      <c r="O172">
        <v>0</v>
      </c>
      <c r="U172" t="s">
        <v>81</v>
      </c>
    </row>
    <row r="173" spans="1:21" x14ac:dyDescent="0.25">
      <c r="A173" s="33">
        <v>172</v>
      </c>
      <c r="B173" s="24">
        <v>44202</v>
      </c>
      <c r="C173" t="s">
        <v>39</v>
      </c>
      <c r="D173" t="s">
        <v>41</v>
      </c>
      <c r="E173">
        <v>2000706835</v>
      </c>
      <c r="F173">
        <v>3200</v>
      </c>
      <c r="G173">
        <v>200</v>
      </c>
      <c r="H173">
        <v>0</v>
      </c>
      <c r="I173" t="s">
        <v>680</v>
      </c>
      <c r="J173" t="s">
        <v>645</v>
      </c>
      <c r="K173" t="s">
        <v>739</v>
      </c>
      <c r="O173">
        <v>0</v>
      </c>
      <c r="U173" t="s">
        <v>81</v>
      </c>
    </row>
    <row r="174" spans="1:21" x14ac:dyDescent="0.25">
      <c r="A174" s="33">
        <v>173</v>
      </c>
      <c r="B174" s="24">
        <v>44202</v>
      </c>
      <c r="C174" t="s">
        <v>39</v>
      </c>
      <c r="D174" t="s">
        <v>41</v>
      </c>
      <c r="E174">
        <v>2000706282</v>
      </c>
      <c r="F174">
        <v>2000</v>
      </c>
      <c r="G174">
        <v>200</v>
      </c>
      <c r="H174">
        <v>0</v>
      </c>
      <c r="I174" t="s">
        <v>680</v>
      </c>
      <c r="J174" t="s">
        <v>193</v>
      </c>
      <c r="K174" t="s">
        <v>683</v>
      </c>
      <c r="O174">
        <v>0</v>
      </c>
      <c r="U174" t="s">
        <v>81</v>
      </c>
    </row>
    <row r="175" spans="1:21" x14ac:dyDescent="0.25">
      <c r="A175" s="33">
        <v>174</v>
      </c>
      <c r="B175" s="24">
        <v>44202</v>
      </c>
      <c r="C175" t="s">
        <v>39</v>
      </c>
      <c r="D175" t="s">
        <v>41</v>
      </c>
      <c r="E175">
        <v>2000706834</v>
      </c>
      <c r="F175">
        <v>3200</v>
      </c>
      <c r="G175">
        <v>200</v>
      </c>
      <c r="H175">
        <v>0</v>
      </c>
      <c r="I175" t="s">
        <v>680</v>
      </c>
      <c r="J175" t="s">
        <v>645</v>
      </c>
      <c r="K175" t="s">
        <v>658</v>
      </c>
      <c r="O175">
        <v>0</v>
      </c>
      <c r="U175" t="s">
        <v>81</v>
      </c>
    </row>
    <row r="176" spans="1:21" x14ac:dyDescent="0.25">
      <c r="A176" s="33">
        <v>175</v>
      </c>
      <c r="B176" s="24">
        <v>44202</v>
      </c>
      <c r="C176" t="s">
        <v>39</v>
      </c>
      <c r="D176" t="s">
        <v>41</v>
      </c>
      <c r="E176">
        <v>2000706793</v>
      </c>
      <c r="F176">
        <v>2000</v>
      </c>
      <c r="G176">
        <v>400</v>
      </c>
      <c r="H176">
        <v>0</v>
      </c>
      <c r="I176" t="s">
        <v>680</v>
      </c>
      <c r="J176" t="s">
        <v>172</v>
      </c>
      <c r="K176" t="s">
        <v>725</v>
      </c>
      <c r="O176">
        <v>0</v>
      </c>
      <c r="U176" t="s">
        <v>81</v>
      </c>
    </row>
    <row r="177" spans="1:21" x14ac:dyDescent="0.25">
      <c r="A177" s="33">
        <v>176</v>
      </c>
      <c r="B177" s="24">
        <v>44202</v>
      </c>
      <c r="C177" t="s">
        <v>39</v>
      </c>
      <c r="D177" t="s">
        <v>41</v>
      </c>
      <c r="E177">
        <v>2000706836</v>
      </c>
      <c r="F177">
        <v>3200</v>
      </c>
      <c r="G177">
        <v>150</v>
      </c>
      <c r="H177">
        <v>0</v>
      </c>
      <c r="I177" t="s">
        <v>680</v>
      </c>
      <c r="J177" t="s">
        <v>645</v>
      </c>
      <c r="K177" t="s">
        <v>658</v>
      </c>
      <c r="O177">
        <v>0</v>
      </c>
      <c r="U177" t="s">
        <v>81</v>
      </c>
    </row>
    <row r="178" spans="1:21" x14ac:dyDescent="0.25">
      <c r="A178" s="33">
        <v>177</v>
      </c>
      <c r="B178" s="24">
        <v>44202</v>
      </c>
      <c r="C178" t="s">
        <v>39</v>
      </c>
      <c r="D178" t="s">
        <v>41</v>
      </c>
      <c r="E178">
        <v>2000706758</v>
      </c>
      <c r="F178">
        <v>448</v>
      </c>
      <c r="G178">
        <v>150</v>
      </c>
      <c r="H178">
        <v>0</v>
      </c>
      <c r="I178" t="s">
        <v>680</v>
      </c>
      <c r="J178" t="s">
        <v>645</v>
      </c>
      <c r="K178" t="s">
        <v>740</v>
      </c>
      <c r="O178">
        <v>0</v>
      </c>
      <c r="U178" t="s">
        <v>81</v>
      </c>
    </row>
    <row r="179" spans="1:21" x14ac:dyDescent="0.25">
      <c r="A179" s="33">
        <v>178</v>
      </c>
      <c r="B179" s="24">
        <v>44202</v>
      </c>
      <c r="C179" t="s">
        <v>39</v>
      </c>
      <c r="D179" t="s">
        <v>51</v>
      </c>
      <c r="E179">
        <v>2000705977</v>
      </c>
      <c r="F179">
        <v>450</v>
      </c>
      <c r="G179">
        <v>60</v>
      </c>
      <c r="H179">
        <v>0</v>
      </c>
      <c r="I179" t="s">
        <v>706</v>
      </c>
      <c r="J179" t="s">
        <v>673</v>
      </c>
      <c r="K179" t="s">
        <v>674</v>
      </c>
      <c r="O179">
        <v>0</v>
      </c>
      <c r="U179" t="s">
        <v>81</v>
      </c>
    </row>
    <row r="180" spans="1:21" x14ac:dyDescent="0.25">
      <c r="A180" s="33">
        <v>179</v>
      </c>
      <c r="B180" s="24">
        <v>44202</v>
      </c>
      <c r="C180" t="s">
        <v>39</v>
      </c>
      <c r="D180" t="s">
        <v>51</v>
      </c>
      <c r="E180">
        <v>2000705979</v>
      </c>
      <c r="F180">
        <v>370</v>
      </c>
      <c r="G180">
        <v>25</v>
      </c>
      <c r="H180">
        <v>0</v>
      </c>
      <c r="I180" t="s">
        <v>706</v>
      </c>
      <c r="J180" t="s">
        <v>669</v>
      </c>
      <c r="K180" t="s">
        <v>741</v>
      </c>
      <c r="O180">
        <v>0</v>
      </c>
      <c r="U180" t="s">
        <v>81</v>
      </c>
    </row>
    <row r="181" spans="1:21" x14ac:dyDescent="0.25">
      <c r="A181" s="33">
        <v>180</v>
      </c>
      <c r="B181" s="24">
        <v>44202</v>
      </c>
      <c r="C181" t="s">
        <v>39</v>
      </c>
      <c r="D181" t="s">
        <v>51</v>
      </c>
      <c r="E181">
        <v>2000705994</v>
      </c>
      <c r="F181">
        <v>760</v>
      </c>
      <c r="G181">
        <v>207</v>
      </c>
      <c r="H181">
        <v>0</v>
      </c>
      <c r="I181" t="s">
        <v>706</v>
      </c>
      <c r="J181" t="s">
        <v>673</v>
      </c>
      <c r="K181" t="s">
        <v>708</v>
      </c>
      <c r="O181">
        <v>0</v>
      </c>
      <c r="U181" t="s">
        <v>81</v>
      </c>
    </row>
    <row r="182" spans="1:21" x14ac:dyDescent="0.25">
      <c r="A182" s="33">
        <v>181</v>
      </c>
      <c r="B182" s="24">
        <v>44202</v>
      </c>
      <c r="C182" t="s">
        <v>39</v>
      </c>
      <c r="D182" t="s">
        <v>51</v>
      </c>
      <c r="E182">
        <v>2000705980</v>
      </c>
      <c r="F182">
        <v>600</v>
      </c>
      <c r="G182">
        <v>310</v>
      </c>
      <c r="H182">
        <v>0</v>
      </c>
      <c r="I182" t="s">
        <v>706</v>
      </c>
      <c r="J182" t="s">
        <v>669</v>
      </c>
      <c r="K182" t="s">
        <v>707</v>
      </c>
      <c r="O182">
        <v>0</v>
      </c>
      <c r="U182" t="s">
        <v>81</v>
      </c>
    </row>
    <row r="183" spans="1:21" x14ac:dyDescent="0.25">
      <c r="A183" s="33">
        <v>182</v>
      </c>
      <c r="B183" s="24">
        <v>44202</v>
      </c>
      <c r="C183" t="s">
        <v>39</v>
      </c>
      <c r="D183" t="s">
        <v>51</v>
      </c>
      <c r="E183">
        <v>2000706610</v>
      </c>
      <c r="F183">
        <v>540</v>
      </c>
      <c r="G183">
        <v>96</v>
      </c>
      <c r="H183">
        <v>0</v>
      </c>
      <c r="I183" t="s">
        <v>706</v>
      </c>
      <c r="J183" t="s">
        <v>709</v>
      </c>
      <c r="K183" t="s">
        <v>710</v>
      </c>
      <c r="O183">
        <v>0</v>
      </c>
      <c r="U183" t="s">
        <v>81</v>
      </c>
    </row>
    <row r="184" spans="1:21" x14ac:dyDescent="0.25">
      <c r="A184" s="33">
        <v>183</v>
      </c>
      <c r="B184" s="24">
        <v>44202</v>
      </c>
      <c r="C184" t="s">
        <v>39</v>
      </c>
      <c r="D184" t="s">
        <v>51</v>
      </c>
      <c r="E184">
        <v>2000706299</v>
      </c>
      <c r="F184">
        <v>300</v>
      </c>
      <c r="G184">
        <v>120</v>
      </c>
      <c r="H184">
        <v>0</v>
      </c>
      <c r="I184" t="s">
        <v>706</v>
      </c>
      <c r="J184" t="s">
        <v>673</v>
      </c>
      <c r="K184" t="s">
        <v>742</v>
      </c>
      <c r="O184">
        <v>0</v>
      </c>
      <c r="U184" t="s">
        <v>81</v>
      </c>
    </row>
    <row r="185" spans="1:21" x14ac:dyDescent="0.25">
      <c r="A185" s="33">
        <v>184</v>
      </c>
      <c r="B185" s="24">
        <v>44202</v>
      </c>
      <c r="C185" t="s">
        <v>39</v>
      </c>
      <c r="D185" t="s">
        <v>51</v>
      </c>
      <c r="E185">
        <v>2000705981</v>
      </c>
      <c r="F185">
        <v>736</v>
      </c>
      <c r="G185">
        <v>140</v>
      </c>
      <c r="H185">
        <v>0</v>
      </c>
      <c r="I185" t="s">
        <v>706</v>
      </c>
      <c r="J185" t="s">
        <v>709</v>
      </c>
      <c r="K185" t="s">
        <v>743</v>
      </c>
      <c r="O185">
        <v>0</v>
      </c>
      <c r="U185" t="s">
        <v>81</v>
      </c>
    </row>
    <row r="186" spans="1:21" x14ac:dyDescent="0.25">
      <c r="A186" s="33">
        <v>185</v>
      </c>
      <c r="B186" s="24">
        <v>44202</v>
      </c>
      <c r="C186" t="s">
        <v>39</v>
      </c>
      <c r="D186" t="s">
        <v>51</v>
      </c>
      <c r="E186">
        <v>2000706603</v>
      </c>
      <c r="F186">
        <v>180</v>
      </c>
      <c r="G186">
        <v>70</v>
      </c>
      <c r="H186">
        <v>0</v>
      </c>
      <c r="I186" t="s">
        <v>706</v>
      </c>
      <c r="J186" t="s">
        <v>669</v>
      </c>
      <c r="K186" t="s">
        <v>744</v>
      </c>
      <c r="O186">
        <v>0</v>
      </c>
      <c r="U186" t="s">
        <v>81</v>
      </c>
    </row>
    <row r="187" spans="1:21" x14ac:dyDescent="0.25">
      <c r="A187" s="33">
        <v>186</v>
      </c>
      <c r="B187" s="24">
        <v>44202</v>
      </c>
      <c r="C187" t="s">
        <v>181</v>
      </c>
      <c r="D187" t="s">
        <v>41</v>
      </c>
      <c r="E187">
        <v>2000706630</v>
      </c>
      <c r="F187">
        <v>1762</v>
      </c>
      <c r="G187">
        <v>40</v>
      </c>
      <c r="H187">
        <v>0</v>
      </c>
      <c r="I187" t="s">
        <v>194</v>
      </c>
      <c r="J187" t="s">
        <v>174</v>
      </c>
      <c r="K187" t="s">
        <v>662</v>
      </c>
      <c r="O187">
        <v>0</v>
      </c>
      <c r="U187" t="s">
        <v>81</v>
      </c>
    </row>
    <row r="188" spans="1:21" x14ac:dyDescent="0.25">
      <c r="A188" s="33">
        <v>187</v>
      </c>
      <c r="B188" s="24">
        <v>44202</v>
      </c>
      <c r="C188" t="s">
        <v>181</v>
      </c>
      <c r="D188" t="s">
        <v>41</v>
      </c>
      <c r="E188">
        <v>2000701041</v>
      </c>
      <c r="F188">
        <v>360</v>
      </c>
      <c r="G188">
        <v>32</v>
      </c>
      <c r="H188">
        <v>0</v>
      </c>
      <c r="I188" t="s">
        <v>194</v>
      </c>
      <c r="J188" t="s">
        <v>174</v>
      </c>
      <c r="K188" t="s">
        <v>735</v>
      </c>
      <c r="O188">
        <v>0</v>
      </c>
      <c r="U188" t="s">
        <v>83</v>
      </c>
    </row>
    <row r="189" spans="1:21" x14ac:dyDescent="0.25">
      <c r="A189" s="33">
        <v>188</v>
      </c>
      <c r="B189" s="24">
        <v>44202</v>
      </c>
      <c r="C189" t="s">
        <v>181</v>
      </c>
      <c r="D189" t="s">
        <v>41</v>
      </c>
      <c r="E189">
        <v>2000706278</v>
      </c>
      <c r="F189">
        <v>1120</v>
      </c>
      <c r="G189">
        <v>32</v>
      </c>
      <c r="H189">
        <v>0</v>
      </c>
      <c r="I189" t="s">
        <v>194</v>
      </c>
      <c r="J189" t="s">
        <v>174</v>
      </c>
      <c r="K189" t="s">
        <v>717</v>
      </c>
      <c r="O189">
        <v>0</v>
      </c>
      <c r="U189" t="s">
        <v>83</v>
      </c>
    </row>
    <row r="190" spans="1:21" x14ac:dyDescent="0.25">
      <c r="A190" s="33">
        <v>189</v>
      </c>
      <c r="B190" s="24">
        <v>44202</v>
      </c>
      <c r="C190" t="s">
        <v>181</v>
      </c>
      <c r="D190" t="s">
        <v>41</v>
      </c>
      <c r="E190">
        <v>2000706620</v>
      </c>
      <c r="F190">
        <v>880</v>
      </c>
      <c r="G190">
        <v>40</v>
      </c>
      <c r="H190">
        <v>0</v>
      </c>
      <c r="I190" t="s">
        <v>194</v>
      </c>
      <c r="J190" t="s">
        <v>169</v>
      </c>
      <c r="K190" t="s">
        <v>663</v>
      </c>
      <c r="O190">
        <v>0</v>
      </c>
      <c r="U190" t="s">
        <v>81</v>
      </c>
    </row>
    <row r="191" spans="1:21" x14ac:dyDescent="0.25">
      <c r="A191" s="33">
        <v>190</v>
      </c>
      <c r="B191" s="24">
        <v>44202</v>
      </c>
      <c r="C191" t="s">
        <v>181</v>
      </c>
      <c r="D191" t="s">
        <v>41</v>
      </c>
      <c r="E191">
        <v>2000706916</v>
      </c>
      <c r="F191">
        <v>1050</v>
      </c>
      <c r="G191">
        <v>120</v>
      </c>
      <c r="H191">
        <v>0</v>
      </c>
      <c r="I191" t="s">
        <v>194</v>
      </c>
      <c r="J191" t="s">
        <v>203</v>
      </c>
      <c r="K191" t="s">
        <v>638</v>
      </c>
      <c r="O191">
        <v>0</v>
      </c>
      <c r="U191" t="s">
        <v>81</v>
      </c>
    </row>
    <row r="192" spans="1:21" x14ac:dyDescent="0.25">
      <c r="A192" s="33">
        <v>191</v>
      </c>
      <c r="B192" s="24">
        <v>44202</v>
      </c>
      <c r="C192" t="s">
        <v>181</v>
      </c>
      <c r="D192" t="s">
        <v>41</v>
      </c>
      <c r="E192">
        <v>2000706795</v>
      </c>
      <c r="F192">
        <v>2000</v>
      </c>
      <c r="G192">
        <v>10</v>
      </c>
      <c r="H192">
        <v>0</v>
      </c>
      <c r="I192" t="s">
        <v>194</v>
      </c>
      <c r="J192" t="s">
        <v>172</v>
      </c>
      <c r="K192" t="s">
        <v>724</v>
      </c>
      <c r="O192">
        <v>0</v>
      </c>
      <c r="U192" t="s">
        <v>81</v>
      </c>
    </row>
    <row r="193" spans="1:21" x14ac:dyDescent="0.25">
      <c r="A193" s="33">
        <v>192</v>
      </c>
      <c r="B193" s="24">
        <v>44202</v>
      </c>
      <c r="C193" t="s">
        <v>181</v>
      </c>
      <c r="D193" t="s">
        <v>41</v>
      </c>
      <c r="E193">
        <v>2000707407</v>
      </c>
      <c r="F193">
        <v>880</v>
      </c>
      <c r="G193">
        <v>20</v>
      </c>
      <c r="H193">
        <v>0</v>
      </c>
      <c r="I193" t="s">
        <v>194</v>
      </c>
      <c r="J193" t="s">
        <v>169</v>
      </c>
      <c r="K193" t="s">
        <v>190</v>
      </c>
      <c r="O193">
        <v>0</v>
      </c>
      <c r="U193" t="s">
        <v>81</v>
      </c>
    </row>
    <row r="194" spans="1:21" x14ac:dyDescent="0.25">
      <c r="A194" s="33">
        <v>193</v>
      </c>
      <c r="B194" s="24">
        <v>44202</v>
      </c>
      <c r="C194" t="s">
        <v>181</v>
      </c>
      <c r="D194" t="s">
        <v>41</v>
      </c>
      <c r="E194">
        <v>2000706632</v>
      </c>
      <c r="F194">
        <v>2610</v>
      </c>
      <c r="G194">
        <v>45</v>
      </c>
      <c r="H194">
        <v>0</v>
      </c>
      <c r="I194" t="s">
        <v>194</v>
      </c>
      <c r="J194" t="s">
        <v>170</v>
      </c>
      <c r="K194" t="s">
        <v>171</v>
      </c>
      <c r="O194">
        <v>0</v>
      </c>
      <c r="U194" t="s">
        <v>81</v>
      </c>
    </row>
    <row r="195" spans="1:21" x14ac:dyDescent="0.25">
      <c r="A195" s="33">
        <v>194</v>
      </c>
      <c r="B195" s="24">
        <v>44202</v>
      </c>
      <c r="C195" t="s">
        <v>181</v>
      </c>
      <c r="D195" t="s">
        <v>41</v>
      </c>
      <c r="E195">
        <v>2000706629</v>
      </c>
      <c r="F195">
        <v>764</v>
      </c>
      <c r="G195">
        <v>280</v>
      </c>
      <c r="H195">
        <v>0</v>
      </c>
      <c r="I195" t="s">
        <v>666</v>
      </c>
      <c r="J195" t="s">
        <v>174</v>
      </c>
      <c r="K195" t="s">
        <v>186</v>
      </c>
      <c r="O195">
        <v>0</v>
      </c>
      <c r="U195" t="s">
        <v>81</v>
      </c>
    </row>
    <row r="196" spans="1:21" x14ac:dyDescent="0.25">
      <c r="A196" s="33">
        <v>195</v>
      </c>
      <c r="B196" s="24">
        <v>44202</v>
      </c>
      <c r="C196" t="s">
        <v>181</v>
      </c>
      <c r="D196" t="s">
        <v>41</v>
      </c>
      <c r="E196">
        <v>2000706246</v>
      </c>
      <c r="F196">
        <v>3900</v>
      </c>
      <c r="G196">
        <v>240</v>
      </c>
      <c r="H196">
        <v>0</v>
      </c>
      <c r="I196" t="s">
        <v>666</v>
      </c>
      <c r="J196" t="s">
        <v>687</v>
      </c>
      <c r="K196" t="s">
        <v>688</v>
      </c>
      <c r="O196">
        <v>0</v>
      </c>
      <c r="U196" t="s">
        <v>81</v>
      </c>
    </row>
    <row r="197" spans="1:21" x14ac:dyDescent="0.25">
      <c r="A197" s="33">
        <v>196</v>
      </c>
      <c r="B197" s="24">
        <v>44202</v>
      </c>
      <c r="C197" t="s">
        <v>181</v>
      </c>
      <c r="D197" t="s">
        <v>41</v>
      </c>
      <c r="E197">
        <v>2000706630</v>
      </c>
      <c r="F197">
        <v>1762</v>
      </c>
      <c r="G197">
        <v>180</v>
      </c>
      <c r="H197">
        <v>0</v>
      </c>
      <c r="I197" t="s">
        <v>666</v>
      </c>
      <c r="J197" t="s">
        <v>174</v>
      </c>
      <c r="K197" t="s">
        <v>662</v>
      </c>
      <c r="O197">
        <v>0</v>
      </c>
      <c r="U197" t="s">
        <v>81</v>
      </c>
    </row>
    <row r="198" spans="1:21" x14ac:dyDescent="0.25">
      <c r="A198" s="33">
        <v>197</v>
      </c>
      <c r="B198" s="24">
        <v>44202</v>
      </c>
      <c r="C198" t="s">
        <v>181</v>
      </c>
      <c r="D198" t="s">
        <v>41</v>
      </c>
      <c r="E198">
        <v>2000706631</v>
      </c>
      <c r="F198">
        <v>2806</v>
      </c>
      <c r="G198">
        <v>511</v>
      </c>
      <c r="H198">
        <v>0</v>
      </c>
      <c r="I198" t="s">
        <v>178</v>
      </c>
      <c r="J198" t="s">
        <v>174</v>
      </c>
      <c r="K198" t="s">
        <v>171</v>
      </c>
      <c r="O198">
        <v>0</v>
      </c>
      <c r="U198" t="s">
        <v>81</v>
      </c>
    </row>
    <row r="199" spans="1:21" x14ac:dyDescent="0.25">
      <c r="A199" s="33">
        <v>198</v>
      </c>
      <c r="B199" s="24">
        <v>44202</v>
      </c>
      <c r="C199" t="s">
        <v>181</v>
      </c>
      <c r="D199" t="s">
        <v>41</v>
      </c>
      <c r="E199">
        <v>2000706630</v>
      </c>
      <c r="F199">
        <v>1762</v>
      </c>
      <c r="G199">
        <v>120</v>
      </c>
      <c r="H199">
        <v>0</v>
      </c>
      <c r="I199" t="s">
        <v>178</v>
      </c>
      <c r="J199" t="s">
        <v>174</v>
      </c>
      <c r="K199" t="s">
        <v>662</v>
      </c>
      <c r="O199">
        <v>0</v>
      </c>
      <c r="U199" t="s">
        <v>81</v>
      </c>
    </row>
    <row r="200" spans="1:21" x14ac:dyDescent="0.25">
      <c r="A200" s="33">
        <v>199</v>
      </c>
      <c r="B200" s="24">
        <v>44202</v>
      </c>
      <c r="C200" t="s">
        <v>181</v>
      </c>
      <c r="D200" t="s">
        <v>41</v>
      </c>
      <c r="E200">
        <v>2000706629</v>
      </c>
      <c r="F200">
        <v>764</v>
      </c>
      <c r="G200">
        <v>80</v>
      </c>
      <c r="H200">
        <v>0</v>
      </c>
      <c r="I200" t="s">
        <v>178</v>
      </c>
      <c r="J200" t="s">
        <v>174</v>
      </c>
      <c r="K200" t="s">
        <v>186</v>
      </c>
      <c r="O200">
        <v>0</v>
      </c>
      <c r="U200" t="s">
        <v>81</v>
      </c>
    </row>
    <row r="201" spans="1:21" x14ac:dyDescent="0.25">
      <c r="A201" s="33">
        <v>200</v>
      </c>
      <c r="B201" s="24">
        <v>44202</v>
      </c>
      <c r="C201" t="s">
        <v>181</v>
      </c>
      <c r="D201" t="s">
        <v>41</v>
      </c>
      <c r="E201">
        <v>2000706632</v>
      </c>
      <c r="F201">
        <v>2610</v>
      </c>
      <c r="G201">
        <v>135</v>
      </c>
      <c r="H201">
        <v>0</v>
      </c>
      <c r="I201" t="s">
        <v>178</v>
      </c>
      <c r="J201" t="s">
        <v>170</v>
      </c>
      <c r="K201" t="s">
        <v>171</v>
      </c>
      <c r="O201">
        <v>0</v>
      </c>
      <c r="U201" t="s">
        <v>81</v>
      </c>
    </row>
    <row r="202" spans="1:21" x14ac:dyDescent="0.25">
      <c r="A202" s="33">
        <v>201</v>
      </c>
      <c r="B202" s="24">
        <v>44202</v>
      </c>
      <c r="C202" t="s">
        <v>181</v>
      </c>
      <c r="D202" t="s">
        <v>41</v>
      </c>
      <c r="E202">
        <v>2000706630</v>
      </c>
      <c r="F202">
        <v>1762</v>
      </c>
      <c r="G202">
        <v>400</v>
      </c>
      <c r="H202">
        <v>0</v>
      </c>
      <c r="I202" t="s">
        <v>665</v>
      </c>
      <c r="J202" t="s">
        <v>174</v>
      </c>
      <c r="K202" t="s">
        <v>662</v>
      </c>
      <c r="O202">
        <v>0</v>
      </c>
      <c r="U202" t="s">
        <v>81</v>
      </c>
    </row>
    <row r="203" spans="1:21" x14ac:dyDescent="0.25">
      <c r="A203" s="33">
        <v>202</v>
      </c>
      <c r="B203" s="24">
        <v>44202</v>
      </c>
      <c r="C203" t="s">
        <v>181</v>
      </c>
      <c r="D203" t="s">
        <v>41</v>
      </c>
      <c r="E203">
        <v>2000703702</v>
      </c>
      <c r="F203">
        <v>720</v>
      </c>
      <c r="G203">
        <v>10</v>
      </c>
      <c r="H203">
        <v>0</v>
      </c>
      <c r="I203" t="s">
        <v>661</v>
      </c>
      <c r="J203" t="s">
        <v>174</v>
      </c>
      <c r="K203" t="s">
        <v>205</v>
      </c>
      <c r="O203">
        <v>0</v>
      </c>
      <c r="U203" t="s">
        <v>81</v>
      </c>
    </row>
    <row r="204" spans="1:21" x14ac:dyDescent="0.25">
      <c r="A204" s="33">
        <v>203</v>
      </c>
      <c r="B204" s="24">
        <v>44202</v>
      </c>
      <c r="C204" t="s">
        <v>181</v>
      </c>
      <c r="D204" t="s">
        <v>41</v>
      </c>
      <c r="E204">
        <v>2000706631</v>
      </c>
      <c r="F204">
        <v>2806</v>
      </c>
      <c r="G204">
        <v>495</v>
      </c>
      <c r="H204">
        <v>0</v>
      </c>
      <c r="I204" t="s">
        <v>661</v>
      </c>
      <c r="J204" t="s">
        <v>170</v>
      </c>
      <c r="K204" t="s">
        <v>171</v>
      </c>
      <c r="O204">
        <v>0</v>
      </c>
      <c r="U204" t="s">
        <v>81</v>
      </c>
    </row>
    <row r="205" spans="1:21" x14ac:dyDescent="0.25">
      <c r="A205" s="33">
        <v>204</v>
      </c>
      <c r="B205" s="24">
        <v>44202</v>
      </c>
      <c r="C205" t="s">
        <v>181</v>
      </c>
      <c r="D205" t="s">
        <v>41</v>
      </c>
      <c r="E205">
        <v>2000706632</v>
      </c>
      <c r="F205">
        <v>2610</v>
      </c>
      <c r="G205">
        <v>180</v>
      </c>
      <c r="H205">
        <v>0</v>
      </c>
      <c r="I205" t="s">
        <v>661</v>
      </c>
      <c r="J205" t="s">
        <v>170</v>
      </c>
      <c r="K205" t="s">
        <v>171</v>
      </c>
      <c r="O205">
        <v>0</v>
      </c>
      <c r="U205" t="s">
        <v>81</v>
      </c>
    </row>
    <row r="206" spans="1:21" x14ac:dyDescent="0.25">
      <c r="A206" s="33">
        <v>205</v>
      </c>
      <c r="B206" s="24">
        <v>44202</v>
      </c>
      <c r="C206" t="s">
        <v>181</v>
      </c>
      <c r="D206" t="s">
        <v>41</v>
      </c>
      <c r="E206">
        <v>2000705735</v>
      </c>
      <c r="F206">
        <v>2160</v>
      </c>
      <c r="G206">
        <v>240</v>
      </c>
      <c r="H206">
        <v>0</v>
      </c>
      <c r="I206" t="s">
        <v>201</v>
      </c>
      <c r="J206" t="s">
        <v>203</v>
      </c>
      <c r="K206" t="s">
        <v>640</v>
      </c>
      <c r="O206">
        <v>0</v>
      </c>
      <c r="U206" t="s">
        <v>81</v>
      </c>
    </row>
    <row r="207" spans="1:21" x14ac:dyDescent="0.25">
      <c r="A207" s="33">
        <v>206</v>
      </c>
      <c r="B207" s="24">
        <v>44202</v>
      </c>
      <c r="C207" t="s">
        <v>181</v>
      </c>
      <c r="D207" t="s">
        <v>41</v>
      </c>
      <c r="E207">
        <v>2000706835</v>
      </c>
      <c r="F207">
        <v>3200</v>
      </c>
      <c r="G207">
        <v>200</v>
      </c>
      <c r="H207">
        <v>0</v>
      </c>
      <c r="I207" t="s">
        <v>201</v>
      </c>
      <c r="J207" t="s">
        <v>645</v>
      </c>
      <c r="K207" t="s">
        <v>739</v>
      </c>
      <c r="O207">
        <v>0</v>
      </c>
      <c r="U207" t="s">
        <v>81</v>
      </c>
    </row>
    <row r="208" spans="1:21" x14ac:dyDescent="0.25">
      <c r="A208" s="33">
        <v>207</v>
      </c>
      <c r="B208" s="24">
        <v>44202</v>
      </c>
      <c r="C208" t="s">
        <v>181</v>
      </c>
      <c r="D208" t="s">
        <v>41</v>
      </c>
      <c r="E208">
        <v>2000706899</v>
      </c>
      <c r="F208">
        <v>7830</v>
      </c>
      <c r="G208">
        <v>300</v>
      </c>
      <c r="H208">
        <v>0</v>
      </c>
      <c r="I208" t="s">
        <v>201</v>
      </c>
      <c r="J208" t="s">
        <v>200</v>
      </c>
      <c r="K208" t="s">
        <v>737</v>
      </c>
      <c r="O208">
        <v>0</v>
      </c>
      <c r="U208" t="s">
        <v>81</v>
      </c>
    </row>
    <row r="209" spans="1:21" x14ac:dyDescent="0.25">
      <c r="A209" s="33">
        <v>208</v>
      </c>
      <c r="B209" s="24">
        <v>44202</v>
      </c>
      <c r="C209" t="s">
        <v>181</v>
      </c>
      <c r="D209" t="s">
        <v>41</v>
      </c>
      <c r="E209">
        <v>2000706760</v>
      </c>
      <c r="F209">
        <v>1720</v>
      </c>
      <c r="G209">
        <v>200</v>
      </c>
      <c r="H209">
        <v>0</v>
      </c>
      <c r="I209" t="s">
        <v>201</v>
      </c>
      <c r="J209" t="s">
        <v>745</v>
      </c>
      <c r="K209" t="s">
        <v>746</v>
      </c>
      <c r="O209">
        <v>0</v>
      </c>
      <c r="T209">
        <v>0</v>
      </c>
      <c r="U209" t="s">
        <v>81</v>
      </c>
    </row>
    <row r="210" spans="1:21" x14ac:dyDescent="0.25">
      <c r="A210" s="33">
        <v>209</v>
      </c>
      <c r="B210" s="24">
        <v>44202</v>
      </c>
      <c r="C210" t="s">
        <v>181</v>
      </c>
      <c r="D210" t="s">
        <v>41</v>
      </c>
      <c r="E210">
        <v>2000706020</v>
      </c>
      <c r="F210">
        <v>1672</v>
      </c>
      <c r="G210">
        <v>400</v>
      </c>
      <c r="H210">
        <v>0</v>
      </c>
      <c r="I210" t="s">
        <v>201</v>
      </c>
      <c r="J210" t="s">
        <v>172</v>
      </c>
      <c r="K210" t="s">
        <v>725</v>
      </c>
      <c r="O210">
        <v>0</v>
      </c>
      <c r="U210" t="s">
        <v>81</v>
      </c>
    </row>
    <row r="211" spans="1:21" x14ac:dyDescent="0.25">
      <c r="A211" s="33">
        <v>210</v>
      </c>
      <c r="B211" s="24">
        <v>44202</v>
      </c>
      <c r="C211" t="s">
        <v>181</v>
      </c>
      <c r="D211" t="s">
        <v>41</v>
      </c>
      <c r="E211">
        <v>2000706836</v>
      </c>
      <c r="F211">
        <v>3200</v>
      </c>
      <c r="G211">
        <v>300</v>
      </c>
      <c r="H211">
        <v>0</v>
      </c>
      <c r="I211" t="s">
        <v>201</v>
      </c>
      <c r="J211" t="s">
        <v>645</v>
      </c>
      <c r="K211" t="s">
        <v>658</v>
      </c>
      <c r="O211">
        <v>0</v>
      </c>
      <c r="U211" t="s">
        <v>81</v>
      </c>
    </row>
    <row r="212" spans="1:21" x14ac:dyDescent="0.25">
      <c r="A212" s="33">
        <v>211</v>
      </c>
      <c r="B212" s="24">
        <v>44202</v>
      </c>
      <c r="C212" t="s">
        <v>181</v>
      </c>
      <c r="D212" t="s">
        <v>41</v>
      </c>
      <c r="E212">
        <v>2000705367</v>
      </c>
      <c r="F212">
        <v>560</v>
      </c>
      <c r="G212">
        <v>80</v>
      </c>
      <c r="H212">
        <v>0</v>
      </c>
      <c r="I212" t="s">
        <v>201</v>
      </c>
      <c r="J212" t="s">
        <v>645</v>
      </c>
      <c r="K212" t="s">
        <v>747</v>
      </c>
      <c r="O212">
        <v>0</v>
      </c>
      <c r="U212" t="s">
        <v>81</v>
      </c>
    </row>
    <row r="213" spans="1:21" x14ac:dyDescent="0.25">
      <c r="A213" s="33">
        <v>212</v>
      </c>
      <c r="B213" s="24">
        <v>44202</v>
      </c>
      <c r="C213" t="s">
        <v>181</v>
      </c>
      <c r="D213" t="s">
        <v>41</v>
      </c>
      <c r="E213">
        <v>2000705735</v>
      </c>
      <c r="F213">
        <v>2160</v>
      </c>
      <c r="G213">
        <v>240</v>
      </c>
      <c r="H213">
        <v>0</v>
      </c>
      <c r="I213" t="s">
        <v>201</v>
      </c>
      <c r="J213" t="s">
        <v>203</v>
      </c>
      <c r="K213" t="s">
        <v>748</v>
      </c>
      <c r="O213">
        <v>0</v>
      </c>
      <c r="U213" t="s">
        <v>81</v>
      </c>
    </row>
    <row r="214" spans="1:21" x14ac:dyDescent="0.25">
      <c r="A214" s="33">
        <v>213</v>
      </c>
      <c r="B214" s="24">
        <v>44202</v>
      </c>
      <c r="C214" t="s">
        <v>181</v>
      </c>
      <c r="D214" t="s">
        <v>41</v>
      </c>
      <c r="E214">
        <v>2000706777</v>
      </c>
      <c r="F214">
        <v>2000</v>
      </c>
      <c r="G214">
        <v>200</v>
      </c>
      <c r="H214">
        <v>0</v>
      </c>
      <c r="I214" t="s">
        <v>201</v>
      </c>
      <c r="J214" t="s">
        <v>193</v>
      </c>
      <c r="K214" t="s">
        <v>176</v>
      </c>
      <c r="O214">
        <v>0</v>
      </c>
      <c r="U214" t="s">
        <v>81</v>
      </c>
    </row>
    <row r="215" spans="1:21" x14ac:dyDescent="0.25">
      <c r="A215" s="33">
        <v>214</v>
      </c>
      <c r="B215" s="24">
        <v>44202</v>
      </c>
      <c r="C215" t="s">
        <v>181</v>
      </c>
      <c r="D215" t="s">
        <v>41</v>
      </c>
      <c r="E215">
        <v>2000706916</v>
      </c>
      <c r="F215">
        <v>1050</v>
      </c>
      <c r="G215">
        <v>360</v>
      </c>
      <c r="H215">
        <v>1</v>
      </c>
      <c r="I215" t="s">
        <v>168</v>
      </c>
      <c r="J215" t="s">
        <v>203</v>
      </c>
      <c r="K215" t="s">
        <v>638</v>
      </c>
      <c r="L215" t="s">
        <v>104</v>
      </c>
      <c r="N215" t="s">
        <v>749</v>
      </c>
      <c r="O215">
        <v>1</v>
      </c>
      <c r="P215" t="s">
        <v>750</v>
      </c>
      <c r="Q215" t="s">
        <v>751</v>
      </c>
      <c r="R215">
        <v>3110004358</v>
      </c>
      <c r="S215" s="36">
        <v>0.26041666666666669</v>
      </c>
      <c r="U215" t="s">
        <v>81</v>
      </c>
    </row>
    <row r="216" spans="1:21" x14ac:dyDescent="0.25">
      <c r="A216" s="33">
        <v>215</v>
      </c>
      <c r="B216" s="24">
        <v>44202</v>
      </c>
      <c r="C216" t="s">
        <v>181</v>
      </c>
      <c r="D216" t="s">
        <v>41</v>
      </c>
      <c r="E216">
        <v>2000706795</v>
      </c>
      <c r="F216">
        <v>2000</v>
      </c>
      <c r="G216">
        <v>20</v>
      </c>
      <c r="H216">
        <v>0</v>
      </c>
      <c r="I216" t="s">
        <v>168</v>
      </c>
      <c r="J216" t="s">
        <v>172</v>
      </c>
      <c r="K216" t="s">
        <v>724</v>
      </c>
      <c r="O216">
        <v>0</v>
      </c>
      <c r="U216" t="s">
        <v>81</v>
      </c>
    </row>
    <row r="217" spans="1:21" x14ac:dyDescent="0.25">
      <c r="A217" s="33">
        <v>216</v>
      </c>
      <c r="B217" s="24">
        <v>44202</v>
      </c>
      <c r="C217" t="s">
        <v>181</v>
      </c>
      <c r="D217" t="s">
        <v>41</v>
      </c>
      <c r="E217">
        <v>2000706781</v>
      </c>
      <c r="F217">
        <v>2000</v>
      </c>
      <c r="G217">
        <v>100</v>
      </c>
      <c r="H217">
        <v>0</v>
      </c>
      <c r="I217" t="s">
        <v>642</v>
      </c>
      <c r="J217" t="s">
        <v>193</v>
      </c>
      <c r="K217" t="s">
        <v>647</v>
      </c>
      <c r="O217">
        <v>0</v>
      </c>
      <c r="U217" t="s">
        <v>81</v>
      </c>
    </row>
    <row r="218" spans="1:21" x14ac:dyDescent="0.25">
      <c r="A218" s="33">
        <v>217</v>
      </c>
      <c r="B218" s="24">
        <v>44202</v>
      </c>
      <c r="C218" t="s">
        <v>181</v>
      </c>
      <c r="D218" t="s">
        <v>41</v>
      </c>
      <c r="E218">
        <v>2000706897</v>
      </c>
      <c r="F218">
        <v>400</v>
      </c>
      <c r="G218">
        <v>100</v>
      </c>
      <c r="H218">
        <v>0</v>
      </c>
      <c r="I218" t="s">
        <v>642</v>
      </c>
      <c r="J218" t="s">
        <v>645</v>
      </c>
      <c r="K218" t="s">
        <v>752</v>
      </c>
      <c r="O218">
        <v>0</v>
      </c>
      <c r="U218" t="s">
        <v>81</v>
      </c>
    </row>
    <row r="219" spans="1:21" x14ac:dyDescent="0.25">
      <c r="A219" s="33">
        <v>218</v>
      </c>
      <c r="B219" s="24">
        <v>44202</v>
      </c>
      <c r="C219" t="s">
        <v>181</v>
      </c>
      <c r="D219" t="s">
        <v>41</v>
      </c>
      <c r="E219">
        <v>2000706795</v>
      </c>
      <c r="F219">
        <v>2000</v>
      </c>
      <c r="G219">
        <v>20</v>
      </c>
      <c r="H219">
        <v>0</v>
      </c>
      <c r="I219" t="s">
        <v>642</v>
      </c>
      <c r="J219" t="s">
        <v>172</v>
      </c>
      <c r="K219" t="s">
        <v>724</v>
      </c>
      <c r="O219">
        <v>0</v>
      </c>
      <c r="U219" t="s">
        <v>81</v>
      </c>
    </row>
    <row r="220" spans="1:21" x14ac:dyDescent="0.25">
      <c r="A220" s="33">
        <v>219</v>
      </c>
      <c r="B220" s="24">
        <v>44202</v>
      </c>
      <c r="C220" t="s">
        <v>181</v>
      </c>
      <c r="D220" t="s">
        <v>41</v>
      </c>
      <c r="E220">
        <v>2000706796</v>
      </c>
      <c r="F220">
        <v>1700</v>
      </c>
      <c r="G220">
        <v>160</v>
      </c>
      <c r="H220">
        <v>0</v>
      </c>
      <c r="I220" t="s">
        <v>642</v>
      </c>
      <c r="J220" t="s">
        <v>172</v>
      </c>
      <c r="K220" t="s">
        <v>173</v>
      </c>
      <c r="O220">
        <v>0</v>
      </c>
      <c r="U220" t="s">
        <v>81</v>
      </c>
    </row>
    <row r="221" spans="1:21" x14ac:dyDescent="0.25">
      <c r="A221" s="33">
        <v>220</v>
      </c>
      <c r="B221" s="24">
        <v>44202</v>
      </c>
      <c r="C221" t="s">
        <v>181</v>
      </c>
      <c r="D221" t="s">
        <v>41</v>
      </c>
      <c r="E221">
        <v>2000707321</v>
      </c>
      <c r="F221">
        <v>560</v>
      </c>
      <c r="G221">
        <v>140</v>
      </c>
      <c r="H221">
        <v>0</v>
      </c>
      <c r="I221" t="s">
        <v>642</v>
      </c>
      <c r="J221" t="s">
        <v>645</v>
      </c>
      <c r="K221" t="s">
        <v>753</v>
      </c>
      <c r="O221">
        <v>0</v>
      </c>
      <c r="U221" t="s">
        <v>81</v>
      </c>
    </row>
    <row r="222" spans="1:21" x14ac:dyDescent="0.25">
      <c r="A222" s="33">
        <v>221</v>
      </c>
      <c r="B222" s="24">
        <v>44202</v>
      </c>
      <c r="C222" t="s">
        <v>181</v>
      </c>
      <c r="D222" t="s">
        <v>41</v>
      </c>
      <c r="E222">
        <v>2000706837</v>
      </c>
      <c r="F222">
        <v>3200</v>
      </c>
      <c r="G222">
        <v>80</v>
      </c>
      <c r="H222">
        <v>0</v>
      </c>
      <c r="I222" t="s">
        <v>642</v>
      </c>
      <c r="J222" t="s">
        <v>645</v>
      </c>
      <c r="K222" t="s">
        <v>721</v>
      </c>
      <c r="O222">
        <v>0</v>
      </c>
      <c r="U222" t="s">
        <v>81</v>
      </c>
    </row>
    <row r="223" spans="1:21" x14ac:dyDescent="0.25">
      <c r="A223" s="33">
        <v>222</v>
      </c>
      <c r="B223" s="24">
        <v>44202</v>
      </c>
      <c r="C223" t="s">
        <v>181</v>
      </c>
      <c r="D223" t="s">
        <v>51</v>
      </c>
      <c r="E223">
        <v>2000706301</v>
      </c>
      <c r="F223">
        <v>650</v>
      </c>
      <c r="G223">
        <v>175</v>
      </c>
      <c r="H223">
        <v>0</v>
      </c>
      <c r="I223" t="s">
        <v>191</v>
      </c>
      <c r="J223" t="s">
        <v>667</v>
      </c>
      <c r="K223" t="s">
        <v>671</v>
      </c>
      <c r="O223">
        <v>0</v>
      </c>
      <c r="U223" t="s">
        <v>81</v>
      </c>
    </row>
    <row r="224" spans="1:21" x14ac:dyDescent="0.25">
      <c r="A224" s="33">
        <v>223</v>
      </c>
      <c r="B224" s="24">
        <v>44202</v>
      </c>
      <c r="C224" t="s">
        <v>181</v>
      </c>
      <c r="D224" t="s">
        <v>51</v>
      </c>
      <c r="E224">
        <v>2000705981</v>
      </c>
      <c r="F224">
        <v>736</v>
      </c>
      <c r="G224">
        <v>140</v>
      </c>
      <c r="H224">
        <v>0</v>
      </c>
      <c r="I224" t="s">
        <v>191</v>
      </c>
      <c r="J224" t="s">
        <v>709</v>
      </c>
      <c r="K224" t="s">
        <v>743</v>
      </c>
      <c r="O224">
        <v>0</v>
      </c>
      <c r="U224" t="s">
        <v>81</v>
      </c>
    </row>
    <row r="225" spans="1:21" x14ac:dyDescent="0.25">
      <c r="A225" s="33">
        <v>224</v>
      </c>
      <c r="B225" s="24">
        <v>44202</v>
      </c>
      <c r="C225" t="s">
        <v>181</v>
      </c>
      <c r="D225" t="s">
        <v>51</v>
      </c>
      <c r="E225">
        <v>2000706610</v>
      </c>
      <c r="F225">
        <v>540</v>
      </c>
      <c r="G225">
        <v>96</v>
      </c>
      <c r="H225">
        <v>0</v>
      </c>
      <c r="I225" t="s">
        <v>191</v>
      </c>
      <c r="J225" t="s">
        <v>709</v>
      </c>
      <c r="K225" t="s">
        <v>710</v>
      </c>
      <c r="O225">
        <v>0</v>
      </c>
      <c r="U225" t="s">
        <v>81</v>
      </c>
    </row>
    <row r="226" spans="1:21" x14ac:dyDescent="0.25">
      <c r="A226" s="33">
        <v>225</v>
      </c>
      <c r="B226" s="24">
        <v>44202</v>
      </c>
      <c r="C226" t="s">
        <v>181</v>
      </c>
      <c r="D226" t="s">
        <v>51</v>
      </c>
      <c r="E226">
        <v>2000706605</v>
      </c>
      <c r="F226">
        <v>445</v>
      </c>
      <c r="G226">
        <v>120</v>
      </c>
      <c r="H226">
        <v>0</v>
      </c>
      <c r="I226" t="s">
        <v>191</v>
      </c>
      <c r="J226" t="s">
        <v>669</v>
      </c>
      <c r="K226" t="s">
        <v>670</v>
      </c>
      <c r="O226">
        <v>0</v>
      </c>
      <c r="U226" t="s">
        <v>81</v>
      </c>
    </row>
    <row r="227" spans="1:21" x14ac:dyDescent="0.25">
      <c r="A227" s="33">
        <v>226</v>
      </c>
      <c r="B227" s="24">
        <v>44202</v>
      </c>
      <c r="C227" t="s">
        <v>181</v>
      </c>
      <c r="D227" t="s">
        <v>51</v>
      </c>
      <c r="E227">
        <v>2000706606</v>
      </c>
      <c r="F227">
        <v>600</v>
      </c>
      <c r="G227">
        <v>130</v>
      </c>
      <c r="H227">
        <v>0</v>
      </c>
      <c r="I227" t="s">
        <v>191</v>
      </c>
      <c r="J227" t="s">
        <v>669</v>
      </c>
      <c r="K227" t="s">
        <v>754</v>
      </c>
      <c r="O227">
        <v>0</v>
      </c>
      <c r="U227" t="s">
        <v>81</v>
      </c>
    </row>
    <row r="228" spans="1:21" x14ac:dyDescent="0.25">
      <c r="A228" s="33">
        <v>227</v>
      </c>
      <c r="B228" s="24">
        <v>44202</v>
      </c>
      <c r="C228" t="s">
        <v>181</v>
      </c>
      <c r="D228" t="s">
        <v>51</v>
      </c>
      <c r="E228">
        <v>2000706302</v>
      </c>
      <c r="F228">
        <v>510</v>
      </c>
      <c r="G228">
        <v>120</v>
      </c>
      <c r="H228">
        <v>0</v>
      </c>
      <c r="I228" t="s">
        <v>191</v>
      </c>
      <c r="J228" t="s">
        <v>673</v>
      </c>
      <c r="K228" t="s">
        <v>672</v>
      </c>
      <c r="O228">
        <v>0</v>
      </c>
      <c r="U228" t="s">
        <v>81</v>
      </c>
    </row>
    <row r="229" spans="1:21" x14ac:dyDescent="0.25">
      <c r="A229" s="33">
        <v>228</v>
      </c>
      <c r="B229" s="24">
        <v>44202</v>
      </c>
      <c r="C229" t="s">
        <v>181</v>
      </c>
      <c r="D229" t="s">
        <v>51</v>
      </c>
      <c r="E229">
        <v>2000705157</v>
      </c>
      <c r="F229">
        <v>223</v>
      </c>
      <c r="G229">
        <v>30</v>
      </c>
      <c r="H229">
        <v>0</v>
      </c>
      <c r="I229" t="s">
        <v>191</v>
      </c>
      <c r="J229" t="s">
        <v>669</v>
      </c>
      <c r="K229" t="s">
        <v>755</v>
      </c>
      <c r="O229">
        <v>0</v>
      </c>
      <c r="U229" t="s">
        <v>81</v>
      </c>
    </row>
    <row r="230" spans="1:21" x14ac:dyDescent="0.25">
      <c r="A230" s="33">
        <v>229</v>
      </c>
      <c r="B230" s="24">
        <v>44203</v>
      </c>
      <c r="C230" t="s">
        <v>39</v>
      </c>
      <c r="D230" t="s">
        <v>41</v>
      </c>
      <c r="E230">
        <v>2000706780</v>
      </c>
      <c r="F230">
        <v>2000</v>
      </c>
      <c r="G230">
        <v>200</v>
      </c>
      <c r="H230">
        <v>0</v>
      </c>
      <c r="I230" t="s">
        <v>680</v>
      </c>
      <c r="J230" t="s">
        <v>193</v>
      </c>
      <c r="K230" t="s">
        <v>686</v>
      </c>
      <c r="O230">
        <v>0</v>
      </c>
      <c r="U230" t="s">
        <v>81</v>
      </c>
    </row>
    <row r="231" spans="1:21" x14ac:dyDescent="0.25">
      <c r="A231" s="33">
        <v>230</v>
      </c>
      <c r="B231" s="24">
        <v>44203</v>
      </c>
      <c r="C231" t="s">
        <v>39</v>
      </c>
      <c r="D231" t="s">
        <v>41</v>
      </c>
      <c r="E231">
        <v>2000706760</v>
      </c>
      <c r="F231">
        <v>1720</v>
      </c>
      <c r="G231">
        <v>480</v>
      </c>
      <c r="H231">
        <v>0</v>
      </c>
      <c r="I231" t="s">
        <v>680</v>
      </c>
      <c r="J231" t="s">
        <v>745</v>
      </c>
      <c r="K231" t="s">
        <v>746</v>
      </c>
      <c r="O231">
        <v>0</v>
      </c>
      <c r="U231" t="s">
        <v>81</v>
      </c>
    </row>
    <row r="232" spans="1:21" x14ac:dyDescent="0.25">
      <c r="A232" s="33">
        <v>231</v>
      </c>
      <c r="B232" s="24">
        <v>44203</v>
      </c>
      <c r="C232" t="s">
        <v>39</v>
      </c>
      <c r="D232" t="s">
        <v>41</v>
      </c>
      <c r="E232">
        <v>2000707194</v>
      </c>
      <c r="F232">
        <v>7860</v>
      </c>
      <c r="G232">
        <v>300</v>
      </c>
      <c r="H232">
        <v>0</v>
      </c>
      <c r="I232" t="s">
        <v>680</v>
      </c>
      <c r="J232" t="s">
        <v>200</v>
      </c>
      <c r="K232" t="s">
        <v>737</v>
      </c>
      <c r="O232">
        <v>0</v>
      </c>
      <c r="U232" t="s">
        <v>81</v>
      </c>
    </row>
    <row r="233" spans="1:21" x14ac:dyDescent="0.25">
      <c r="A233" s="33">
        <v>232</v>
      </c>
      <c r="B233" s="24">
        <v>44203</v>
      </c>
      <c r="C233" t="s">
        <v>39</v>
      </c>
      <c r="D233" t="s">
        <v>41</v>
      </c>
      <c r="E233">
        <v>2000707930</v>
      </c>
      <c r="F233">
        <v>2400</v>
      </c>
      <c r="G233">
        <v>200</v>
      </c>
      <c r="H233">
        <v>0</v>
      </c>
      <c r="I233" t="s">
        <v>680</v>
      </c>
      <c r="J233" t="s">
        <v>645</v>
      </c>
      <c r="K233" t="s">
        <v>739</v>
      </c>
      <c r="O233">
        <v>0</v>
      </c>
      <c r="U233" t="s">
        <v>81</v>
      </c>
    </row>
    <row r="234" spans="1:21" x14ac:dyDescent="0.25">
      <c r="A234" s="33">
        <v>233</v>
      </c>
      <c r="B234" s="24">
        <v>44203</v>
      </c>
      <c r="C234" t="s">
        <v>39</v>
      </c>
      <c r="D234" t="s">
        <v>41</v>
      </c>
      <c r="E234">
        <v>2000706778</v>
      </c>
      <c r="F234">
        <v>2000</v>
      </c>
      <c r="G234">
        <v>200</v>
      </c>
      <c r="H234">
        <v>0</v>
      </c>
      <c r="I234" t="s">
        <v>680</v>
      </c>
      <c r="J234" t="s">
        <v>193</v>
      </c>
      <c r="K234" t="s">
        <v>683</v>
      </c>
      <c r="O234">
        <v>0</v>
      </c>
      <c r="U234" t="s">
        <v>81</v>
      </c>
    </row>
    <row r="235" spans="1:21" x14ac:dyDescent="0.25">
      <c r="A235" s="33">
        <v>234</v>
      </c>
      <c r="B235" s="24">
        <v>44203</v>
      </c>
      <c r="C235" t="s">
        <v>39</v>
      </c>
      <c r="D235" t="s">
        <v>41</v>
      </c>
      <c r="E235">
        <v>2000706794</v>
      </c>
      <c r="F235">
        <v>1700</v>
      </c>
      <c r="G235">
        <v>400</v>
      </c>
      <c r="H235">
        <v>0</v>
      </c>
      <c r="I235" t="s">
        <v>680</v>
      </c>
      <c r="J235" t="s">
        <v>172</v>
      </c>
      <c r="K235" t="s">
        <v>725</v>
      </c>
      <c r="O235">
        <v>0</v>
      </c>
      <c r="U235" t="s">
        <v>81</v>
      </c>
    </row>
    <row r="236" spans="1:21" x14ac:dyDescent="0.25">
      <c r="A236" s="33">
        <v>235</v>
      </c>
      <c r="B236" s="24">
        <v>44203</v>
      </c>
      <c r="C236" t="s">
        <v>39</v>
      </c>
      <c r="D236" t="s">
        <v>41</v>
      </c>
      <c r="E236">
        <v>2000707929</v>
      </c>
      <c r="F236">
        <v>2400</v>
      </c>
      <c r="G236">
        <v>200</v>
      </c>
      <c r="H236">
        <v>0</v>
      </c>
      <c r="I236" t="s">
        <v>680</v>
      </c>
      <c r="J236" t="s">
        <v>645</v>
      </c>
      <c r="K236" t="s">
        <v>756</v>
      </c>
      <c r="O236">
        <v>0</v>
      </c>
      <c r="U236" t="s">
        <v>81</v>
      </c>
    </row>
    <row r="237" spans="1:21" x14ac:dyDescent="0.25">
      <c r="A237" s="33">
        <v>236</v>
      </c>
      <c r="B237" s="24">
        <v>44203</v>
      </c>
      <c r="C237" t="s">
        <v>39</v>
      </c>
      <c r="D237" t="s">
        <v>41</v>
      </c>
      <c r="E237">
        <v>2000705735</v>
      </c>
      <c r="F237">
        <v>2160</v>
      </c>
      <c r="G237">
        <v>110</v>
      </c>
      <c r="H237">
        <v>0</v>
      </c>
      <c r="I237" t="s">
        <v>680</v>
      </c>
      <c r="J237" t="s">
        <v>203</v>
      </c>
      <c r="K237" t="s">
        <v>640</v>
      </c>
      <c r="O237">
        <v>0</v>
      </c>
      <c r="U237" t="s">
        <v>81</v>
      </c>
    </row>
    <row r="238" spans="1:21" x14ac:dyDescent="0.25">
      <c r="A238" s="33">
        <v>237</v>
      </c>
      <c r="B238" s="24">
        <v>44203</v>
      </c>
      <c r="C238" t="s">
        <v>39</v>
      </c>
      <c r="D238" t="s">
        <v>41</v>
      </c>
      <c r="E238">
        <v>2000706632</v>
      </c>
      <c r="F238">
        <v>2610</v>
      </c>
      <c r="G238">
        <v>495</v>
      </c>
      <c r="H238">
        <v>0</v>
      </c>
      <c r="I238" t="s">
        <v>696</v>
      </c>
      <c r="J238" t="s">
        <v>170</v>
      </c>
      <c r="K238" t="s">
        <v>171</v>
      </c>
      <c r="O238">
        <v>0</v>
      </c>
      <c r="U238" t="s">
        <v>81</v>
      </c>
    </row>
    <row r="239" spans="1:21" x14ac:dyDescent="0.25">
      <c r="A239" s="33">
        <v>238</v>
      </c>
      <c r="B239" s="24">
        <v>44203</v>
      </c>
      <c r="C239" t="s">
        <v>39</v>
      </c>
      <c r="D239" t="s">
        <v>41</v>
      </c>
      <c r="E239">
        <v>2000706631</v>
      </c>
      <c r="F239">
        <v>2806</v>
      </c>
      <c r="G239">
        <v>135</v>
      </c>
      <c r="H239">
        <v>0</v>
      </c>
      <c r="I239" t="s">
        <v>696</v>
      </c>
      <c r="J239" t="s">
        <v>170</v>
      </c>
      <c r="K239" t="s">
        <v>171</v>
      </c>
      <c r="O239">
        <v>0</v>
      </c>
      <c r="U239" t="s">
        <v>81</v>
      </c>
    </row>
    <row r="240" spans="1:21" x14ac:dyDescent="0.25">
      <c r="A240" s="33">
        <v>239</v>
      </c>
      <c r="B240" s="24">
        <v>44203</v>
      </c>
      <c r="C240" t="s">
        <v>39</v>
      </c>
      <c r="D240" t="s">
        <v>41</v>
      </c>
      <c r="E240">
        <v>2000706583</v>
      </c>
      <c r="F240">
        <v>3050</v>
      </c>
      <c r="G240">
        <v>30</v>
      </c>
      <c r="H240">
        <v>0</v>
      </c>
      <c r="I240" t="s">
        <v>696</v>
      </c>
      <c r="J240" t="s">
        <v>170</v>
      </c>
      <c r="K240" t="s">
        <v>697</v>
      </c>
      <c r="O240">
        <v>0</v>
      </c>
      <c r="U240" t="s">
        <v>81</v>
      </c>
    </row>
    <row r="241" spans="1:21" x14ac:dyDescent="0.25">
      <c r="A241" s="33">
        <v>240</v>
      </c>
      <c r="B241" s="24">
        <v>44203</v>
      </c>
      <c r="C241" t="s">
        <v>39</v>
      </c>
      <c r="D241" t="s">
        <v>41</v>
      </c>
      <c r="E241">
        <v>2000706916</v>
      </c>
      <c r="F241">
        <v>1050</v>
      </c>
      <c r="G241">
        <v>150</v>
      </c>
      <c r="H241">
        <v>0</v>
      </c>
      <c r="I241" t="s">
        <v>184</v>
      </c>
      <c r="J241" t="s">
        <v>203</v>
      </c>
      <c r="K241" t="s">
        <v>638</v>
      </c>
      <c r="O241">
        <v>0</v>
      </c>
      <c r="U241" t="s">
        <v>81</v>
      </c>
    </row>
    <row r="242" spans="1:21" x14ac:dyDescent="0.25">
      <c r="A242" s="33">
        <v>241</v>
      </c>
      <c r="B242" s="24">
        <v>44203</v>
      </c>
      <c r="C242" t="s">
        <v>39</v>
      </c>
      <c r="D242" t="s">
        <v>41</v>
      </c>
      <c r="E242">
        <v>2000707785</v>
      </c>
      <c r="F242">
        <v>630</v>
      </c>
      <c r="G242">
        <v>300</v>
      </c>
      <c r="H242">
        <v>0</v>
      </c>
      <c r="I242" t="s">
        <v>184</v>
      </c>
      <c r="J242" t="s">
        <v>203</v>
      </c>
      <c r="K242" t="s">
        <v>638</v>
      </c>
      <c r="O242">
        <v>0</v>
      </c>
      <c r="U242" t="s">
        <v>81</v>
      </c>
    </row>
    <row r="243" spans="1:21" x14ac:dyDescent="0.25">
      <c r="A243" s="33">
        <v>242</v>
      </c>
      <c r="B243" s="24">
        <v>44203</v>
      </c>
      <c r="C243" t="s">
        <v>39</v>
      </c>
      <c r="D243" t="s">
        <v>41</v>
      </c>
      <c r="E243">
        <v>2000706632</v>
      </c>
      <c r="F243">
        <v>2610</v>
      </c>
      <c r="G243">
        <v>90</v>
      </c>
      <c r="H243">
        <v>0</v>
      </c>
      <c r="I243" t="s">
        <v>184</v>
      </c>
      <c r="J243" t="s">
        <v>170</v>
      </c>
      <c r="K243" t="s">
        <v>171</v>
      </c>
      <c r="O243">
        <v>0</v>
      </c>
      <c r="U243" t="s">
        <v>81</v>
      </c>
    </row>
    <row r="244" spans="1:21" x14ac:dyDescent="0.25">
      <c r="A244" s="33">
        <v>243</v>
      </c>
      <c r="B244" s="24">
        <v>44203</v>
      </c>
      <c r="C244" t="s">
        <v>39</v>
      </c>
      <c r="D244" t="s">
        <v>41</v>
      </c>
      <c r="E244">
        <v>2000706631</v>
      </c>
      <c r="F244">
        <v>2806</v>
      </c>
      <c r="G244">
        <v>90</v>
      </c>
      <c r="H244">
        <v>0</v>
      </c>
      <c r="I244" t="s">
        <v>693</v>
      </c>
      <c r="J244" t="s">
        <v>170</v>
      </c>
      <c r="K244" t="s">
        <v>171</v>
      </c>
      <c r="O244">
        <v>0</v>
      </c>
      <c r="U244" t="s">
        <v>81</v>
      </c>
    </row>
    <row r="245" spans="1:21" x14ac:dyDescent="0.25">
      <c r="A245" s="33">
        <v>244</v>
      </c>
      <c r="B245" s="24">
        <v>44203</v>
      </c>
      <c r="C245" t="s">
        <v>39</v>
      </c>
      <c r="D245" t="s">
        <v>41</v>
      </c>
      <c r="E245">
        <v>2000706632</v>
      </c>
      <c r="F245">
        <v>2610</v>
      </c>
      <c r="G245">
        <v>585</v>
      </c>
      <c r="H245">
        <v>0</v>
      </c>
      <c r="I245" t="s">
        <v>693</v>
      </c>
      <c r="J245" t="s">
        <v>170</v>
      </c>
      <c r="K245" t="s">
        <v>171</v>
      </c>
      <c r="O245">
        <v>0</v>
      </c>
      <c r="U245" t="s">
        <v>81</v>
      </c>
    </row>
    <row r="246" spans="1:21" x14ac:dyDescent="0.25">
      <c r="A246" s="33">
        <v>245</v>
      </c>
      <c r="B246" s="24">
        <v>44203</v>
      </c>
      <c r="C246" t="s">
        <v>39</v>
      </c>
      <c r="D246" t="s">
        <v>41</v>
      </c>
      <c r="E246">
        <v>2000707192</v>
      </c>
      <c r="F246">
        <v>1700</v>
      </c>
      <c r="G246">
        <v>40</v>
      </c>
      <c r="H246">
        <v>0</v>
      </c>
      <c r="I246" t="s">
        <v>693</v>
      </c>
      <c r="J246" t="s">
        <v>172</v>
      </c>
      <c r="K246" t="s">
        <v>173</v>
      </c>
      <c r="O246">
        <v>0</v>
      </c>
      <c r="U246" t="s">
        <v>81</v>
      </c>
    </row>
    <row r="247" spans="1:21" x14ac:dyDescent="0.25">
      <c r="A247" s="33">
        <v>246</v>
      </c>
      <c r="B247" s="24">
        <v>44203</v>
      </c>
      <c r="C247" t="s">
        <v>39</v>
      </c>
      <c r="D247" t="s">
        <v>41</v>
      </c>
      <c r="E247">
        <v>2000707943</v>
      </c>
      <c r="F247">
        <v>340</v>
      </c>
      <c r="G247">
        <v>80</v>
      </c>
      <c r="H247">
        <v>0</v>
      </c>
      <c r="I247" t="s">
        <v>185</v>
      </c>
      <c r="J247" t="s">
        <v>645</v>
      </c>
      <c r="K247" t="s">
        <v>690</v>
      </c>
      <c r="O247">
        <v>0</v>
      </c>
      <c r="U247" t="s">
        <v>81</v>
      </c>
    </row>
    <row r="248" spans="1:21" x14ac:dyDescent="0.25">
      <c r="A248" s="33">
        <v>247</v>
      </c>
      <c r="B248" s="24">
        <v>44203</v>
      </c>
      <c r="C248" t="s">
        <v>39</v>
      </c>
      <c r="D248" t="s">
        <v>41</v>
      </c>
      <c r="E248">
        <v>2000707407</v>
      </c>
      <c r="F248">
        <v>880</v>
      </c>
      <c r="G248">
        <v>60</v>
      </c>
      <c r="H248">
        <v>0</v>
      </c>
      <c r="I248" t="s">
        <v>185</v>
      </c>
      <c r="J248" t="s">
        <v>169</v>
      </c>
      <c r="K248" t="s">
        <v>190</v>
      </c>
      <c r="O248">
        <v>0</v>
      </c>
      <c r="U248" t="s">
        <v>81</v>
      </c>
    </row>
    <row r="249" spans="1:21" x14ac:dyDescent="0.25">
      <c r="A249" s="33">
        <v>248</v>
      </c>
      <c r="B249" s="24">
        <v>44203</v>
      </c>
      <c r="C249" t="s">
        <v>39</v>
      </c>
      <c r="D249" t="s">
        <v>41</v>
      </c>
      <c r="E249">
        <v>2000707073</v>
      </c>
      <c r="F249">
        <v>1200</v>
      </c>
      <c r="G249">
        <v>80</v>
      </c>
      <c r="H249">
        <v>0</v>
      </c>
      <c r="I249" t="s">
        <v>185</v>
      </c>
      <c r="J249" t="s">
        <v>687</v>
      </c>
      <c r="K249" t="s">
        <v>757</v>
      </c>
      <c r="O249">
        <v>0</v>
      </c>
      <c r="U249" t="s">
        <v>81</v>
      </c>
    </row>
    <row r="250" spans="1:21" x14ac:dyDescent="0.25">
      <c r="A250" s="33">
        <v>249</v>
      </c>
      <c r="B250" s="24">
        <v>44203</v>
      </c>
      <c r="C250" t="s">
        <v>39</v>
      </c>
      <c r="D250" t="s">
        <v>41</v>
      </c>
      <c r="E250">
        <v>2000706849</v>
      </c>
      <c r="F250">
        <v>20</v>
      </c>
      <c r="G250">
        <v>20</v>
      </c>
      <c r="H250">
        <v>0</v>
      </c>
      <c r="I250" t="s">
        <v>185</v>
      </c>
      <c r="J250" t="s">
        <v>175</v>
      </c>
      <c r="K250" t="s">
        <v>758</v>
      </c>
      <c r="O250">
        <v>0</v>
      </c>
      <c r="U250" t="s">
        <v>81</v>
      </c>
    </row>
    <row r="251" spans="1:21" x14ac:dyDescent="0.25">
      <c r="A251" s="33">
        <v>250</v>
      </c>
      <c r="B251" s="24">
        <v>44203</v>
      </c>
      <c r="C251" t="s">
        <v>39</v>
      </c>
      <c r="D251" t="s">
        <v>41</v>
      </c>
      <c r="E251">
        <v>2000707509</v>
      </c>
      <c r="F251">
        <v>200</v>
      </c>
      <c r="G251">
        <v>20</v>
      </c>
      <c r="H251">
        <v>0</v>
      </c>
      <c r="I251" t="s">
        <v>185</v>
      </c>
      <c r="J251" t="s">
        <v>645</v>
      </c>
      <c r="K251" t="s">
        <v>752</v>
      </c>
      <c r="O251">
        <v>0</v>
      </c>
      <c r="U251" t="s">
        <v>81</v>
      </c>
    </row>
    <row r="252" spans="1:21" x14ac:dyDescent="0.25">
      <c r="A252" s="33">
        <v>251</v>
      </c>
      <c r="B252" s="24">
        <v>44203</v>
      </c>
      <c r="C252" t="s">
        <v>39</v>
      </c>
      <c r="D252" t="s">
        <v>41</v>
      </c>
      <c r="E252">
        <v>2000707083</v>
      </c>
      <c r="F252">
        <v>1300</v>
      </c>
      <c r="G252">
        <v>120</v>
      </c>
      <c r="H252">
        <v>0</v>
      </c>
      <c r="I252" t="s">
        <v>185</v>
      </c>
      <c r="J252" t="s">
        <v>169</v>
      </c>
      <c r="K252" t="s">
        <v>179</v>
      </c>
      <c r="O252">
        <v>0</v>
      </c>
      <c r="U252" t="s">
        <v>81</v>
      </c>
    </row>
    <row r="253" spans="1:21" x14ac:dyDescent="0.25">
      <c r="A253" s="33">
        <v>252</v>
      </c>
      <c r="B253" s="24">
        <v>44203</v>
      </c>
      <c r="C253" t="s">
        <v>39</v>
      </c>
      <c r="D253" t="s">
        <v>41</v>
      </c>
      <c r="E253">
        <v>2000707508</v>
      </c>
      <c r="F253">
        <v>180</v>
      </c>
      <c r="G253">
        <v>20</v>
      </c>
      <c r="H253">
        <v>0</v>
      </c>
      <c r="I253" t="s">
        <v>185</v>
      </c>
      <c r="J253" t="s">
        <v>645</v>
      </c>
      <c r="K253" t="s">
        <v>720</v>
      </c>
      <c r="O253">
        <v>0</v>
      </c>
      <c r="U253" t="s">
        <v>81</v>
      </c>
    </row>
    <row r="254" spans="1:21" x14ac:dyDescent="0.25">
      <c r="A254" s="33">
        <v>253</v>
      </c>
      <c r="B254" s="24">
        <v>44203</v>
      </c>
      <c r="C254" t="s">
        <v>39</v>
      </c>
      <c r="D254" t="s">
        <v>41</v>
      </c>
      <c r="E254">
        <v>2000707059</v>
      </c>
      <c r="F254">
        <v>2565</v>
      </c>
      <c r="G254">
        <v>80</v>
      </c>
      <c r="H254">
        <v>0</v>
      </c>
      <c r="I254" t="s">
        <v>185</v>
      </c>
      <c r="J254" t="s">
        <v>655</v>
      </c>
      <c r="K254" t="s">
        <v>656</v>
      </c>
      <c r="O254">
        <v>0</v>
      </c>
      <c r="U254" t="s">
        <v>81</v>
      </c>
    </row>
    <row r="255" spans="1:21" x14ac:dyDescent="0.25">
      <c r="A255" s="33">
        <v>254</v>
      </c>
      <c r="B255" s="24">
        <v>44203</v>
      </c>
      <c r="C255" t="s">
        <v>39</v>
      </c>
      <c r="D255" t="s">
        <v>41</v>
      </c>
      <c r="E255">
        <v>2000707942</v>
      </c>
      <c r="F255">
        <v>280</v>
      </c>
      <c r="G255">
        <v>20</v>
      </c>
      <c r="H255">
        <v>0</v>
      </c>
      <c r="I255" t="s">
        <v>185</v>
      </c>
      <c r="J255" t="s">
        <v>645</v>
      </c>
      <c r="K255" t="s">
        <v>719</v>
      </c>
      <c r="O255">
        <v>0</v>
      </c>
      <c r="U255" t="s">
        <v>81</v>
      </c>
    </row>
    <row r="256" spans="1:21" x14ac:dyDescent="0.25">
      <c r="A256" s="33">
        <v>255</v>
      </c>
      <c r="B256" s="24">
        <v>44203</v>
      </c>
      <c r="C256" t="s">
        <v>39</v>
      </c>
      <c r="D256" t="s">
        <v>41</v>
      </c>
      <c r="E256">
        <v>2000707932</v>
      </c>
      <c r="F256">
        <v>2400</v>
      </c>
      <c r="G256">
        <v>80</v>
      </c>
      <c r="H256">
        <v>0</v>
      </c>
      <c r="I256" t="s">
        <v>185</v>
      </c>
      <c r="J256" t="s">
        <v>645</v>
      </c>
      <c r="K256" t="s">
        <v>721</v>
      </c>
      <c r="O256">
        <v>0</v>
      </c>
      <c r="U256" t="s">
        <v>81</v>
      </c>
    </row>
    <row r="257" spans="1:21" x14ac:dyDescent="0.25">
      <c r="A257" s="33">
        <v>256</v>
      </c>
      <c r="B257" s="24">
        <v>44203</v>
      </c>
      <c r="C257" t="s">
        <v>39</v>
      </c>
      <c r="D257" t="s">
        <v>41</v>
      </c>
      <c r="E257">
        <v>2000706630</v>
      </c>
      <c r="F257">
        <v>1762</v>
      </c>
      <c r="G257">
        <v>340</v>
      </c>
      <c r="H257">
        <v>0</v>
      </c>
      <c r="I257" t="s">
        <v>198</v>
      </c>
      <c r="J257" t="s">
        <v>174</v>
      </c>
      <c r="K257" t="s">
        <v>662</v>
      </c>
      <c r="O257">
        <v>0</v>
      </c>
      <c r="U257" t="s">
        <v>81</v>
      </c>
    </row>
    <row r="258" spans="1:21" x14ac:dyDescent="0.25">
      <c r="A258" s="33">
        <v>257</v>
      </c>
      <c r="B258" s="24">
        <v>44203</v>
      </c>
      <c r="C258" t="s">
        <v>39</v>
      </c>
      <c r="D258" t="s">
        <v>41</v>
      </c>
      <c r="E258">
        <v>2000706629</v>
      </c>
      <c r="F258">
        <v>765</v>
      </c>
      <c r="G258">
        <v>162</v>
      </c>
      <c r="H258">
        <v>0</v>
      </c>
      <c r="I258" t="s">
        <v>198</v>
      </c>
      <c r="J258" t="s">
        <v>174</v>
      </c>
      <c r="K258" t="s">
        <v>186</v>
      </c>
      <c r="O258">
        <v>0</v>
      </c>
      <c r="U258" t="s">
        <v>81</v>
      </c>
    </row>
    <row r="259" spans="1:21" x14ac:dyDescent="0.25">
      <c r="A259" s="33">
        <v>258</v>
      </c>
      <c r="B259" s="24">
        <v>44203</v>
      </c>
      <c r="C259" t="s">
        <v>39</v>
      </c>
      <c r="D259" t="s">
        <v>41</v>
      </c>
      <c r="E259">
        <v>2000706632</v>
      </c>
      <c r="F259">
        <v>2610</v>
      </c>
      <c r="G259">
        <v>90</v>
      </c>
      <c r="H259">
        <v>0</v>
      </c>
      <c r="I259" t="s">
        <v>198</v>
      </c>
      <c r="J259" t="s">
        <v>170</v>
      </c>
      <c r="K259" t="s">
        <v>171</v>
      </c>
      <c r="O259">
        <v>0</v>
      </c>
      <c r="U259" t="s">
        <v>81</v>
      </c>
    </row>
    <row r="260" spans="1:21" x14ac:dyDescent="0.25">
      <c r="A260" s="33">
        <v>259</v>
      </c>
      <c r="B260" s="24">
        <v>44203</v>
      </c>
      <c r="C260" t="s">
        <v>39</v>
      </c>
      <c r="D260" t="s">
        <v>41</v>
      </c>
      <c r="E260">
        <v>2000706645</v>
      </c>
      <c r="F260">
        <v>1032</v>
      </c>
      <c r="G260">
        <v>160</v>
      </c>
      <c r="H260">
        <v>0</v>
      </c>
      <c r="I260" t="s">
        <v>198</v>
      </c>
      <c r="J260" t="s">
        <v>174</v>
      </c>
      <c r="K260" t="s">
        <v>717</v>
      </c>
      <c r="O260">
        <v>0</v>
      </c>
      <c r="U260" t="s">
        <v>81</v>
      </c>
    </row>
    <row r="261" spans="1:21" ht="30" x14ac:dyDescent="0.25">
      <c r="A261" s="33">
        <v>260</v>
      </c>
      <c r="B261" s="24">
        <v>44203</v>
      </c>
      <c r="C261" t="s">
        <v>39</v>
      </c>
      <c r="D261" t="s">
        <v>41</v>
      </c>
      <c r="E261">
        <v>2000706632</v>
      </c>
      <c r="F261">
        <v>2610</v>
      </c>
      <c r="G261">
        <v>90</v>
      </c>
      <c r="H261">
        <v>0</v>
      </c>
      <c r="I261" t="s">
        <v>759</v>
      </c>
      <c r="J261" t="s">
        <v>170</v>
      </c>
      <c r="K261" t="s">
        <v>171</v>
      </c>
      <c r="O261">
        <v>0</v>
      </c>
      <c r="T261" s="62" t="s">
        <v>723</v>
      </c>
      <c r="U261" t="s">
        <v>81</v>
      </c>
    </row>
    <row r="262" spans="1:21" x14ac:dyDescent="0.25">
      <c r="A262" s="33">
        <v>261</v>
      </c>
      <c r="B262" s="24">
        <v>44203</v>
      </c>
      <c r="C262" t="s">
        <v>39</v>
      </c>
      <c r="D262" t="s">
        <v>41</v>
      </c>
      <c r="E262">
        <v>2000706630</v>
      </c>
      <c r="F262">
        <v>1762</v>
      </c>
      <c r="G262">
        <v>441</v>
      </c>
      <c r="H262">
        <v>0</v>
      </c>
      <c r="I262" t="s">
        <v>183</v>
      </c>
      <c r="J262" t="s">
        <v>174</v>
      </c>
      <c r="K262" t="s">
        <v>662</v>
      </c>
      <c r="O262">
        <v>0</v>
      </c>
      <c r="U262" t="s">
        <v>81</v>
      </c>
    </row>
    <row r="263" spans="1:21" x14ac:dyDescent="0.25">
      <c r="A263" s="33">
        <v>262</v>
      </c>
      <c r="B263" s="24">
        <v>44203</v>
      </c>
      <c r="C263" t="s">
        <v>39</v>
      </c>
      <c r="D263" t="s">
        <v>41</v>
      </c>
      <c r="E263">
        <v>2000707221</v>
      </c>
      <c r="F263">
        <v>240</v>
      </c>
      <c r="G263">
        <v>230</v>
      </c>
      <c r="H263">
        <v>0</v>
      </c>
      <c r="I263" t="s">
        <v>183</v>
      </c>
      <c r="J263" t="s">
        <v>174</v>
      </c>
      <c r="K263" t="s">
        <v>187</v>
      </c>
      <c r="O263">
        <v>0</v>
      </c>
      <c r="U263" t="s">
        <v>81</v>
      </c>
    </row>
    <row r="264" spans="1:21" x14ac:dyDescent="0.25">
      <c r="A264" s="33">
        <v>263</v>
      </c>
      <c r="B264" s="24">
        <v>44203</v>
      </c>
      <c r="C264" t="s">
        <v>39</v>
      </c>
      <c r="D264" t="s">
        <v>41</v>
      </c>
      <c r="E264">
        <v>2000704132</v>
      </c>
      <c r="F264">
        <v>480</v>
      </c>
      <c r="G264">
        <v>10</v>
      </c>
      <c r="H264">
        <v>0</v>
      </c>
      <c r="I264" t="s">
        <v>183</v>
      </c>
      <c r="J264" t="s">
        <v>174</v>
      </c>
      <c r="K264" t="s">
        <v>187</v>
      </c>
      <c r="O264">
        <v>0</v>
      </c>
      <c r="U264" t="s">
        <v>81</v>
      </c>
    </row>
    <row r="265" spans="1:21" x14ac:dyDescent="0.25">
      <c r="A265" s="33">
        <v>264</v>
      </c>
      <c r="B265" s="24">
        <v>44203</v>
      </c>
      <c r="C265" t="s">
        <v>39</v>
      </c>
      <c r="D265" t="s">
        <v>41</v>
      </c>
      <c r="E265">
        <v>2000689785</v>
      </c>
      <c r="F265">
        <v>640</v>
      </c>
      <c r="G265">
        <v>1</v>
      </c>
      <c r="H265">
        <v>0</v>
      </c>
      <c r="I265" t="s">
        <v>183</v>
      </c>
      <c r="J265" t="s">
        <v>174</v>
      </c>
      <c r="K265" t="s">
        <v>188</v>
      </c>
      <c r="O265">
        <v>0</v>
      </c>
      <c r="U265" t="s">
        <v>81</v>
      </c>
    </row>
    <row r="266" spans="1:21" x14ac:dyDescent="0.25">
      <c r="A266" s="33">
        <v>265</v>
      </c>
      <c r="B266" s="24">
        <v>44203</v>
      </c>
      <c r="C266" t="s">
        <v>39</v>
      </c>
      <c r="D266" t="s">
        <v>41</v>
      </c>
      <c r="E266">
        <v>2000705684</v>
      </c>
      <c r="F266">
        <v>392</v>
      </c>
      <c r="G266">
        <v>3</v>
      </c>
      <c r="H266">
        <v>0</v>
      </c>
      <c r="I266" t="s">
        <v>183</v>
      </c>
      <c r="J266" t="s">
        <v>174</v>
      </c>
      <c r="K266" t="s">
        <v>188</v>
      </c>
      <c r="O266">
        <v>0</v>
      </c>
      <c r="U266" t="s">
        <v>81</v>
      </c>
    </row>
    <row r="267" spans="1:21" x14ac:dyDescent="0.25">
      <c r="A267" s="33">
        <v>266</v>
      </c>
      <c r="B267" s="24">
        <v>44203</v>
      </c>
      <c r="C267" t="s">
        <v>39</v>
      </c>
      <c r="D267" t="s">
        <v>41</v>
      </c>
      <c r="E267">
        <v>2000706278</v>
      </c>
      <c r="F267">
        <v>1120</v>
      </c>
      <c r="G267">
        <v>6</v>
      </c>
      <c r="H267">
        <v>0</v>
      </c>
      <c r="I267" t="s">
        <v>183</v>
      </c>
      <c r="J267" t="s">
        <v>174</v>
      </c>
      <c r="K267" t="s">
        <v>717</v>
      </c>
      <c r="O267">
        <v>0</v>
      </c>
      <c r="U267" t="s">
        <v>81</v>
      </c>
    </row>
    <row r="268" spans="1:21" x14ac:dyDescent="0.25">
      <c r="A268" s="33">
        <v>267</v>
      </c>
      <c r="B268" s="24">
        <v>44203</v>
      </c>
      <c r="C268" t="s">
        <v>39</v>
      </c>
      <c r="D268" t="s">
        <v>41</v>
      </c>
      <c r="E268">
        <v>2000706645</v>
      </c>
      <c r="F268">
        <v>1032</v>
      </c>
      <c r="G268">
        <v>80</v>
      </c>
      <c r="H268">
        <v>0</v>
      </c>
      <c r="I268" t="s">
        <v>183</v>
      </c>
      <c r="J268" t="s">
        <v>174</v>
      </c>
      <c r="K268" t="s">
        <v>717</v>
      </c>
      <c r="O268">
        <v>0</v>
      </c>
      <c r="U268" t="s">
        <v>81</v>
      </c>
    </row>
    <row r="269" spans="1:21" x14ac:dyDescent="0.25">
      <c r="A269" s="33">
        <v>268</v>
      </c>
      <c r="B269" s="24">
        <v>44203</v>
      </c>
      <c r="C269" t="s">
        <v>39</v>
      </c>
      <c r="D269" t="s">
        <v>51</v>
      </c>
      <c r="E269">
        <v>2000705157</v>
      </c>
      <c r="F269">
        <v>223</v>
      </c>
      <c r="G269">
        <v>193</v>
      </c>
      <c r="H269">
        <v>0</v>
      </c>
      <c r="I269" t="s">
        <v>706</v>
      </c>
      <c r="J269" t="s">
        <v>669</v>
      </c>
      <c r="K269" t="s">
        <v>755</v>
      </c>
      <c r="O269">
        <v>0</v>
      </c>
      <c r="U269" t="s">
        <v>81</v>
      </c>
    </row>
    <row r="270" spans="1:21" x14ac:dyDescent="0.25">
      <c r="A270" s="33">
        <v>269</v>
      </c>
      <c r="B270" s="24">
        <v>44203</v>
      </c>
      <c r="C270" t="s">
        <v>39</v>
      </c>
      <c r="D270" t="s">
        <v>51</v>
      </c>
      <c r="E270">
        <v>2000706609</v>
      </c>
      <c r="F270">
        <v>650</v>
      </c>
      <c r="G270">
        <v>140</v>
      </c>
      <c r="H270">
        <v>0</v>
      </c>
      <c r="I270" t="s">
        <v>706</v>
      </c>
      <c r="J270" t="s">
        <v>667</v>
      </c>
      <c r="K270" t="s">
        <v>671</v>
      </c>
      <c r="O270">
        <v>0</v>
      </c>
      <c r="U270" t="s">
        <v>81</v>
      </c>
    </row>
    <row r="271" spans="1:21" x14ac:dyDescent="0.25">
      <c r="A271" s="33">
        <v>270</v>
      </c>
      <c r="B271" s="24">
        <v>44203</v>
      </c>
      <c r="C271" t="s">
        <v>39</v>
      </c>
      <c r="D271" t="s">
        <v>51</v>
      </c>
      <c r="E271">
        <v>2000707979</v>
      </c>
      <c r="F271">
        <v>370</v>
      </c>
      <c r="G271">
        <v>90</v>
      </c>
      <c r="H271">
        <v>0</v>
      </c>
      <c r="I271" t="s">
        <v>706</v>
      </c>
      <c r="J271" t="s">
        <v>669</v>
      </c>
      <c r="K271" t="s">
        <v>741</v>
      </c>
      <c r="O271">
        <v>0</v>
      </c>
      <c r="U271" t="s">
        <v>81</v>
      </c>
    </row>
    <row r="272" spans="1:21" x14ac:dyDescent="0.25">
      <c r="A272" s="33">
        <v>271</v>
      </c>
      <c r="B272" s="24">
        <v>44203</v>
      </c>
      <c r="C272" t="s">
        <v>39</v>
      </c>
      <c r="D272" t="s">
        <v>51</v>
      </c>
      <c r="E272">
        <v>2000706297</v>
      </c>
      <c r="F272">
        <v>450</v>
      </c>
      <c r="G272">
        <v>140</v>
      </c>
      <c r="H272">
        <v>0</v>
      </c>
      <c r="I272" t="s">
        <v>706</v>
      </c>
      <c r="J272" t="s">
        <v>673</v>
      </c>
      <c r="K272" t="s">
        <v>674</v>
      </c>
      <c r="O272">
        <v>0</v>
      </c>
      <c r="U272" t="s">
        <v>81</v>
      </c>
    </row>
    <row r="273" spans="1:21" x14ac:dyDescent="0.25">
      <c r="A273" s="33">
        <v>272</v>
      </c>
      <c r="B273" s="24">
        <v>44203</v>
      </c>
      <c r="C273" t="s">
        <v>39</v>
      </c>
      <c r="D273" t="s">
        <v>51</v>
      </c>
      <c r="E273">
        <v>2000706298</v>
      </c>
      <c r="F273">
        <v>315</v>
      </c>
      <c r="G273">
        <v>110</v>
      </c>
      <c r="H273">
        <v>0</v>
      </c>
      <c r="I273" t="s">
        <v>706</v>
      </c>
      <c r="J273" t="s">
        <v>673</v>
      </c>
      <c r="K273" t="s">
        <v>760</v>
      </c>
      <c r="O273">
        <v>0</v>
      </c>
      <c r="U273" t="s">
        <v>81</v>
      </c>
    </row>
    <row r="274" spans="1:21" x14ac:dyDescent="0.25">
      <c r="A274" s="33">
        <v>273</v>
      </c>
      <c r="B274" s="24">
        <v>44203</v>
      </c>
      <c r="C274" t="s">
        <v>39</v>
      </c>
      <c r="D274" t="s">
        <v>51</v>
      </c>
      <c r="E274">
        <v>2000706605</v>
      </c>
      <c r="F274">
        <v>445</v>
      </c>
      <c r="G274">
        <v>150</v>
      </c>
      <c r="H274">
        <v>0</v>
      </c>
      <c r="I274" t="s">
        <v>706</v>
      </c>
      <c r="J274" t="s">
        <v>669</v>
      </c>
      <c r="K274" t="s">
        <v>670</v>
      </c>
      <c r="O274">
        <v>0</v>
      </c>
      <c r="U274" t="s">
        <v>81</v>
      </c>
    </row>
    <row r="275" spans="1:21" x14ac:dyDescent="0.25">
      <c r="A275" s="33">
        <v>274</v>
      </c>
      <c r="B275" s="24">
        <v>44203</v>
      </c>
      <c r="C275" t="s">
        <v>39</v>
      </c>
      <c r="D275" t="s">
        <v>51</v>
      </c>
      <c r="E275">
        <v>2000706607</v>
      </c>
      <c r="F275">
        <v>800</v>
      </c>
      <c r="G275">
        <v>150</v>
      </c>
      <c r="H275">
        <v>0</v>
      </c>
      <c r="I275" t="s">
        <v>706</v>
      </c>
      <c r="J275" t="s">
        <v>667</v>
      </c>
      <c r="K275" t="s">
        <v>730</v>
      </c>
      <c r="O275">
        <v>0</v>
      </c>
      <c r="U275" t="s">
        <v>81</v>
      </c>
    </row>
    <row r="276" spans="1:21" x14ac:dyDescent="0.25">
      <c r="A276" s="33">
        <v>275</v>
      </c>
      <c r="B276" s="24">
        <v>44203</v>
      </c>
      <c r="C276" t="s">
        <v>181</v>
      </c>
      <c r="D276" t="s">
        <v>41</v>
      </c>
      <c r="E276">
        <v>2000705735</v>
      </c>
      <c r="F276">
        <v>2160</v>
      </c>
      <c r="G276">
        <v>130</v>
      </c>
      <c r="H276">
        <v>0</v>
      </c>
      <c r="I276" t="s">
        <v>201</v>
      </c>
      <c r="J276" t="s">
        <v>203</v>
      </c>
      <c r="K276" t="s">
        <v>640</v>
      </c>
      <c r="O276">
        <v>0</v>
      </c>
      <c r="U276" t="s">
        <v>81</v>
      </c>
    </row>
    <row r="277" spans="1:21" x14ac:dyDescent="0.25">
      <c r="A277" s="33">
        <v>276</v>
      </c>
      <c r="B277" s="24">
        <v>44203</v>
      </c>
      <c r="C277" t="s">
        <v>181</v>
      </c>
      <c r="D277" t="s">
        <v>41</v>
      </c>
      <c r="E277">
        <v>2000707931</v>
      </c>
      <c r="F277">
        <v>2400</v>
      </c>
      <c r="G277">
        <v>300</v>
      </c>
      <c r="H277">
        <v>0</v>
      </c>
      <c r="I277" t="s">
        <v>201</v>
      </c>
      <c r="J277" t="s">
        <v>761</v>
      </c>
      <c r="K277" t="s">
        <v>762</v>
      </c>
      <c r="O277">
        <v>0</v>
      </c>
      <c r="U277" t="s">
        <v>81</v>
      </c>
    </row>
    <row r="278" spans="1:21" x14ac:dyDescent="0.25">
      <c r="A278" s="33">
        <v>277</v>
      </c>
      <c r="B278" s="24">
        <v>44203</v>
      </c>
      <c r="C278" t="s">
        <v>181</v>
      </c>
      <c r="D278" t="s">
        <v>41</v>
      </c>
      <c r="E278">
        <v>2000706437</v>
      </c>
      <c r="F278">
        <v>3231</v>
      </c>
      <c r="G278">
        <v>300</v>
      </c>
      <c r="H278">
        <v>0</v>
      </c>
      <c r="I278" t="s">
        <v>201</v>
      </c>
      <c r="J278" t="s">
        <v>169</v>
      </c>
      <c r="K278" t="s">
        <v>652</v>
      </c>
      <c r="O278">
        <v>0</v>
      </c>
      <c r="U278" t="s">
        <v>81</v>
      </c>
    </row>
    <row r="279" spans="1:21" x14ac:dyDescent="0.25">
      <c r="A279" s="33">
        <v>278</v>
      </c>
      <c r="B279" s="24">
        <v>44203</v>
      </c>
      <c r="C279" t="s">
        <v>181</v>
      </c>
      <c r="D279" t="s">
        <v>41</v>
      </c>
      <c r="E279">
        <v>2000707189</v>
      </c>
      <c r="F279">
        <v>1700</v>
      </c>
      <c r="G279">
        <v>300</v>
      </c>
      <c r="H279">
        <v>0</v>
      </c>
      <c r="I279" t="s">
        <v>201</v>
      </c>
      <c r="J279" t="s">
        <v>172</v>
      </c>
      <c r="K279" t="s">
        <v>725</v>
      </c>
      <c r="O279">
        <v>0</v>
      </c>
      <c r="U279" t="s">
        <v>81</v>
      </c>
    </row>
    <row r="280" spans="1:21" x14ac:dyDescent="0.25">
      <c r="A280" s="33">
        <v>279</v>
      </c>
      <c r="B280" s="24">
        <v>44203</v>
      </c>
      <c r="C280" t="s">
        <v>181</v>
      </c>
      <c r="D280" t="s">
        <v>41</v>
      </c>
      <c r="E280">
        <v>2000707059</v>
      </c>
      <c r="F280">
        <v>2656</v>
      </c>
      <c r="G280">
        <v>80</v>
      </c>
      <c r="H280">
        <v>0</v>
      </c>
      <c r="I280" t="s">
        <v>201</v>
      </c>
      <c r="J280" t="s">
        <v>655</v>
      </c>
      <c r="K280" t="s">
        <v>656</v>
      </c>
      <c r="O280">
        <v>0</v>
      </c>
      <c r="U280" t="s">
        <v>81</v>
      </c>
    </row>
    <row r="281" spans="1:21" x14ac:dyDescent="0.25">
      <c r="A281" s="33">
        <v>280</v>
      </c>
      <c r="B281" s="24">
        <v>44203</v>
      </c>
      <c r="C281" t="s">
        <v>181</v>
      </c>
      <c r="D281" t="s">
        <v>41</v>
      </c>
      <c r="E281">
        <v>2000706621</v>
      </c>
      <c r="F281">
        <v>5440</v>
      </c>
      <c r="G281">
        <v>200</v>
      </c>
      <c r="H281">
        <v>0</v>
      </c>
      <c r="I281" t="s">
        <v>201</v>
      </c>
      <c r="J281" t="s">
        <v>200</v>
      </c>
      <c r="K281" t="s">
        <v>653</v>
      </c>
      <c r="O281">
        <v>0</v>
      </c>
      <c r="U281" t="s">
        <v>81</v>
      </c>
    </row>
    <row r="282" spans="1:21" x14ac:dyDescent="0.25">
      <c r="A282" s="33">
        <v>281</v>
      </c>
      <c r="B282" s="24">
        <v>44203</v>
      </c>
      <c r="C282" t="s">
        <v>181</v>
      </c>
      <c r="D282" t="s">
        <v>41</v>
      </c>
      <c r="E282">
        <v>2000706779</v>
      </c>
      <c r="F282">
        <v>2000</v>
      </c>
      <c r="G282">
        <v>200</v>
      </c>
      <c r="H282">
        <v>0</v>
      </c>
      <c r="I282" t="s">
        <v>201</v>
      </c>
      <c r="J282" t="s">
        <v>193</v>
      </c>
      <c r="K282" t="s">
        <v>650</v>
      </c>
      <c r="O282">
        <v>0</v>
      </c>
      <c r="U282" t="s">
        <v>81</v>
      </c>
    </row>
    <row r="283" spans="1:21" x14ac:dyDescent="0.25">
      <c r="A283" s="33">
        <v>282</v>
      </c>
      <c r="B283" s="24">
        <v>44203</v>
      </c>
      <c r="C283" t="s">
        <v>181</v>
      </c>
      <c r="D283" t="s">
        <v>41</v>
      </c>
      <c r="E283">
        <v>2000706760</v>
      </c>
      <c r="F283">
        <v>1720</v>
      </c>
      <c r="G283">
        <v>240</v>
      </c>
      <c r="H283">
        <v>0</v>
      </c>
      <c r="I283" t="s">
        <v>201</v>
      </c>
      <c r="J283" t="s">
        <v>745</v>
      </c>
      <c r="K283" t="s">
        <v>746</v>
      </c>
      <c r="O283">
        <v>0</v>
      </c>
      <c r="U283" t="s">
        <v>81</v>
      </c>
    </row>
    <row r="284" spans="1:21" x14ac:dyDescent="0.25">
      <c r="A284" s="33">
        <v>283</v>
      </c>
      <c r="B284" s="24">
        <v>44203</v>
      </c>
      <c r="C284" t="s">
        <v>181</v>
      </c>
      <c r="D284" t="s">
        <v>41</v>
      </c>
      <c r="E284">
        <v>2000706438</v>
      </c>
      <c r="F284">
        <v>4210</v>
      </c>
      <c r="G284">
        <v>240</v>
      </c>
      <c r="H284">
        <v>0</v>
      </c>
      <c r="I284" t="s">
        <v>201</v>
      </c>
      <c r="J284" t="s">
        <v>199</v>
      </c>
      <c r="K284" t="s">
        <v>660</v>
      </c>
      <c r="O284">
        <v>0</v>
      </c>
      <c r="U284" t="s">
        <v>81</v>
      </c>
    </row>
    <row r="285" spans="1:21" x14ac:dyDescent="0.25">
      <c r="A285" s="33">
        <v>284</v>
      </c>
      <c r="B285" s="24">
        <v>44203</v>
      </c>
      <c r="C285" t="s">
        <v>181</v>
      </c>
      <c r="D285" t="s">
        <v>41</v>
      </c>
      <c r="E285">
        <v>2000707793</v>
      </c>
      <c r="F285">
        <v>2000</v>
      </c>
      <c r="G285">
        <v>200</v>
      </c>
      <c r="H285">
        <v>0</v>
      </c>
      <c r="I285" t="s">
        <v>201</v>
      </c>
      <c r="J285" t="s">
        <v>193</v>
      </c>
      <c r="K285" t="s">
        <v>686</v>
      </c>
      <c r="O285">
        <v>0</v>
      </c>
      <c r="U285" t="s">
        <v>81</v>
      </c>
    </row>
    <row r="286" spans="1:21" x14ac:dyDescent="0.25">
      <c r="A286" s="33">
        <v>285</v>
      </c>
      <c r="B286" s="24">
        <v>44203</v>
      </c>
      <c r="C286" t="s">
        <v>181</v>
      </c>
      <c r="D286" t="s">
        <v>41</v>
      </c>
      <c r="E286">
        <v>2000706645</v>
      </c>
      <c r="F286">
        <v>1032</v>
      </c>
      <c r="G286">
        <v>240</v>
      </c>
      <c r="H286">
        <v>0</v>
      </c>
      <c r="I286" t="s">
        <v>665</v>
      </c>
      <c r="J286" t="s">
        <v>174</v>
      </c>
      <c r="K286" t="s">
        <v>717</v>
      </c>
      <c r="O286">
        <v>0</v>
      </c>
      <c r="U286" t="s">
        <v>81</v>
      </c>
    </row>
    <row r="287" spans="1:21" x14ac:dyDescent="0.25">
      <c r="A287" s="33">
        <v>286</v>
      </c>
      <c r="B287" s="24">
        <v>44203</v>
      </c>
      <c r="C287" t="s">
        <v>181</v>
      </c>
      <c r="D287" t="s">
        <v>41</v>
      </c>
      <c r="E287">
        <v>2000707191</v>
      </c>
      <c r="F287">
        <v>2000</v>
      </c>
      <c r="G287">
        <v>40</v>
      </c>
      <c r="H287">
        <v>0</v>
      </c>
      <c r="I287" t="s">
        <v>666</v>
      </c>
      <c r="J287" t="s">
        <v>172</v>
      </c>
      <c r="K287" t="s">
        <v>724</v>
      </c>
      <c r="O287">
        <v>0</v>
      </c>
      <c r="U287" t="s">
        <v>81</v>
      </c>
    </row>
    <row r="288" spans="1:21" x14ac:dyDescent="0.25">
      <c r="A288" s="33">
        <v>287</v>
      </c>
      <c r="B288" s="24">
        <v>44203</v>
      </c>
      <c r="C288" t="s">
        <v>181</v>
      </c>
      <c r="D288" t="s">
        <v>41</v>
      </c>
      <c r="E288">
        <v>2000701969</v>
      </c>
      <c r="F288">
        <v>1802</v>
      </c>
      <c r="G288">
        <v>2</v>
      </c>
      <c r="H288">
        <v>0</v>
      </c>
      <c r="I288" t="s">
        <v>666</v>
      </c>
      <c r="J288" t="s">
        <v>174</v>
      </c>
      <c r="K288" t="s">
        <v>763</v>
      </c>
      <c r="O288">
        <v>0</v>
      </c>
      <c r="U288" t="s">
        <v>81</v>
      </c>
    </row>
    <row r="289" spans="1:21" x14ac:dyDescent="0.25">
      <c r="A289" s="33">
        <v>288</v>
      </c>
      <c r="B289" s="24">
        <v>44203</v>
      </c>
      <c r="C289" t="s">
        <v>181</v>
      </c>
      <c r="D289" t="s">
        <v>41</v>
      </c>
      <c r="E289">
        <v>2000707223</v>
      </c>
      <c r="F289">
        <v>363</v>
      </c>
      <c r="G289">
        <v>359</v>
      </c>
      <c r="H289">
        <v>0</v>
      </c>
      <c r="I289" t="s">
        <v>666</v>
      </c>
      <c r="J289" t="s">
        <v>174</v>
      </c>
      <c r="K289" t="s">
        <v>763</v>
      </c>
      <c r="O289">
        <v>0</v>
      </c>
      <c r="U289" t="s">
        <v>81</v>
      </c>
    </row>
    <row r="290" spans="1:21" x14ac:dyDescent="0.25">
      <c r="A290" s="33">
        <v>289</v>
      </c>
      <c r="B290" s="24">
        <v>44203</v>
      </c>
      <c r="C290" t="s">
        <v>181</v>
      </c>
      <c r="D290" t="s">
        <v>41</v>
      </c>
      <c r="E290">
        <v>2000706645</v>
      </c>
      <c r="F290">
        <v>1032</v>
      </c>
      <c r="G290">
        <v>40</v>
      </c>
      <c r="H290">
        <v>0</v>
      </c>
      <c r="I290" t="s">
        <v>666</v>
      </c>
      <c r="J290" t="s">
        <v>174</v>
      </c>
      <c r="K290" t="s">
        <v>717</v>
      </c>
      <c r="O290">
        <v>0</v>
      </c>
      <c r="U290" t="s">
        <v>81</v>
      </c>
    </row>
    <row r="291" spans="1:21" x14ac:dyDescent="0.25">
      <c r="A291" s="33">
        <v>290</v>
      </c>
      <c r="B291" s="24">
        <v>44203</v>
      </c>
      <c r="C291" t="s">
        <v>181</v>
      </c>
      <c r="D291" t="s">
        <v>41</v>
      </c>
      <c r="E291">
        <v>2000705684</v>
      </c>
      <c r="F291">
        <v>392</v>
      </c>
      <c r="G291">
        <v>80</v>
      </c>
      <c r="H291">
        <v>0</v>
      </c>
      <c r="I291" t="s">
        <v>666</v>
      </c>
      <c r="J291" t="s">
        <v>174</v>
      </c>
      <c r="K291" t="s">
        <v>188</v>
      </c>
      <c r="O291">
        <v>0</v>
      </c>
      <c r="U291" t="s">
        <v>81</v>
      </c>
    </row>
    <row r="292" spans="1:21" x14ac:dyDescent="0.25">
      <c r="A292" s="33">
        <v>291</v>
      </c>
      <c r="B292" s="24">
        <v>44203</v>
      </c>
      <c r="C292" t="s">
        <v>181</v>
      </c>
      <c r="D292" t="s">
        <v>41</v>
      </c>
      <c r="E292">
        <v>2000706583</v>
      </c>
      <c r="F292">
        <v>3050</v>
      </c>
      <c r="G292">
        <v>15</v>
      </c>
      <c r="H292">
        <v>0</v>
      </c>
      <c r="I292" t="s">
        <v>661</v>
      </c>
      <c r="J292" t="s">
        <v>170</v>
      </c>
      <c r="K292" t="s">
        <v>697</v>
      </c>
      <c r="O292">
        <v>0</v>
      </c>
      <c r="U292" t="s">
        <v>81</v>
      </c>
    </row>
    <row r="293" spans="1:21" x14ac:dyDescent="0.25">
      <c r="A293" s="33">
        <v>292</v>
      </c>
      <c r="B293" s="24">
        <v>44203</v>
      </c>
      <c r="C293" t="s">
        <v>181</v>
      </c>
      <c r="D293" t="s">
        <v>41</v>
      </c>
      <c r="E293">
        <v>2000706632</v>
      </c>
      <c r="F293">
        <v>2610</v>
      </c>
      <c r="G293">
        <v>515</v>
      </c>
      <c r="H293">
        <v>0</v>
      </c>
      <c r="I293" t="s">
        <v>661</v>
      </c>
      <c r="J293" t="s">
        <v>170</v>
      </c>
      <c r="K293" t="s">
        <v>171</v>
      </c>
      <c r="O293">
        <v>0</v>
      </c>
      <c r="U293" t="s">
        <v>81</v>
      </c>
    </row>
    <row r="294" spans="1:21" x14ac:dyDescent="0.25">
      <c r="A294" s="33">
        <v>293</v>
      </c>
      <c r="B294" s="24">
        <v>44203</v>
      </c>
      <c r="C294" t="s">
        <v>181</v>
      </c>
      <c r="D294" t="s">
        <v>41</v>
      </c>
      <c r="E294">
        <v>2000706635</v>
      </c>
      <c r="F294">
        <v>1080</v>
      </c>
      <c r="G294">
        <v>135</v>
      </c>
      <c r="H294">
        <v>0</v>
      </c>
      <c r="I294" t="s">
        <v>661</v>
      </c>
      <c r="J294" t="s">
        <v>170</v>
      </c>
      <c r="K294" t="s">
        <v>171</v>
      </c>
      <c r="O294">
        <v>0</v>
      </c>
      <c r="U294" t="s">
        <v>81</v>
      </c>
    </row>
    <row r="295" spans="1:21" x14ac:dyDescent="0.25">
      <c r="A295" s="33">
        <v>294</v>
      </c>
      <c r="B295" s="24">
        <v>44203</v>
      </c>
      <c r="C295" t="s">
        <v>181</v>
      </c>
      <c r="D295" t="s">
        <v>41</v>
      </c>
      <c r="E295">
        <v>2000705330</v>
      </c>
      <c r="F295">
        <v>540</v>
      </c>
      <c r="G295">
        <v>36</v>
      </c>
      <c r="H295">
        <v>0</v>
      </c>
      <c r="I295" t="s">
        <v>661</v>
      </c>
      <c r="J295" t="s">
        <v>698</v>
      </c>
      <c r="K295" t="s">
        <v>700</v>
      </c>
      <c r="O295">
        <v>0</v>
      </c>
      <c r="U295" t="s">
        <v>81</v>
      </c>
    </row>
    <row r="296" spans="1:21" x14ac:dyDescent="0.25">
      <c r="A296" s="33">
        <v>295</v>
      </c>
      <c r="B296" s="24">
        <v>44203</v>
      </c>
      <c r="C296" t="s">
        <v>181</v>
      </c>
      <c r="D296" t="s">
        <v>41</v>
      </c>
      <c r="E296">
        <v>2000707083</v>
      </c>
      <c r="F296">
        <v>1300</v>
      </c>
      <c r="G296">
        <v>30</v>
      </c>
      <c r="H296">
        <v>0</v>
      </c>
      <c r="I296" t="s">
        <v>178</v>
      </c>
      <c r="J296" t="s">
        <v>169</v>
      </c>
      <c r="K296" t="s">
        <v>179</v>
      </c>
      <c r="O296">
        <v>0</v>
      </c>
      <c r="U296" t="s">
        <v>81</v>
      </c>
    </row>
    <row r="297" spans="1:21" x14ac:dyDescent="0.25">
      <c r="A297" s="33">
        <v>296</v>
      </c>
      <c r="B297" s="24">
        <v>44203</v>
      </c>
      <c r="C297" t="s">
        <v>181</v>
      </c>
      <c r="D297" t="s">
        <v>41</v>
      </c>
      <c r="E297">
        <v>2000707938</v>
      </c>
      <c r="F297">
        <v>850</v>
      </c>
      <c r="G297">
        <v>80</v>
      </c>
      <c r="H297">
        <v>0</v>
      </c>
      <c r="I297" t="s">
        <v>178</v>
      </c>
      <c r="J297" t="s">
        <v>169</v>
      </c>
      <c r="K297" t="s">
        <v>190</v>
      </c>
      <c r="O297">
        <v>0</v>
      </c>
      <c r="U297" t="s">
        <v>81</v>
      </c>
    </row>
    <row r="298" spans="1:21" x14ac:dyDescent="0.25">
      <c r="A298" s="33">
        <v>297</v>
      </c>
      <c r="B298" s="24">
        <v>44203</v>
      </c>
      <c r="C298" t="s">
        <v>181</v>
      </c>
      <c r="D298" t="s">
        <v>41</v>
      </c>
      <c r="E298">
        <v>2000705168</v>
      </c>
      <c r="F298">
        <v>750</v>
      </c>
      <c r="G298">
        <v>156</v>
      </c>
      <c r="H298">
        <v>0</v>
      </c>
      <c r="I298" t="s">
        <v>178</v>
      </c>
      <c r="J298" t="s">
        <v>169</v>
      </c>
      <c r="K298" t="s">
        <v>637</v>
      </c>
      <c r="O298">
        <v>0</v>
      </c>
      <c r="U298" t="s">
        <v>81</v>
      </c>
    </row>
    <row r="299" spans="1:21" x14ac:dyDescent="0.25">
      <c r="A299" s="33">
        <v>298</v>
      </c>
      <c r="B299" s="24">
        <v>44203</v>
      </c>
      <c r="C299" t="s">
        <v>181</v>
      </c>
      <c r="D299" t="s">
        <v>41</v>
      </c>
      <c r="E299">
        <v>2000706632</v>
      </c>
      <c r="F299">
        <v>2610</v>
      </c>
      <c r="G299">
        <v>360</v>
      </c>
      <c r="H299">
        <v>0</v>
      </c>
      <c r="I299" t="s">
        <v>178</v>
      </c>
      <c r="J299" t="s">
        <v>170</v>
      </c>
      <c r="K299" t="s">
        <v>171</v>
      </c>
      <c r="O299">
        <v>0</v>
      </c>
      <c r="U299" t="s">
        <v>81</v>
      </c>
    </row>
    <row r="300" spans="1:21" x14ac:dyDescent="0.25">
      <c r="A300" s="33">
        <v>299</v>
      </c>
      <c r="B300" s="24">
        <v>44203</v>
      </c>
      <c r="C300" t="s">
        <v>181</v>
      </c>
      <c r="D300" t="s">
        <v>41</v>
      </c>
      <c r="E300">
        <v>2000706635</v>
      </c>
      <c r="F300">
        <v>1080</v>
      </c>
      <c r="G300">
        <v>152</v>
      </c>
      <c r="H300">
        <v>0</v>
      </c>
      <c r="I300" t="s">
        <v>178</v>
      </c>
      <c r="J300" t="s">
        <v>170</v>
      </c>
      <c r="K300" t="s">
        <v>171</v>
      </c>
      <c r="O300">
        <v>0</v>
      </c>
      <c r="U300" t="s">
        <v>81</v>
      </c>
    </row>
    <row r="301" spans="1:21" x14ac:dyDescent="0.25">
      <c r="A301" s="33">
        <v>300</v>
      </c>
      <c r="B301" s="24">
        <v>44203</v>
      </c>
      <c r="C301" t="s">
        <v>181</v>
      </c>
      <c r="D301" t="s">
        <v>41</v>
      </c>
      <c r="E301">
        <v>2000707945</v>
      </c>
      <c r="F301">
        <v>340</v>
      </c>
      <c r="G301">
        <v>80</v>
      </c>
      <c r="H301">
        <v>0</v>
      </c>
      <c r="I301" t="s">
        <v>642</v>
      </c>
      <c r="J301" t="s">
        <v>197</v>
      </c>
      <c r="K301" t="s">
        <v>764</v>
      </c>
      <c r="O301">
        <v>0</v>
      </c>
      <c r="U301" t="s">
        <v>81</v>
      </c>
    </row>
    <row r="302" spans="1:21" x14ac:dyDescent="0.25">
      <c r="A302" s="33">
        <v>301</v>
      </c>
      <c r="B302" s="24">
        <v>44203</v>
      </c>
      <c r="C302" t="s">
        <v>181</v>
      </c>
      <c r="D302" t="s">
        <v>41</v>
      </c>
      <c r="E302">
        <v>2000707192</v>
      </c>
      <c r="F302">
        <v>1700</v>
      </c>
      <c r="G302">
        <v>100</v>
      </c>
      <c r="H302">
        <v>0</v>
      </c>
      <c r="I302" t="s">
        <v>642</v>
      </c>
      <c r="J302" t="s">
        <v>172</v>
      </c>
      <c r="K302" t="s">
        <v>173</v>
      </c>
      <c r="O302">
        <v>0</v>
      </c>
      <c r="U302" t="s">
        <v>81</v>
      </c>
    </row>
    <row r="303" spans="1:21" x14ac:dyDescent="0.25">
      <c r="A303" s="33">
        <v>302</v>
      </c>
      <c r="B303" s="24">
        <v>44203</v>
      </c>
      <c r="C303" t="s">
        <v>181</v>
      </c>
      <c r="D303" t="s">
        <v>41</v>
      </c>
      <c r="E303">
        <v>2000707763</v>
      </c>
      <c r="F303">
        <v>530</v>
      </c>
      <c r="G303">
        <v>80</v>
      </c>
      <c r="H303">
        <v>0</v>
      </c>
      <c r="I303" t="s">
        <v>642</v>
      </c>
      <c r="J303" t="s">
        <v>645</v>
      </c>
      <c r="K303" t="s">
        <v>765</v>
      </c>
      <c r="O303">
        <v>0</v>
      </c>
      <c r="U303" t="s">
        <v>81</v>
      </c>
    </row>
    <row r="304" spans="1:21" x14ac:dyDescent="0.25">
      <c r="A304" s="33">
        <v>303</v>
      </c>
      <c r="B304" s="24">
        <v>44203</v>
      </c>
      <c r="C304" t="s">
        <v>181</v>
      </c>
      <c r="D304" t="s">
        <v>41</v>
      </c>
      <c r="E304">
        <v>2000707932</v>
      </c>
      <c r="F304">
        <v>2400</v>
      </c>
      <c r="G304">
        <v>40</v>
      </c>
      <c r="H304">
        <v>0</v>
      </c>
      <c r="I304" t="s">
        <v>642</v>
      </c>
      <c r="J304" t="s">
        <v>645</v>
      </c>
      <c r="K304" t="s">
        <v>721</v>
      </c>
      <c r="O304">
        <v>0</v>
      </c>
      <c r="U304" t="s">
        <v>81</v>
      </c>
    </row>
    <row r="305" spans="1:21" x14ac:dyDescent="0.25">
      <c r="A305" s="33">
        <v>304</v>
      </c>
      <c r="B305" s="24">
        <v>44203</v>
      </c>
      <c r="C305" t="s">
        <v>181</v>
      </c>
      <c r="D305" t="s">
        <v>41</v>
      </c>
      <c r="E305">
        <v>2000707794</v>
      </c>
      <c r="F305">
        <v>2000</v>
      </c>
      <c r="G305">
        <v>160</v>
      </c>
      <c r="H305">
        <v>0</v>
      </c>
      <c r="I305" t="s">
        <v>642</v>
      </c>
      <c r="J305" t="s">
        <v>193</v>
      </c>
      <c r="K305" t="s">
        <v>647</v>
      </c>
      <c r="O305">
        <v>0</v>
      </c>
      <c r="U305" t="s">
        <v>81</v>
      </c>
    </row>
    <row r="306" spans="1:21" x14ac:dyDescent="0.25">
      <c r="A306" s="33">
        <v>305</v>
      </c>
      <c r="B306" s="24">
        <v>44203</v>
      </c>
      <c r="C306" t="s">
        <v>181</v>
      </c>
      <c r="D306" t="s">
        <v>41</v>
      </c>
      <c r="E306">
        <v>2000707191</v>
      </c>
      <c r="F306">
        <v>2000</v>
      </c>
      <c r="G306">
        <v>90</v>
      </c>
      <c r="H306">
        <v>0</v>
      </c>
      <c r="I306" t="s">
        <v>642</v>
      </c>
      <c r="J306" t="s">
        <v>169</v>
      </c>
      <c r="K306" t="s">
        <v>724</v>
      </c>
      <c r="O306">
        <v>0</v>
      </c>
      <c r="U306" t="s">
        <v>81</v>
      </c>
    </row>
    <row r="307" spans="1:21" x14ac:dyDescent="0.25">
      <c r="A307" s="33">
        <v>306</v>
      </c>
      <c r="B307" s="24">
        <v>44203</v>
      </c>
      <c r="C307" t="s">
        <v>181</v>
      </c>
      <c r="D307" t="s">
        <v>41</v>
      </c>
      <c r="E307">
        <v>2000707764</v>
      </c>
      <c r="F307">
        <v>292</v>
      </c>
      <c r="G307">
        <v>90</v>
      </c>
      <c r="H307">
        <v>0</v>
      </c>
      <c r="I307" t="s">
        <v>642</v>
      </c>
      <c r="J307" t="s">
        <v>645</v>
      </c>
      <c r="K307" t="s">
        <v>766</v>
      </c>
      <c r="O307">
        <v>0</v>
      </c>
      <c r="U307" t="s">
        <v>81</v>
      </c>
    </row>
    <row r="308" spans="1:21" x14ac:dyDescent="0.25">
      <c r="A308" s="33">
        <v>307</v>
      </c>
      <c r="B308" s="24">
        <v>44203</v>
      </c>
      <c r="C308" t="s">
        <v>181</v>
      </c>
      <c r="D308" t="s">
        <v>41</v>
      </c>
      <c r="E308">
        <v>2000705243</v>
      </c>
      <c r="F308">
        <v>380</v>
      </c>
      <c r="G308">
        <v>12</v>
      </c>
      <c r="H308">
        <v>0</v>
      </c>
      <c r="I308" t="s">
        <v>194</v>
      </c>
      <c r="J308" t="s">
        <v>169</v>
      </c>
      <c r="K308" t="s">
        <v>767</v>
      </c>
      <c r="O308">
        <v>0</v>
      </c>
      <c r="U308" t="s">
        <v>81</v>
      </c>
    </row>
    <row r="309" spans="1:21" x14ac:dyDescent="0.25">
      <c r="A309" s="33">
        <v>308</v>
      </c>
      <c r="B309" s="24">
        <v>44203</v>
      </c>
      <c r="C309" t="s">
        <v>181</v>
      </c>
      <c r="D309" t="s">
        <v>41</v>
      </c>
      <c r="E309">
        <v>2000706635</v>
      </c>
      <c r="F309">
        <v>1080</v>
      </c>
      <c r="G309">
        <v>15</v>
      </c>
      <c r="H309">
        <v>0</v>
      </c>
      <c r="I309" t="s">
        <v>194</v>
      </c>
      <c r="J309" t="s">
        <v>169</v>
      </c>
      <c r="K309" t="s">
        <v>171</v>
      </c>
      <c r="O309">
        <v>0</v>
      </c>
      <c r="U309" t="s">
        <v>81</v>
      </c>
    </row>
    <row r="310" spans="1:21" x14ac:dyDescent="0.25">
      <c r="A310" s="33">
        <v>309</v>
      </c>
      <c r="B310" s="24">
        <v>44203</v>
      </c>
      <c r="C310" t="s">
        <v>181</v>
      </c>
      <c r="D310" t="s">
        <v>41</v>
      </c>
      <c r="E310">
        <v>2000707785</v>
      </c>
      <c r="F310">
        <v>630</v>
      </c>
      <c r="G310">
        <v>102</v>
      </c>
      <c r="H310">
        <v>0</v>
      </c>
      <c r="I310" t="s">
        <v>168</v>
      </c>
      <c r="J310" t="s">
        <v>203</v>
      </c>
      <c r="K310" t="s">
        <v>638</v>
      </c>
      <c r="O310">
        <v>0</v>
      </c>
      <c r="U310" t="s">
        <v>81</v>
      </c>
    </row>
    <row r="311" spans="1:21" x14ac:dyDescent="0.25">
      <c r="A311" s="33">
        <v>310</v>
      </c>
      <c r="B311" s="24">
        <v>44203</v>
      </c>
      <c r="C311" t="s">
        <v>181</v>
      </c>
      <c r="D311" t="s">
        <v>41</v>
      </c>
      <c r="E311">
        <v>2000706916</v>
      </c>
      <c r="F311">
        <v>1050</v>
      </c>
      <c r="G311">
        <v>50</v>
      </c>
      <c r="H311">
        <v>0</v>
      </c>
      <c r="I311" t="s">
        <v>168</v>
      </c>
      <c r="J311" t="s">
        <v>203</v>
      </c>
      <c r="K311" t="s">
        <v>638</v>
      </c>
      <c r="O311">
        <v>0</v>
      </c>
      <c r="U311" t="s">
        <v>81</v>
      </c>
    </row>
    <row r="312" spans="1:21" x14ac:dyDescent="0.25">
      <c r="A312" s="33">
        <v>311</v>
      </c>
      <c r="B312" s="24">
        <v>44203</v>
      </c>
      <c r="C312" t="s">
        <v>181</v>
      </c>
      <c r="D312" t="s">
        <v>41</v>
      </c>
      <c r="E312">
        <v>2000708380</v>
      </c>
      <c r="F312">
        <v>540</v>
      </c>
      <c r="G312">
        <v>270</v>
      </c>
      <c r="H312">
        <v>0</v>
      </c>
      <c r="I312" t="s">
        <v>168</v>
      </c>
      <c r="J312" t="s">
        <v>203</v>
      </c>
      <c r="K312" t="s">
        <v>768</v>
      </c>
      <c r="O312">
        <v>0</v>
      </c>
      <c r="U312" t="s">
        <v>81</v>
      </c>
    </row>
    <row r="313" spans="1:21" x14ac:dyDescent="0.25">
      <c r="A313" s="33">
        <v>312</v>
      </c>
      <c r="B313" s="24">
        <v>44203</v>
      </c>
      <c r="C313" t="s">
        <v>181</v>
      </c>
      <c r="D313" t="s">
        <v>51</v>
      </c>
      <c r="E313">
        <v>2000706301</v>
      </c>
      <c r="F313">
        <v>650</v>
      </c>
      <c r="G313">
        <v>35</v>
      </c>
      <c r="H313">
        <v>0</v>
      </c>
      <c r="I313" t="s">
        <v>191</v>
      </c>
      <c r="J313" t="s">
        <v>667</v>
      </c>
      <c r="K313" t="s">
        <v>671</v>
      </c>
      <c r="O313">
        <v>0</v>
      </c>
      <c r="U313" t="s">
        <v>81</v>
      </c>
    </row>
    <row r="314" spans="1:21" x14ac:dyDescent="0.25">
      <c r="A314" s="33">
        <v>313</v>
      </c>
      <c r="B314" s="24">
        <v>44203</v>
      </c>
      <c r="C314" t="s">
        <v>181</v>
      </c>
      <c r="D314" t="s">
        <v>51</v>
      </c>
      <c r="E314">
        <v>2000706609</v>
      </c>
      <c r="F314">
        <v>650</v>
      </c>
      <c r="G314">
        <v>175</v>
      </c>
      <c r="H314">
        <v>0</v>
      </c>
      <c r="I314" t="s">
        <v>191</v>
      </c>
      <c r="J314" t="s">
        <v>667</v>
      </c>
      <c r="K314" t="s">
        <v>671</v>
      </c>
      <c r="O314">
        <v>0</v>
      </c>
      <c r="U314" t="s">
        <v>81</v>
      </c>
    </row>
    <row r="315" spans="1:21" x14ac:dyDescent="0.25">
      <c r="A315" s="33">
        <v>314</v>
      </c>
      <c r="B315" s="24">
        <v>44203</v>
      </c>
      <c r="C315" t="s">
        <v>181</v>
      </c>
      <c r="D315" t="s">
        <v>51</v>
      </c>
      <c r="E315">
        <v>2000706692</v>
      </c>
      <c r="F315">
        <v>30</v>
      </c>
      <c r="G315">
        <v>30</v>
      </c>
      <c r="H315">
        <v>0</v>
      </c>
      <c r="I315" t="s">
        <v>191</v>
      </c>
      <c r="J315" t="s">
        <v>669</v>
      </c>
      <c r="K315" t="s">
        <v>773</v>
      </c>
      <c r="O315">
        <v>0</v>
      </c>
      <c r="U315" t="s">
        <v>81</v>
      </c>
    </row>
    <row r="316" spans="1:21" x14ac:dyDescent="0.25">
      <c r="A316" s="33">
        <v>315</v>
      </c>
      <c r="B316" s="24">
        <v>44203</v>
      </c>
      <c r="C316" t="s">
        <v>181</v>
      </c>
      <c r="D316" t="s">
        <v>51</v>
      </c>
      <c r="E316">
        <v>2000706605</v>
      </c>
      <c r="F316">
        <v>445</v>
      </c>
      <c r="G316">
        <v>100</v>
      </c>
      <c r="H316">
        <v>0</v>
      </c>
      <c r="I316" t="s">
        <v>191</v>
      </c>
      <c r="J316" t="s">
        <v>669</v>
      </c>
      <c r="K316" t="s">
        <v>670</v>
      </c>
      <c r="O316">
        <v>0</v>
      </c>
      <c r="U316" t="s">
        <v>81</v>
      </c>
    </row>
    <row r="317" spans="1:21" x14ac:dyDescent="0.25">
      <c r="A317" s="33">
        <v>316</v>
      </c>
      <c r="B317" s="24">
        <v>44203</v>
      </c>
      <c r="C317" t="s">
        <v>181</v>
      </c>
      <c r="D317" t="s">
        <v>51</v>
      </c>
      <c r="E317">
        <v>2000706302</v>
      </c>
      <c r="F317">
        <v>510</v>
      </c>
      <c r="G317">
        <v>100</v>
      </c>
      <c r="H317">
        <v>0</v>
      </c>
      <c r="I317" t="s">
        <v>191</v>
      </c>
      <c r="J317" t="s">
        <v>673</v>
      </c>
      <c r="K317" t="s">
        <v>672</v>
      </c>
      <c r="O317">
        <v>0</v>
      </c>
      <c r="U317" t="s">
        <v>81</v>
      </c>
    </row>
    <row r="318" spans="1:21" x14ac:dyDescent="0.25">
      <c r="A318" s="33">
        <v>317</v>
      </c>
      <c r="B318" s="24">
        <v>44203</v>
      </c>
      <c r="C318" t="s">
        <v>181</v>
      </c>
      <c r="D318" t="s">
        <v>51</v>
      </c>
      <c r="E318">
        <v>2000706939</v>
      </c>
      <c r="F318">
        <v>1000</v>
      </c>
      <c r="G318">
        <v>210</v>
      </c>
      <c r="H318">
        <v>0</v>
      </c>
      <c r="I318" t="s">
        <v>191</v>
      </c>
      <c r="J318" t="s">
        <v>667</v>
      </c>
      <c r="K318" t="s">
        <v>730</v>
      </c>
      <c r="O318">
        <v>0</v>
      </c>
      <c r="U318" t="s">
        <v>81</v>
      </c>
    </row>
    <row r="319" spans="1:21" x14ac:dyDescent="0.25">
      <c r="A319" s="33">
        <v>318</v>
      </c>
      <c r="B319" s="24">
        <v>44203</v>
      </c>
      <c r="C319" t="s">
        <v>181</v>
      </c>
      <c r="D319" t="s">
        <v>51</v>
      </c>
      <c r="E319">
        <v>2000706942</v>
      </c>
      <c r="F319">
        <v>420</v>
      </c>
      <c r="G319">
        <v>90</v>
      </c>
      <c r="H319">
        <v>0</v>
      </c>
      <c r="I319" t="s">
        <v>191</v>
      </c>
      <c r="J319" t="s">
        <v>667</v>
      </c>
      <c r="K319" t="s">
        <v>769</v>
      </c>
      <c r="O319">
        <v>0</v>
      </c>
      <c r="U319" t="s">
        <v>81</v>
      </c>
    </row>
    <row r="320" spans="1:21" x14ac:dyDescent="0.25">
      <c r="A320" s="33">
        <v>319</v>
      </c>
      <c r="B320" s="24">
        <v>44203</v>
      </c>
      <c r="C320" t="s">
        <v>181</v>
      </c>
      <c r="D320" t="s">
        <v>51</v>
      </c>
      <c r="E320">
        <v>2000706940</v>
      </c>
      <c r="F320">
        <v>270</v>
      </c>
      <c r="G320">
        <v>90</v>
      </c>
      <c r="H320">
        <v>0</v>
      </c>
      <c r="I320" t="s">
        <v>191</v>
      </c>
      <c r="J320" t="s">
        <v>770</v>
      </c>
      <c r="K320" t="s">
        <v>771</v>
      </c>
      <c r="O320">
        <v>0</v>
      </c>
      <c r="U320" t="s">
        <v>81</v>
      </c>
    </row>
    <row r="321" spans="1:21" x14ac:dyDescent="0.25">
      <c r="A321" s="33">
        <v>320</v>
      </c>
      <c r="B321" s="24">
        <v>44203</v>
      </c>
      <c r="C321" t="s">
        <v>181</v>
      </c>
      <c r="D321" t="s">
        <v>51</v>
      </c>
      <c r="E321">
        <v>2000706608</v>
      </c>
      <c r="F321">
        <v>270</v>
      </c>
      <c r="G321">
        <v>60</v>
      </c>
      <c r="H321">
        <v>0</v>
      </c>
      <c r="I321" t="s">
        <v>191</v>
      </c>
      <c r="J321" t="s">
        <v>667</v>
      </c>
      <c r="K321" t="s">
        <v>772</v>
      </c>
      <c r="O321">
        <v>0</v>
      </c>
      <c r="U321" t="s">
        <v>81</v>
      </c>
    </row>
    <row r="322" spans="1:21" x14ac:dyDescent="0.25">
      <c r="A322" s="33">
        <v>321</v>
      </c>
      <c r="B322" s="24">
        <v>44204</v>
      </c>
      <c r="C322" t="s">
        <v>39</v>
      </c>
      <c r="D322" t="s">
        <v>41</v>
      </c>
      <c r="E322">
        <v>2000707190</v>
      </c>
      <c r="F322">
        <v>2000</v>
      </c>
      <c r="G322">
        <v>300</v>
      </c>
      <c r="H322">
        <v>0</v>
      </c>
      <c r="I322" t="s">
        <v>680</v>
      </c>
      <c r="J322" t="s">
        <v>172</v>
      </c>
      <c r="K322" t="s">
        <v>725</v>
      </c>
      <c r="O322">
        <v>0</v>
      </c>
      <c r="U322" t="s">
        <v>81</v>
      </c>
    </row>
    <row r="323" spans="1:21" x14ac:dyDescent="0.25">
      <c r="A323" s="33">
        <v>322</v>
      </c>
      <c r="B323" s="24">
        <v>44204</v>
      </c>
      <c r="C323" t="s">
        <v>39</v>
      </c>
      <c r="D323" t="s">
        <v>41</v>
      </c>
      <c r="E323">
        <v>2000695411</v>
      </c>
      <c r="F323">
        <v>90</v>
      </c>
      <c r="G323">
        <v>71</v>
      </c>
      <c r="H323">
        <v>0</v>
      </c>
      <c r="I323" t="s">
        <v>680</v>
      </c>
      <c r="J323" t="s">
        <v>172</v>
      </c>
      <c r="K323" t="s">
        <v>725</v>
      </c>
      <c r="O323">
        <v>0</v>
      </c>
      <c r="U323" t="s">
        <v>81</v>
      </c>
    </row>
    <row r="324" spans="1:21" x14ac:dyDescent="0.25">
      <c r="A324" s="33">
        <v>323</v>
      </c>
      <c r="B324" s="24">
        <v>44204</v>
      </c>
      <c r="C324" t="s">
        <v>39</v>
      </c>
      <c r="D324" t="s">
        <v>41</v>
      </c>
      <c r="E324">
        <v>2000706760</v>
      </c>
      <c r="F324">
        <v>1720</v>
      </c>
      <c r="G324">
        <v>680</v>
      </c>
      <c r="H324">
        <v>0</v>
      </c>
      <c r="I324" t="s">
        <v>680</v>
      </c>
      <c r="J324" t="s">
        <v>745</v>
      </c>
      <c r="K324" t="s">
        <v>746</v>
      </c>
      <c r="O324">
        <v>0</v>
      </c>
      <c r="U324" t="s">
        <v>81</v>
      </c>
    </row>
    <row r="325" spans="1:21" x14ac:dyDescent="0.25">
      <c r="A325" s="33">
        <v>324</v>
      </c>
      <c r="B325" s="24">
        <v>44204</v>
      </c>
      <c r="C325" t="s">
        <v>39</v>
      </c>
      <c r="D325" t="s">
        <v>41</v>
      </c>
      <c r="E325">
        <v>2000706633</v>
      </c>
      <c r="F325">
        <v>1800</v>
      </c>
      <c r="G325">
        <v>90</v>
      </c>
      <c r="H325">
        <v>0</v>
      </c>
      <c r="I325" t="s">
        <v>759</v>
      </c>
      <c r="J325" t="s">
        <v>174</v>
      </c>
      <c r="K325" t="s">
        <v>774</v>
      </c>
      <c r="O325">
        <v>0</v>
      </c>
      <c r="U325" t="s">
        <v>81</v>
      </c>
    </row>
    <row r="326" spans="1:21" ht="30" x14ac:dyDescent="0.25">
      <c r="A326" s="33">
        <v>325</v>
      </c>
      <c r="B326" s="24">
        <v>44204</v>
      </c>
      <c r="C326" t="s">
        <v>39</v>
      </c>
      <c r="D326" t="s">
        <v>41</v>
      </c>
      <c r="E326">
        <v>2000704616</v>
      </c>
      <c r="F326">
        <v>1300</v>
      </c>
      <c r="G326">
        <v>57</v>
      </c>
      <c r="H326">
        <v>0</v>
      </c>
      <c r="I326" t="s">
        <v>759</v>
      </c>
      <c r="J326" t="s">
        <v>174</v>
      </c>
      <c r="K326" t="s">
        <v>774</v>
      </c>
      <c r="O326">
        <v>0</v>
      </c>
      <c r="T326" s="62" t="s">
        <v>723</v>
      </c>
      <c r="U326" t="s">
        <v>81</v>
      </c>
    </row>
    <row r="327" spans="1:21" x14ac:dyDescent="0.25">
      <c r="A327" s="33">
        <v>326</v>
      </c>
      <c r="B327" s="24">
        <v>44204</v>
      </c>
      <c r="C327" t="s">
        <v>39</v>
      </c>
      <c r="D327" t="s">
        <v>41</v>
      </c>
      <c r="E327">
        <v>2000705735</v>
      </c>
      <c r="F327">
        <v>2160</v>
      </c>
      <c r="G327">
        <v>180</v>
      </c>
      <c r="H327">
        <v>0</v>
      </c>
      <c r="I327" t="s">
        <v>759</v>
      </c>
      <c r="J327" t="s">
        <v>203</v>
      </c>
      <c r="K327" t="s">
        <v>640</v>
      </c>
      <c r="O327">
        <v>0</v>
      </c>
      <c r="U327" t="s">
        <v>81</v>
      </c>
    </row>
    <row r="328" spans="1:21" x14ac:dyDescent="0.25">
      <c r="A328" s="33">
        <v>327</v>
      </c>
      <c r="B328" s="24">
        <v>44204</v>
      </c>
      <c r="C328" t="s">
        <v>39</v>
      </c>
      <c r="D328" t="s">
        <v>41</v>
      </c>
      <c r="E328">
        <v>2000705684</v>
      </c>
      <c r="F328">
        <v>392</v>
      </c>
      <c r="G328">
        <v>40</v>
      </c>
      <c r="H328">
        <v>0</v>
      </c>
      <c r="I328" t="s">
        <v>183</v>
      </c>
      <c r="J328" t="s">
        <v>174</v>
      </c>
      <c r="K328" t="s">
        <v>188</v>
      </c>
      <c r="O328">
        <v>0</v>
      </c>
      <c r="U328" t="s">
        <v>81</v>
      </c>
    </row>
    <row r="329" spans="1:21" x14ac:dyDescent="0.25">
      <c r="A329" s="33">
        <v>328</v>
      </c>
      <c r="B329" s="24">
        <v>44204</v>
      </c>
      <c r="C329" t="s">
        <v>39</v>
      </c>
      <c r="D329" t="s">
        <v>41</v>
      </c>
      <c r="E329">
        <v>2000707777</v>
      </c>
      <c r="F329">
        <v>482</v>
      </c>
      <c r="G329">
        <v>474</v>
      </c>
      <c r="H329">
        <v>0</v>
      </c>
      <c r="I329" t="s">
        <v>183</v>
      </c>
      <c r="J329" t="s">
        <v>174</v>
      </c>
      <c r="K329" t="s">
        <v>188</v>
      </c>
      <c r="O329">
        <v>0</v>
      </c>
      <c r="U329" t="s">
        <v>81</v>
      </c>
    </row>
    <row r="330" spans="1:21" x14ac:dyDescent="0.25">
      <c r="A330" s="33">
        <v>329</v>
      </c>
      <c r="B330" s="24">
        <v>44204</v>
      </c>
      <c r="C330" t="s">
        <v>39</v>
      </c>
      <c r="D330" t="s">
        <v>41</v>
      </c>
      <c r="E330">
        <v>2000706645</v>
      </c>
      <c r="F330">
        <v>1032</v>
      </c>
      <c r="G330">
        <v>177</v>
      </c>
      <c r="H330">
        <v>0</v>
      </c>
      <c r="I330" t="s">
        <v>183</v>
      </c>
      <c r="J330" t="s">
        <v>174</v>
      </c>
      <c r="K330" t="s">
        <v>717</v>
      </c>
      <c r="O330">
        <v>0</v>
      </c>
      <c r="U330" t="s">
        <v>81</v>
      </c>
    </row>
    <row r="331" spans="1:21" x14ac:dyDescent="0.25">
      <c r="A331" s="33">
        <v>330</v>
      </c>
      <c r="B331" s="24">
        <v>44204</v>
      </c>
      <c r="C331" t="s">
        <v>39</v>
      </c>
      <c r="D331" t="s">
        <v>41</v>
      </c>
      <c r="E331">
        <v>2000699441</v>
      </c>
      <c r="F331">
        <v>440</v>
      </c>
      <c r="G331">
        <v>5</v>
      </c>
      <c r="H331">
        <v>0</v>
      </c>
      <c r="I331" t="s">
        <v>183</v>
      </c>
      <c r="J331" t="s">
        <v>174</v>
      </c>
      <c r="K331" t="s">
        <v>717</v>
      </c>
      <c r="O331">
        <v>0</v>
      </c>
      <c r="U331" t="s">
        <v>81</v>
      </c>
    </row>
    <row r="332" spans="1:21" ht="45" x14ac:dyDescent="0.25">
      <c r="A332" s="33">
        <v>331</v>
      </c>
      <c r="B332" s="24">
        <v>44204</v>
      </c>
      <c r="C332" t="s">
        <v>39</v>
      </c>
      <c r="D332" t="s">
        <v>41</v>
      </c>
      <c r="E332">
        <v>2000705986</v>
      </c>
      <c r="F332">
        <v>670</v>
      </c>
      <c r="G332">
        <v>2</v>
      </c>
      <c r="H332">
        <v>0</v>
      </c>
      <c r="I332" t="s">
        <v>183</v>
      </c>
      <c r="J332" t="s">
        <v>174</v>
      </c>
      <c r="K332" t="s">
        <v>177</v>
      </c>
      <c r="O332">
        <v>0</v>
      </c>
      <c r="T332" s="62" t="s">
        <v>775</v>
      </c>
      <c r="U332" t="s">
        <v>81</v>
      </c>
    </row>
    <row r="333" spans="1:21" x14ac:dyDescent="0.25">
      <c r="A333" s="33">
        <v>332</v>
      </c>
      <c r="B333" s="24">
        <v>44204</v>
      </c>
      <c r="C333" t="s">
        <v>39</v>
      </c>
      <c r="D333" t="s">
        <v>41</v>
      </c>
      <c r="E333">
        <v>2000706633</v>
      </c>
      <c r="F333">
        <v>800</v>
      </c>
      <c r="G333">
        <v>135</v>
      </c>
      <c r="H333">
        <v>0</v>
      </c>
      <c r="I333" t="s">
        <v>183</v>
      </c>
      <c r="J333" t="s">
        <v>174</v>
      </c>
      <c r="K333" t="s">
        <v>774</v>
      </c>
      <c r="O333">
        <v>0</v>
      </c>
      <c r="U333" t="s">
        <v>81</v>
      </c>
    </row>
    <row r="334" spans="1:21" x14ac:dyDescent="0.25">
      <c r="A334" s="33">
        <v>333</v>
      </c>
      <c r="B334" s="24">
        <v>44204</v>
      </c>
      <c r="C334" t="s">
        <v>39</v>
      </c>
      <c r="D334" t="s">
        <v>41</v>
      </c>
      <c r="E334">
        <v>2000708380</v>
      </c>
      <c r="F334">
        <v>540</v>
      </c>
      <c r="G334">
        <v>270</v>
      </c>
      <c r="H334">
        <v>0</v>
      </c>
      <c r="I334" t="s">
        <v>184</v>
      </c>
      <c r="J334" t="s">
        <v>203</v>
      </c>
      <c r="K334" t="s">
        <v>768</v>
      </c>
      <c r="O334">
        <v>0</v>
      </c>
      <c r="U334" t="s">
        <v>81</v>
      </c>
    </row>
    <row r="335" spans="1:21" x14ac:dyDescent="0.25">
      <c r="A335" s="33">
        <v>334</v>
      </c>
      <c r="B335" s="24">
        <v>44204</v>
      </c>
      <c r="C335" t="s">
        <v>39</v>
      </c>
      <c r="D335" t="s">
        <v>41</v>
      </c>
      <c r="E335">
        <v>2000708053</v>
      </c>
      <c r="F335">
        <v>390</v>
      </c>
      <c r="G335">
        <v>210</v>
      </c>
      <c r="H335">
        <v>0</v>
      </c>
      <c r="I335" t="s">
        <v>184</v>
      </c>
      <c r="J335" t="s">
        <v>203</v>
      </c>
      <c r="K335" t="s">
        <v>768</v>
      </c>
      <c r="O335">
        <v>0</v>
      </c>
      <c r="U335" t="s">
        <v>81</v>
      </c>
    </row>
    <row r="336" spans="1:21" x14ac:dyDescent="0.25">
      <c r="A336" s="33">
        <v>335</v>
      </c>
      <c r="B336" s="24">
        <v>44204</v>
      </c>
      <c r="C336" t="s">
        <v>39</v>
      </c>
      <c r="D336" t="s">
        <v>41</v>
      </c>
      <c r="E336">
        <v>2000702815</v>
      </c>
      <c r="F336">
        <v>630</v>
      </c>
      <c r="G336">
        <v>2</v>
      </c>
      <c r="H336">
        <v>0</v>
      </c>
      <c r="I336" t="s">
        <v>184</v>
      </c>
      <c r="J336" t="s">
        <v>698</v>
      </c>
      <c r="K336" t="s">
        <v>700</v>
      </c>
      <c r="O336">
        <v>0</v>
      </c>
      <c r="U336" t="s">
        <v>81</v>
      </c>
    </row>
    <row r="337" spans="1:21" x14ac:dyDescent="0.25">
      <c r="A337" s="33">
        <v>336</v>
      </c>
      <c r="B337" s="24">
        <v>44204</v>
      </c>
      <c r="C337" t="s">
        <v>39</v>
      </c>
      <c r="D337" t="s">
        <v>41</v>
      </c>
      <c r="E337">
        <v>2000705330</v>
      </c>
      <c r="F337">
        <v>540</v>
      </c>
      <c r="G337">
        <v>60</v>
      </c>
      <c r="H337">
        <v>0</v>
      </c>
      <c r="I337" t="s">
        <v>184</v>
      </c>
      <c r="J337" t="s">
        <v>698</v>
      </c>
      <c r="K337" t="s">
        <v>700</v>
      </c>
      <c r="O337">
        <v>0</v>
      </c>
      <c r="U337" t="s">
        <v>81</v>
      </c>
    </row>
    <row r="338" spans="1:21" x14ac:dyDescent="0.25">
      <c r="A338" s="33">
        <v>337</v>
      </c>
      <c r="B338" s="24">
        <v>44204</v>
      </c>
      <c r="C338" t="s">
        <v>39</v>
      </c>
      <c r="D338" t="s">
        <v>41</v>
      </c>
      <c r="E338">
        <v>2000707778</v>
      </c>
      <c r="F338">
        <v>680</v>
      </c>
      <c r="G338">
        <v>90</v>
      </c>
      <c r="H338">
        <v>0</v>
      </c>
      <c r="I338" t="s">
        <v>198</v>
      </c>
      <c r="J338" t="s">
        <v>174</v>
      </c>
      <c r="K338" t="s">
        <v>776</v>
      </c>
      <c r="O338">
        <v>0</v>
      </c>
      <c r="U338" t="s">
        <v>81</v>
      </c>
    </row>
    <row r="339" spans="1:21" x14ac:dyDescent="0.25">
      <c r="A339" s="33">
        <v>338</v>
      </c>
      <c r="B339" s="24">
        <v>44204</v>
      </c>
      <c r="C339" t="s">
        <v>39</v>
      </c>
      <c r="D339" t="s">
        <v>41</v>
      </c>
      <c r="E339">
        <v>2000706645</v>
      </c>
      <c r="F339">
        <v>1032</v>
      </c>
      <c r="G339">
        <v>320</v>
      </c>
      <c r="H339">
        <v>0</v>
      </c>
      <c r="I339" t="s">
        <v>198</v>
      </c>
      <c r="J339" t="s">
        <v>174</v>
      </c>
      <c r="K339" t="s">
        <v>717</v>
      </c>
      <c r="O339">
        <v>0</v>
      </c>
      <c r="U339" t="s">
        <v>81</v>
      </c>
    </row>
    <row r="340" spans="1:21" x14ac:dyDescent="0.25">
      <c r="A340" s="33">
        <v>339</v>
      </c>
      <c r="B340" s="24">
        <v>44204</v>
      </c>
      <c r="C340" t="s">
        <v>39</v>
      </c>
      <c r="D340" t="s">
        <v>41</v>
      </c>
      <c r="E340">
        <v>2000705735</v>
      </c>
      <c r="F340">
        <v>2160</v>
      </c>
      <c r="G340">
        <v>60</v>
      </c>
      <c r="H340">
        <v>0</v>
      </c>
      <c r="I340" t="s">
        <v>198</v>
      </c>
      <c r="J340" t="s">
        <v>203</v>
      </c>
      <c r="K340" t="s">
        <v>640</v>
      </c>
      <c r="O340">
        <v>0</v>
      </c>
      <c r="U340" t="s">
        <v>81</v>
      </c>
    </row>
    <row r="341" spans="1:21" x14ac:dyDescent="0.25">
      <c r="A341" s="33">
        <v>340</v>
      </c>
      <c r="B341" s="24">
        <v>44204</v>
      </c>
      <c r="C341" t="s">
        <v>39</v>
      </c>
      <c r="D341" t="s">
        <v>41</v>
      </c>
      <c r="E341">
        <v>2000708053</v>
      </c>
      <c r="F341">
        <v>390</v>
      </c>
      <c r="G341">
        <v>177</v>
      </c>
      <c r="H341">
        <v>0</v>
      </c>
      <c r="I341" t="s">
        <v>198</v>
      </c>
      <c r="J341" t="s">
        <v>203</v>
      </c>
      <c r="K341" t="s">
        <v>768</v>
      </c>
      <c r="O341">
        <v>0</v>
      </c>
      <c r="U341" t="s">
        <v>81</v>
      </c>
    </row>
    <row r="342" spans="1:21" x14ac:dyDescent="0.25">
      <c r="A342" s="33">
        <v>341</v>
      </c>
      <c r="B342" s="24">
        <v>44204</v>
      </c>
      <c r="C342" t="s">
        <v>39</v>
      </c>
      <c r="D342" t="s">
        <v>41</v>
      </c>
      <c r="E342">
        <v>2000707946</v>
      </c>
      <c r="F342">
        <v>520</v>
      </c>
      <c r="G342">
        <v>80</v>
      </c>
      <c r="H342">
        <v>0</v>
      </c>
      <c r="I342" t="s">
        <v>185</v>
      </c>
      <c r="J342" t="s">
        <v>645</v>
      </c>
      <c r="K342" t="s">
        <v>753</v>
      </c>
      <c r="O342">
        <v>0</v>
      </c>
      <c r="U342" t="s">
        <v>81</v>
      </c>
    </row>
    <row r="343" spans="1:21" x14ac:dyDescent="0.25">
      <c r="A343" s="33">
        <v>342</v>
      </c>
      <c r="B343" s="24">
        <v>44204</v>
      </c>
      <c r="C343" t="s">
        <v>39</v>
      </c>
      <c r="D343" t="s">
        <v>41</v>
      </c>
      <c r="E343">
        <v>2000707408</v>
      </c>
      <c r="F343">
        <v>880</v>
      </c>
      <c r="G343">
        <v>80</v>
      </c>
      <c r="H343">
        <v>0</v>
      </c>
      <c r="I343" t="s">
        <v>185</v>
      </c>
      <c r="J343" t="s">
        <v>169</v>
      </c>
      <c r="K343" t="s">
        <v>663</v>
      </c>
      <c r="O343">
        <v>0</v>
      </c>
      <c r="U343" t="s">
        <v>81</v>
      </c>
    </row>
    <row r="344" spans="1:21" x14ac:dyDescent="0.25">
      <c r="A344" s="33">
        <v>343</v>
      </c>
      <c r="B344" s="24">
        <v>44204</v>
      </c>
      <c r="C344" t="s">
        <v>39</v>
      </c>
      <c r="D344" t="s">
        <v>41</v>
      </c>
      <c r="E344">
        <v>2000707936</v>
      </c>
      <c r="F344">
        <v>1600</v>
      </c>
      <c r="G344">
        <v>140</v>
      </c>
      <c r="H344">
        <v>0</v>
      </c>
      <c r="I344" t="s">
        <v>185</v>
      </c>
      <c r="J344" t="s">
        <v>645</v>
      </c>
      <c r="K344" t="s">
        <v>721</v>
      </c>
      <c r="O344">
        <v>0</v>
      </c>
      <c r="U344" t="s">
        <v>81</v>
      </c>
    </row>
    <row r="345" spans="1:21" x14ac:dyDescent="0.25">
      <c r="A345" s="33">
        <v>344</v>
      </c>
      <c r="B345" s="24">
        <v>44204</v>
      </c>
      <c r="C345" t="s">
        <v>39</v>
      </c>
      <c r="D345" t="s">
        <v>41</v>
      </c>
      <c r="E345">
        <v>2000708016</v>
      </c>
      <c r="F345">
        <v>2096</v>
      </c>
      <c r="G345">
        <v>120</v>
      </c>
      <c r="H345">
        <v>0</v>
      </c>
      <c r="I345" t="s">
        <v>185</v>
      </c>
      <c r="J345" t="s">
        <v>655</v>
      </c>
      <c r="K345" t="s">
        <v>656</v>
      </c>
      <c r="O345">
        <v>0</v>
      </c>
      <c r="U345" t="s">
        <v>81</v>
      </c>
    </row>
    <row r="346" spans="1:21" x14ac:dyDescent="0.25">
      <c r="A346" s="33">
        <v>345</v>
      </c>
      <c r="B346" s="24">
        <v>44204</v>
      </c>
      <c r="C346" t="s">
        <v>39</v>
      </c>
      <c r="D346" t="s">
        <v>41</v>
      </c>
      <c r="E346">
        <v>2000707947</v>
      </c>
      <c r="F346">
        <v>500</v>
      </c>
      <c r="G346">
        <v>80</v>
      </c>
      <c r="H346">
        <v>0</v>
      </c>
      <c r="I346" t="s">
        <v>185</v>
      </c>
      <c r="J346" t="s">
        <v>645</v>
      </c>
      <c r="K346" t="s">
        <v>646</v>
      </c>
      <c r="O346">
        <v>0</v>
      </c>
      <c r="U346" t="s">
        <v>81</v>
      </c>
    </row>
    <row r="347" spans="1:21" x14ac:dyDescent="0.25">
      <c r="A347" s="33">
        <v>346</v>
      </c>
      <c r="B347" s="24">
        <v>44204</v>
      </c>
      <c r="C347" t="s">
        <v>39</v>
      </c>
      <c r="D347" t="s">
        <v>41</v>
      </c>
      <c r="E347">
        <v>2000706632</v>
      </c>
      <c r="F347">
        <v>2610</v>
      </c>
      <c r="G347">
        <v>25</v>
      </c>
      <c r="H347">
        <v>0</v>
      </c>
      <c r="I347" t="s">
        <v>696</v>
      </c>
      <c r="J347" t="s">
        <v>170</v>
      </c>
      <c r="K347" t="s">
        <v>171</v>
      </c>
      <c r="O347">
        <v>0</v>
      </c>
      <c r="U347" t="s">
        <v>81</v>
      </c>
    </row>
    <row r="348" spans="1:21" x14ac:dyDescent="0.25">
      <c r="A348" s="33">
        <v>347</v>
      </c>
      <c r="B348" s="24">
        <v>44204</v>
      </c>
      <c r="C348" t="s">
        <v>39</v>
      </c>
      <c r="D348" t="s">
        <v>41</v>
      </c>
      <c r="E348">
        <v>2000706633</v>
      </c>
      <c r="F348">
        <v>1800</v>
      </c>
      <c r="G348">
        <v>450</v>
      </c>
      <c r="H348">
        <v>0</v>
      </c>
      <c r="I348" t="s">
        <v>696</v>
      </c>
      <c r="J348" t="s">
        <v>174</v>
      </c>
      <c r="K348" t="s">
        <v>774</v>
      </c>
      <c r="O348">
        <v>0</v>
      </c>
      <c r="U348" t="s">
        <v>81</v>
      </c>
    </row>
    <row r="349" spans="1:21" x14ac:dyDescent="0.25">
      <c r="A349" s="33">
        <v>348</v>
      </c>
      <c r="B349" s="24">
        <v>44204</v>
      </c>
      <c r="C349" t="s">
        <v>39</v>
      </c>
      <c r="D349" t="s">
        <v>41</v>
      </c>
      <c r="E349">
        <v>2000706633</v>
      </c>
      <c r="F349">
        <v>1800</v>
      </c>
      <c r="G349">
        <v>450</v>
      </c>
      <c r="H349">
        <v>0</v>
      </c>
      <c r="I349" t="s">
        <v>693</v>
      </c>
      <c r="J349" t="s">
        <v>174</v>
      </c>
      <c r="K349" t="s">
        <v>774</v>
      </c>
      <c r="O349">
        <v>0</v>
      </c>
      <c r="U349" t="s">
        <v>81</v>
      </c>
    </row>
    <row r="350" spans="1:21" x14ac:dyDescent="0.25">
      <c r="A350" s="33">
        <v>349</v>
      </c>
      <c r="B350" s="24">
        <v>44204</v>
      </c>
      <c r="C350" t="s">
        <v>39</v>
      </c>
      <c r="D350" t="s">
        <v>41</v>
      </c>
      <c r="E350">
        <v>2000706583</v>
      </c>
      <c r="F350">
        <v>3050</v>
      </c>
      <c r="G350">
        <v>41</v>
      </c>
      <c r="H350">
        <v>0</v>
      </c>
      <c r="I350" t="s">
        <v>693</v>
      </c>
      <c r="J350" t="s">
        <v>170</v>
      </c>
      <c r="K350" t="s">
        <v>697</v>
      </c>
      <c r="O350">
        <v>0</v>
      </c>
      <c r="U350" t="s">
        <v>81</v>
      </c>
    </row>
    <row r="351" spans="1:21" x14ac:dyDescent="0.25">
      <c r="A351" s="33">
        <v>350</v>
      </c>
      <c r="B351" s="24">
        <v>44204</v>
      </c>
      <c r="C351" t="s">
        <v>39</v>
      </c>
      <c r="D351" t="s">
        <v>41</v>
      </c>
      <c r="E351">
        <v>2000706635</v>
      </c>
      <c r="F351">
        <v>1080</v>
      </c>
      <c r="G351">
        <v>190</v>
      </c>
      <c r="H351">
        <v>0</v>
      </c>
      <c r="I351" t="s">
        <v>693</v>
      </c>
      <c r="J351" t="s">
        <v>170</v>
      </c>
      <c r="K351" t="s">
        <v>171</v>
      </c>
      <c r="O351">
        <v>0</v>
      </c>
      <c r="U351" t="s">
        <v>81</v>
      </c>
    </row>
    <row r="352" spans="1:21" x14ac:dyDescent="0.25">
      <c r="A352" s="33">
        <v>351</v>
      </c>
      <c r="B352" s="24">
        <v>44204</v>
      </c>
      <c r="C352" t="s">
        <v>39</v>
      </c>
      <c r="D352" t="s">
        <v>51</v>
      </c>
      <c r="E352">
        <v>2000706936</v>
      </c>
      <c r="F352">
        <v>600</v>
      </c>
      <c r="G352">
        <v>160</v>
      </c>
      <c r="H352">
        <v>0</v>
      </c>
      <c r="I352" t="s">
        <v>706</v>
      </c>
      <c r="J352" t="s">
        <v>669</v>
      </c>
      <c r="K352" t="s">
        <v>712</v>
      </c>
      <c r="O352">
        <v>0</v>
      </c>
      <c r="U352" t="s">
        <v>81</v>
      </c>
    </row>
    <row r="353" spans="1:21" x14ac:dyDescent="0.25">
      <c r="A353" s="33">
        <v>352</v>
      </c>
      <c r="B353" s="24">
        <v>44204</v>
      </c>
      <c r="C353" t="s">
        <v>39</v>
      </c>
      <c r="D353" t="s">
        <v>51</v>
      </c>
      <c r="E353">
        <v>2000706940</v>
      </c>
      <c r="F353">
        <v>270</v>
      </c>
      <c r="G353">
        <v>90</v>
      </c>
      <c r="H353">
        <v>0</v>
      </c>
      <c r="I353" t="s">
        <v>706</v>
      </c>
      <c r="J353" t="s">
        <v>770</v>
      </c>
      <c r="K353" t="s">
        <v>771</v>
      </c>
      <c r="O353">
        <v>0</v>
      </c>
      <c r="U353" t="s">
        <v>81</v>
      </c>
    </row>
    <row r="354" spans="1:21" x14ac:dyDescent="0.25">
      <c r="A354" s="33">
        <v>353</v>
      </c>
      <c r="B354" s="24">
        <v>44204</v>
      </c>
      <c r="C354" t="s">
        <v>39</v>
      </c>
      <c r="D354" t="s">
        <v>51</v>
      </c>
      <c r="E354">
        <v>2000706941</v>
      </c>
      <c r="F354">
        <v>360</v>
      </c>
      <c r="G354">
        <v>90</v>
      </c>
      <c r="H354">
        <v>0</v>
      </c>
      <c r="I354" t="s">
        <v>706</v>
      </c>
      <c r="J354" t="s">
        <v>770</v>
      </c>
      <c r="K354" t="s">
        <v>777</v>
      </c>
      <c r="O354">
        <v>0</v>
      </c>
      <c r="U354" t="s">
        <v>81</v>
      </c>
    </row>
    <row r="355" spans="1:21" x14ac:dyDescent="0.25">
      <c r="A355" s="33">
        <v>354</v>
      </c>
      <c r="B355" s="24">
        <v>44204</v>
      </c>
      <c r="C355" t="s">
        <v>39</v>
      </c>
      <c r="D355" t="s">
        <v>51</v>
      </c>
      <c r="E355">
        <v>2000705980</v>
      </c>
      <c r="F355">
        <v>600</v>
      </c>
      <c r="G355">
        <v>1</v>
      </c>
      <c r="H355">
        <v>0</v>
      </c>
      <c r="I355" t="s">
        <v>706</v>
      </c>
      <c r="J355" t="s">
        <v>669</v>
      </c>
      <c r="K355" t="s">
        <v>707</v>
      </c>
      <c r="O355">
        <v>0</v>
      </c>
      <c r="U355" t="s">
        <v>81</v>
      </c>
    </row>
    <row r="356" spans="1:21" x14ac:dyDescent="0.25">
      <c r="A356" s="33">
        <v>355</v>
      </c>
      <c r="B356" s="24">
        <v>44204</v>
      </c>
      <c r="C356" t="s">
        <v>39</v>
      </c>
      <c r="D356" t="s">
        <v>51</v>
      </c>
      <c r="E356">
        <v>2000705157</v>
      </c>
      <c r="F356">
        <v>223</v>
      </c>
      <c r="G356">
        <v>1</v>
      </c>
      <c r="H356">
        <v>0</v>
      </c>
      <c r="I356" t="s">
        <v>706</v>
      </c>
      <c r="J356" t="s">
        <v>669</v>
      </c>
      <c r="K356" t="s">
        <v>755</v>
      </c>
      <c r="O356">
        <v>0</v>
      </c>
      <c r="U356" t="s">
        <v>81</v>
      </c>
    </row>
    <row r="357" spans="1:21" x14ac:dyDescent="0.25">
      <c r="A357" s="33">
        <v>356</v>
      </c>
      <c r="B357" s="24">
        <v>44204</v>
      </c>
      <c r="C357" t="s">
        <v>39</v>
      </c>
      <c r="D357" t="s">
        <v>51</v>
      </c>
      <c r="E357">
        <v>2000706611</v>
      </c>
      <c r="F357">
        <v>92</v>
      </c>
      <c r="G357">
        <v>40</v>
      </c>
      <c r="H357">
        <v>0</v>
      </c>
      <c r="I357" t="s">
        <v>706</v>
      </c>
      <c r="J357" t="s">
        <v>669</v>
      </c>
      <c r="K357" t="s">
        <v>778</v>
      </c>
      <c r="O357">
        <v>0</v>
      </c>
      <c r="U357" t="s">
        <v>81</v>
      </c>
    </row>
    <row r="358" spans="1:21" x14ac:dyDescent="0.25">
      <c r="A358" s="33">
        <v>357</v>
      </c>
      <c r="B358" s="24">
        <v>44204</v>
      </c>
      <c r="C358" t="s">
        <v>39</v>
      </c>
      <c r="D358" t="s">
        <v>51</v>
      </c>
      <c r="E358">
        <v>2000706757</v>
      </c>
      <c r="F358">
        <v>600</v>
      </c>
      <c r="G358">
        <v>130</v>
      </c>
      <c r="H358">
        <v>0</v>
      </c>
      <c r="I358" t="s">
        <v>706</v>
      </c>
      <c r="J358" t="s">
        <v>673</v>
      </c>
      <c r="K358" t="s">
        <v>672</v>
      </c>
      <c r="O358">
        <v>0</v>
      </c>
      <c r="U358" t="s">
        <v>81</v>
      </c>
    </row>
    <row r="359" spans="1:21" x14ac:dyDescent="0.25">
      <c r="A359" s="33">
        <v>358</v>
      </c>
      <c r="B359" s="24">
        <v>44204</v>
      </c>
      <c r="C359" t="s">
        <v>39</v>
      </c>
      <c r="D359" t="s">
        <v>51</v>
      </c>
      <c r="E359">
        <v>2000707400</v>
      </c>
      <c r="F359">
        <v>300</v>
      </c>
      <c r="G359">
        <v>100</v>
      </c>
      <c r="H359">
        <v>0</v>
      </c>
      <c r="I359" t="s">
        <v>706</v>
      </c>
      <c r="J359" t="s">
        <v>673</v>
      </c>
      <c r="K359" t="s">
        <v>742</v>
      </c>
      <c r="O359">
        <v>0</v>
      </c>
      <c r="U359" t="s">
        <v>81</v>
      </c>
    </row>
    <row r="360" spans="1:21" x14ac:dyDescent="0.25">
      <c r="A360" s="33">
        <v>359</v>
      </c>
      <c r="B360" s="24">
        <v>44204</v>
      </c>
      <c r="C360" t="s">
        <v>39</v>
      </c>
      <c r="D360" t="s">
        <v>51</v>
      </c>
      <c r="E360">
        <v>2000707119</v>
      </c>
      <c r="F360">
        <v>410</v>
      </c>
      <c r="G360">
        <v>240</v>
      </c>
      <c r="H360">
        <v>0</v>
      </c>
      <c r="I360" t="s">
        <v>706</v>
      </c>
      <c r="J360" t="s">
        <v>779</v>
      </c>
      <c r="K360" t="s">
        <v>780</v>
      </c>
      <c r="O360">
        <v>0</v>
      </c>
      <c r="U360" t="s">
        <v>81</v>
      </c>
    </row>
    <row r="361" spans="1:21" x14ac:dyDescent="0.25">
      <c r="A361" s="33">
        <v>360</v>
      </c>
      <c r="B361" s="24">
        <v>44204</v>
      </c>
      <c r="C361" t="s">
        <v>39</v>
      </c>
      <c r="D361" t="s">
        <v>51</v>
      </c>
      <c r="E361">
        <v>2000706938</v>
      </c>
      <c r="F361">
        <v>736</v>
      </c>
      <c r="G361">
        <v>140</v>
      </c>
      <c r="H361">
        <v>0</v>
      </c>
      <c r="I361" t="s">
        <v>706</v>
      </c>
      <c r="J361" t="s">
        <v>709</v>
      </c>
      <c r="K361" t="s">
        <v>743</v>
      </c>
      <c r="O361">
        <v>0</v>
      </c>
      <c r="U361" t="s">
        <v>81</v>
      </c>
    </row>
    <row r="362" spans="1:21" x14ac:dyDescent="0.25">
      <c r="A362" s="33">
        <v>361</v>
      </c>
      <c r="B362" s="24">
        <v>44204</v>
      </c>
      <c r="C362" t="s">
        <v>39</v>
      </c>
      <c r="D362" t="s">
        <v>51</v>
      </c>
      <c r="E362">
        <v>2000706605</v>
      </c>
      <c r="F362">
        <v>445</v>
      </c>
      <c r="G362">
        <v>75</v>
      </c>
      <c r="H362">
        <v>0</v>
      </c>
      <c r="I362" t="s">
        <v>706</v>
      </c>
      <c r="J362" t="s">
        <v>669</v>
      </c>
      <c r="K362" t="s">
        <v>670</v>
      </c>
      <c r="O362">
        <v>0</v>
      </c>
      <c r="U362" t="s">
        <v>81</v>
      </c>
    </row>
    <row r="363" spans="1:21" x14ac:dyDescent="0.25">
      <c r="A363" s="33">
        <v>362</v>
      </c>
      <c r="B363" s="24">
        <v>44204</v>
      </c>
      <c r="C363" t="s">
        <v>39</v>
      </c>
      <c r="D363" t="s">
        <v>51</v>
      </c>
      <c r="E363">
        <v>2000706937</v>
      </c>
      <c r="F363">
        <v>152</v>
      </c>
      <c r="G363">
        <v>30</v>
      </c>
      <c r="H363">
        <v>0</v>
      </c>
      <c r="I363" t="s">
        <v>706</v>
      </c>
      <c r="J363" t="s">
        <v>781</v>
      </c>
      <c r="K363" t="s">
        <v>782</v>
      </c>
      <c r="O363">
        <v>0</v>
      </c>
      <c r="U363" t="s">
        <v>81</v>
      </c>
    </row>
    <row r="364" spans="1:21" x14ac:dyDescent="0.25">
      <c r="A364" s="33">
        <v>363</v>
      </c>
      <c r="B364" s="24">
        <v>44204</v>
      </c>
      <c r="C364" t="s">
        <v>181</v>
      </c>
      <c r="D364" t="s">
        <v>41</v>
      </c>
      <c r="E364">
        <v>2000707333</v>
      </c>
      <c r="F364">
        <v>1850</v>
      </c>
      <c r="G364">
        <v>120</v>
      </c>
      <c r="H364">
        <v>0</v>
      </c>
      <c r="I364" t="s">
        <v>180</v>
      </c>
      <c r="J364" t="s">
        <v>174</v>
      </c>
      <c r="K364" t="s">
        <v>177</v>
      </c>
      <c r="O364">
        <v>0</v>
      </c>
      <c r="U364" t="s">
        <v>81</v>
      </c>
    </row>
    <row r="365" spans="1:21" x14ac:dyDescent="0.25">
      <c r="A365" s="33">
        <v>364</v>
      </c>
      <c r="B365" s="24">
        <v>44204</v>
      </c>
      <c r="C365" t="s">
        <v>181</v>
      </c>
      <c r="D365" t="s">
        <v>41</v>
      </c>
      <c r="E365">
        <v>2000707792</v>
      </c>
      <c r="F365">
        <v>2000</v>
      </c>
      <c r="G365">
        <v>160</v>
      </c>
      <c r="H365">
        <v>0</v>
      </c>
      <c r="I365" t="s">
        <v>180</v>
      </c>
      <c r="J365" t="s">
        <v>783</v>
      </c>
      <c r="K365" t="s">
        <v>650</v>
      </c>
      <c r="O365">
        <v>0</v>
      </c>
      <c r="U365" t="s">
        <v>81</v>
      </c>
    </row>
    <row r="366" spans="1:21" x14ac:dyDescent="0.25">
      <c r="A366" s="33">
        <v>365</v>
      </c>
      <c r="B366" s="24">
        <v>44204</v>
      </c>
      <c r="C366" t="s">
        <v>181</v>
      </c>
      <c r="D366" t="s">
        <v>41</v>
      </c>
      <c r="E366">
        <v>2000707786</v>
      </c>
      <c r="F366">
        <v>4230</v>
      </c>
      <c r="G366">
        <v>240</v>
      </c>
      <c r="H366">
        <v>0</v>
      </c>
      <c r="I366" t="s">
        <v>180</v>
      </c>
      <c r="J366" t="s">
        <v>169</v>
      </c>
      <c r="K366" t="s">
        <v>652</v>
      </c>
      <c r="O366">
        <v>0</v>
      </c>
      <c r="U366" t="s">
        <v>81</v>
      </c>
    </row>
    <row r="367" spans="1:21" x14ac:dyDescent="0.25">
      <c r="A367" s="33">
        <v>366</v>
      </c>
      <c r="B367" s="24">
        <v>44204</v>
      </c>
      <c r="C367" t="s">
        <v>181</v>
      </c>
      <c r="D367" t="s">
        <v>41</v>
      </c>
      <c r="E367">
        <v>2000708023</v>
      </c>
      <c r="F367">
        <v>7860</v>
      </c>
      <c r="G367">
        <v>300</v>
      </c>
      <c r="H367">
        <v>0</v>
      </c>
      <c r="I367" t="s">
        <v>201</v>
      </c>
      <c r="J367" t="s">
        <v>200</v>
      </c>
      <c r="K367" t="s">
        <v>737</v>
      </c>
      <c r="O367">
        <v>0</v>
      </c>
      <c r="U367" t="s">
        <v>81</v>
      </c>
    </row>
    <row r="368" spans="1:21" ht="30" x14ac:dyDescent="0.25">
      <c r="A368" s="33">
        <v>367</v>
      </c>
      <c r="B368" s="24">
        <v>44204</v>
      </c>
      <c r="C368" t="s">
        <v>181</v>
      </c>
      <c r="D368" t="s">
        <v>41</v>
      </c>
      <c r="E368">
        <v>2000706593</v>
      </c>
      <c r="F368">
        <v>120</v>
      </c>
      <c r="G368">
        <v>40</v>
      </c>
      <c r="H368">
        <v>0</v>
      </c>
      <c r="I368" t="s">
        <v>201</v>
      </c>
      <c r="J368" t="s">
        <v>216</v>
      </c>
      <c r="K368" t="s">
        <v>784</v>
      </c>
      <c r="O368">
        <v>0</v>
      </c>
      <c r="T368" s="62" t="s">
        <v>723</v>
      </c>
      <c r="U368" t="s">
        <v>81</v>
      </c>
    </row>
    <row r="369" spans="1:21" x14ac:dyDescent="0.25">
      <c r="A369" s="33">
        <v>368</v>
      </c>
      <c r="B369" s="24">
        <v>44204</v>
      </c>
      <c r="C369" t="s">
        <v>181</v>
      </c>
      <c r="D369" t="s">
        <v>41</v>
      </c>
      <c r="E369">
        <v>2000707933</v>
      </c>
      <c r="F369">
        <v>1600</v>
      </c>
      <c r="G369">
        <v>200</v>
      </c>
      <c r="H369">
        <v>0</v>
      </c>
      <c r="I369" t="s">
        <v>201</v>
      </c>
      <c r="J369" t="s">
        <v>645</v>
      </c>
      <c r="K369" t="s">
        <v>756</v>
      </c>
      <c r="O369">
        <v>0</v>
      </c>
      <c r="U369" t="s">
        <v>81</v>
      </c>
    </row>
    <row r="370" spans="1:21" x14ac:dyDescent="0.25">
      <c r="A370" s="33">
        <v>369</v>
      </c>
      <c r="B370" s="24">
        <v>44204</v>
      </c>
      <c r="C370" t="s">
        <v>181</v>
      </c>
      <c r="D370" t="s">
        <v>41</v>
      </c>
      <c r="E370">
        <v>2000707934</v>
      </c>
      <c r="F370">
        <v>1600</v>
      </c>
      <c r="G370">
        <v>200</v>
      </c>
      <c r="H370">
        <v>0</v>
      </c>
      <c r="I370" t="s">
        <v>201</v>
      </c>
      <c r="J370" t="s">
        <v>645</v>
      </c>
      <c r="K370" t="s">
        <v>739</v>
      </c>
      <c r="O370">
        <v>0</v>
      </c>
      <c r="U370" t="s">
        <v>81</v>
      </c>
    </row>
    <row r="371" spans="1:21" x14ac:dyDescent="0.25">
      <c r="A371" s="33">
        <v>370</v>
      </c>
      <c r="B371" s="24">
        <v>44204</v>
      </c>
      <c r="C371" t="s">
        <v>181</v>
      </c>
      <c r="D371" t="s">
        <v>41</v>
      </c>
      <c r="E371">
        <v>2000707791</v>
      </c>
      <c r="F371">
        <v>2000</v>
      </c>
      <c r="G371">
        <v>200</v>
      </c>
      <c r="H371">
        <v>0</v>
      </c>
      <c r="I371" t="s">
        <v>201</v>
      </c>
      <c r="J371" t="s">
        <v>193</v>
      </c>
      <c r="K371" t="s">
        <v>176</v>
      </c>
      <c r="O371">
        <v>0</v>
      </c>
      <c r="U371" t="s">
        <v>81</v>
      </c>
    </row>
    <row r="372" spans="1:21" x14ac:dyDescent="0.25">
      <c r="A372" s="33">
        <v>371</v>
      </c>
      <c r="B372" s="24">
        <v>44204</v>
      </c>
      <c r="C372" t="s">
        <v>181</v>
      </c>
      <c r="D372" t="s">
        <v>41</v>
      </c>
      <c r="E372">
        <v>2000707790</v>
      </c>
      <c r="F372">
        <v>2000</v>
      </c>
      <c r="G372">
        <v>200</v>
      </c>
      <c r="H372">
        <v>0</v>
      </c>
      <c r="I372" t="s">
        <v>201</v>
      </c>
      <c r="J372" t="s">
        <v>193</v>
      </c>
      <c r="K372" t="s">
        <v>176</v>
      </c>
      <c r="O372">
        <v>0</v>
      </c>
      <c r="U372" t="s">
        <v>81</v>
      </c>
    </row>
    <row r="373" spans="1:21" x14ac:dyDescent="0.25">
      <c r="A373" s="33">
        <v>372</v>
      </c>
      <c r="B373" s="24">
        <v>44204</v>
      </c>
      <c r="C373" t="s">
        <v>181</v>
      </c>
      <c r="D373" t="s">
        <v>41</v>
      </c>
      <c r="E373">
        <v>2000707419</v>
      </c>
      <c r="F373">
        <v>4600</v>
      </c>
      <c r="G373">
        <v>200</v>
      </c>
      <c r="H373">
        <v>0</v>
      </c>
      <c r="I373" t="s">
        <v>201</v>
      </c>
      <c r="J373" t="s">
        <v>200</v>
      </c>
      <c r="K373" t="s">
        <v>653</v>
      </c>
      <c r="O373">
        <v>0</v>
      </c>
      <c r="U373" t="s">
        <v>81</v>
      </c>
    </row>
    <row r="374" spans="1:21" x14ac:dyDescent="0.25">
      <c r="A374" s="33">
        <v>373</v>
      </c>
      <c r="B374" s="24">
        <v>44204</v>
      </c>
      <c r="C374" t="s">
        <v>181</v>
      </c>
      <c r="D374" t="s">
        <v>41</v>
      </c>
      <c r="E374">
        <v>2000707964</v>
      </c>
      <c r="F374">
        <v>2000</v>
      </c>
      <c r="G374">
        <v>160</v>
      </c>
      <c r="H374">
        <v>0</v>
      </c>
      <c r="I374" t="s">
        <v>201</v>
      </c>
      <c r="J374" t="s">
        <v>193</v>
      </c>
      <c r="K374" t="s">
        <v>686</v>
      </c>
      <c r="O374">
        <v>0</v>
      </c>
      <c r="U374" t="s">
        <v>81</v>
      </c>
    </row>
    <row r="375" spans="1:21" x14ac:dyDescent="0.25">
      <c r="A375" s="33">
        <v>374</v>
      </c>
      <c r="B375" s="24">
        <v>44204</v>
      </c>
      <c r="C375" t="s">
        <v>181</v>
      </c>
      <c r="D375" t="s">
        <v>41</v>
      </c>
      <c r="E375">
        <v>2000707783</v>
      </c>
      <c r="F375">
        <v>3800</v>
      </c>
      <c r="G375">
        <v>200</v>
      </c>
      <c r="H375">
        <v>0</v>
      </c>
      <c r="I375" t="s">
        <v>201</v>
      </c>
      <c r="J375" t="s">
        <v>172</v>
      </c>
      <c r="K375" t="s">
        <v>725</v>
      </c>
      <c r="O375">
        <v>0</v>
      </c>
      <c r="U375" t="s">
        <v>81</v>
      </c>
    </row>
    <row r="376" spans="1:21" ht="30" x14ac:dyDescent="0.25">
      <c r="A376" s="33">
        <v>375</v>
      </c>
      <c r="B376" s="24">
        <v>44204</v>
      </c>
      <c r="C376" t="s">
        <v>181</v>
      </c>
      <c r="D376" t="s">
        <v>41</v>
      </c>
      <c r="E376">
        <v>2000707222</v>
      </c>
      <c r="F376">
        <v>1850</v>
      </c>
      <c r="G376">
        <v>360</v>
      </c>
      <c r="H376">
        <v>0</v>
      </c>
      <c r="I376" t="s">
        <v>666</v>
      </c>
      <c r="J376" t="s">
        <v>174</v>
      </c>
      <c r="K376" t="s">
        <v>177</v>
      </c>
      <c r="O376">
        <v>0</v>
      </c>
      <c r="T376" s="62" t="s">
        <v>723</v>
      </c>
      <c r="U376" t="s">
        <v>81</v>
      </c>
    </row>
    <row r="377" spans="1:21" x14ac:dyDescent="0.25">
      <c r="A377" s="33">
        <v>376</v>
      </c>
      <c r="B377" s="24">
        <v>44204</v>
      </c>
      <c r="C377" t="s">
        <v>181</v>
      </c>
      <c r="D377" t="s">
        <v>41</v>
      </c>
      <c r="E377">
        <v>2000707060</v>
      </c>
      <c r="F377">
        <v>3999</v>
      </c>
      <c r="G377">
        <v>240</v>
      </c>
      <c r="H377">
        <v>0</v>
      </c>
      <c r="I377" t="s">
        <v>666</v>
      </c>
      <c r="J377" t="s">
        <v>687</v>
      </c>
      <c r="K377" t="s">
        <v>688</v>
      </c>
      <c r="O377">
        <v>0</v>
      </c>
      <c r="U377" t="s">
        <v>81</v>
      </c>
    </row>
    <row r="378" spans="1:21" x14ac:dyDescent="0.25">
      <c r="A378" s="33">
        <v>377</v>
      </c>
      <c r="B378" s="24">
        <v>44204</v>
      </c>
      <c r="C378" t="s">
        <v>181</v>
      </c>
      <c r="D378" t="s">
        <v>41</v>
      </c>
      <c r="E378">
        <v>2000707222</v>
      </c>
      <c r="F378">
        <v>1850</v>
      </c>
      <c r="G378">
        <v>280</v>
      </c>
      <c r="H378">
        <v>0</v>
      </c>
      <c r="I378" t="s">
        <v>665</v>
      </c>
      <c r="J378" t="s">
        <v>174</v>
      </c>
      <c r="K378" t="s">
        <v>177</v>
      </c>
      <c r="O378">
        <v>0</v>
      </c>
      <c r="U378" t="s">
        <v>81</v>
      </c>
    </row>
    <row r="379" spans="1:21" x14ac:dyDescent="0.25">
      <c r="A379" s="33">
        <v>378</v>
      </c>
      <c r="B379" s="24">
        <v>44204</v>
      </c>
      <c r="C379" t="s">
        <v>181</v>
      </c>
      <c r="D379" t="s">
        <v>41</v>
      </c>
      <c r="E379">
        <v>2000706583</v>
      </c>
      <c r="F379">
        <v>3050</v>
      </c>
      <c r="G379">
        <v>82</v>
      </c>
      <c r="H379">
        <v>0</v>
      </c>
      <c r="I379" t="s">
        <v>661</v>
      </c>
      <c r="J379" t="s">
        <v>170</v>
      </c>
      <c r="K379" t="s">
        <v>697</v>
      </c>
      <c r="O379">
        <v>0</v>
      </c>
      <c r="U379" t="s">
        <v>81</v>
      </c>
    </row>
    <row r="380" spans="1:21" x14ac:dyDescent="0.25">
      <c r="A380" s="33">
        <v>379</v>
      </c>
      <c r="B380" s="24">
        <v>44204</v>
      </c>
      <c r="C380" t="s">
        <v>181</v>
      </c>
      <c r="D380" t="s">
        <v>41</v>
      </c>
      <c r="E380">
        <v>2000706633</v>
      </c>
      <c r="F380">
        <v>1800</v>
      </c>
      <c r="G380">
        <v>225</v>
      </c>
      <c r="H380">
        <v>0</v>
      </c>
      <c r="I380" t="s">
        <v>661</v>
      </c>
      <c r="J380" t="s">
        <v>174</v>
      </c>
      <c r="K380" t="s">
        <v>774</v>
      </c>
      <c r="O380">
        <v>0</v>
      </c>
      <c r="U380" t="s">
        <v>81</v>
      </c>
    </row>
    <row r="381" spans="1:21" x14ac:dyDescent="0.25">
      <c r="A381" s="33">
        <v>380</v>
      </c>
      <c r="B381" s="24">
        <v>44204</v>
      </c>
      <c r="C381" t="s">
        <v>181</v>
      </c>
      <c r="D381" t="s">
        <v>41</v>
      </c>
      <c r="E381">
        <v>2000706264</v>
      </c>
      <c r="F381">
        <v>544</v>
      </c>
      <c r="G381">
        <v>225</v>
      </c>
      <c r="H381">
        <v>0</v>
      </c>
      <c r="I381" t="s">
        <v>661</v>
      </c>
      <c r="J381" t="s">
        <v>174</v>
      </c>
      <c r="K381" t="s">
        <v>205</v>
      </c>
      <c r="O381">
        <v>0</v>
      </c>
      <c r="U381" t="s">
        <v>81</v>
      </c>
    </row>
    <row r="382" spans="1:21" x14ac:dyDescent="0.25">
      <c r="A382" s="33">
        <v>381</v>
      </c>
      <c r="B382" s="24">
        <v>44204</v>
      </c>
      <c r="C382" t="s">
        <v>181</v>
      </c>
      <c r="D382" t="s">
        <v>41</v>
      </c>
      <c r="E382">
        <v>2000706916</v>
      </c>
      <c r="F382">
        <v>1050</v>
      </c>
      <c r="G382">
        <v>210</v>
      </c>
      <c r="H382">
        <v>0</v>
      </c>
      <c r="I382" t="s">
        <v>168</v>
      </c>
      <c r="J382" t="s">
        <v>203</v>
      </c>
      <c r="K382" t="s">
        <v>638</v>
      </c>
      <c r="O382">
        <v>0</v>
      </c>
      <c r="U382" t="s">
        <v>81</v>
      </c>
    </row>
    <row r="383" spans="1:21" x14ac:dyDescent="0.25">
      <c r="A383" s="33">
        <v>382</v>
      </c>
      <c r="B383" s="24">
        <v>44204</v>
      </c>
      <c r="C383" t="s">
        <v>181</v>
      </c>
      <c r="D383" t="s">
        <v>41</v>
      </c>
      <c r="E383">
        <v>2000707785</v>
      </c>
      <c r="F383">
        <v>630</v>
      </c>
      <c r="G383">
        <v>150</v>
      </c>
      <c r="H383">
        <v>0</v>
      </c>
      <c r="I383" t="s">
        <v>168</v>
      </c>
      <c r="J383" t="s">
        <v>203</v>
      </c>
      <c r="K383" t="s">
        <v>638</v>
      </c>
      <c r="O383">
        <v>0</v>
      </c>
      <c r="U383" t="s">
        <v>81</v>
      </c>
    </row>
    <row r="384" spans="1:21" x14ac:dyDescent="0.25">
      <c r="A384" s="33">
        <v>383</v>
      </c>
      <c r="B384" s="24">
        <v>44204</v>
      </c>
      <c r="C384" t="s">
        <v>181</v>
      </c>
      <c r="D384" t="s">
        <v>41</v>
      </c>
      <c r="E384">
        <v>2000708054</v>
      </c>
      <c r="F384">
        <v>420</v>
      </c>
      <c r="G384">
        <v>60</v>
      </c>
      <c r="H384">
        <v>0</v>
      </c>
      <c r="I384" t="s">
        <v>168</v>
      </c>
      <c r="J384" t="s">
        <v>203</v>
      </c>
      <c r="K384" t="s">
        <v>785</v>
      </c>
      <c r="O384">
        <v>0</v>
      </c>
      <c r="U384" t="s">
        <v>81</v>
      </c>
    </row>
    <row r="385" spans="1:21" x14ac:dyDescent="0.25">
      <c r="A385" s="33">
        <v>384</v>
      </c>
      <c r="B385" s="24">
        <v>44204</v>
      </c>
      <c r="C385" t="s">
        <v>181</v>
      </c>
      <c r="D385" t="s">
        <v>41</v>
      </c>
      <c r="E385">
        <v>2000706583</v>
      </c>
      <c r="F385">
        <v>3050</v>
      </c>
      <c r="G385">
        <v>45</v>
      </c>
      <c r="H385">
        <v>0</v>
      </c>
      <c r="I385" t="s">
        <v>178</v>
      </c>
      <c r="J385" t="s">
        <v>170</v>
      </c>
      <c r="K385" t="s">
        <v>697</v>
      </c>
      <c r="O385">
        <v>0</v>
      </c>
      <c r="U385" t="s">
        <v>81</v>
      </c>
    </row>
    <row r="386" spans="1:21" x14ac:dyDescent="0.25">
      <c r="A386" s="33">
        <v>385</v>
      </c>
      <c r="B386" s="24">
        <v>44204</v>
      </c>
      <c r="C386" t="s">
        <v>181</v>
      </c>
      <c r="D386" t="s">
        <v>41</v>
      </c>
      <c r="E386">
        <v>2000707779</v>
      </c>
      <c r="F386">
        <v>2100</v>
      </c>
      <c r="G386">
        <v>30</v>
      </c>
      <c r="H386">
        <v>0</v>
      </c>
      <c r="I386" t="s">
        <v>178</v>
      </c>
      <c r="J386" t="s">
        <v>169</v>
      </c>
      <c r="K386" t="s">
        <v>179</v>
      </c>
      <c r="O386">
        <v>0</v>
      </c>
      <c r="U386" t="s">
        <v>81</v>
      </c>
    </row>
    <row r="387" spans="1:21" x14ac:dyDescent="0.25">
      <c r="A387" s="33">
        <v>386</v>
      </c>
      <c r="B387" s="24">
        <v>44204</v>
      </c>
      <c r="C387" t="s">
        <v>181</v>
      </c>
      <c r="D387" t="s">
        <v>41</v>
      </c>
      <c r="E387">
        <v>2000707222</v>
      </c>
      <c r="F387">
        <v>1850</v>
      </c>
      <c r="G387">
        <v>200</v>
      </c>
      <c r="H387">
        <v>0</v>
      </c>
      <c r="I387" t="s">
        <v>178</v>
      </c>
      <c r="J387" t="s">
        <v>174</v>
      </c>
      <c r="K387" t="s">
        <v>177</v>
      </c>
      <c r="O387">
        <v>0</v>
      </c>
      <c r="U387" t="s">
        <v>81</v>
      </c>
    </row>
    <row r="388" spans="1:21" x14ac:dyDescent="0.25">
      <c r="A388" s="33">
        <v>387</v>
      </c>
      <c r="B388" s="24">
        <v>44204</v>
      </c>
      <c r="C388" t="s">
        <v>181</v>
      </c>
      <c r="D388" t="s">
        <v>41</v>
      </c>
      <c r="E388">
        <v>2000708054</v>
      </c>
      <c r="F388">
        <v>420</v>
      </c>
      <c r="G388">
        <v>60</v>
      </c>
      <c r="H388">
        <v>0</v>
      </c>
      <c r="I388" t="s">
        <v>178</v>
      </c>
      <c r="J388" t="s">
        <v>203</v>
      </c>
      <c r="K388" t="s">
        <v>785</v>
      </c>
      <c r="O388">
        <v>0</v>
      </c>
      <c r="U388" t="s">
        <v>81</v>
      </c>
    </row>
    <row r="389" spans="1:21" x14ac:dyDescent="0.25">
      <c r="A389" s="33">
        <v>388</v>
      </c>
      <c r="B389" s="24">
        <v>44204</v>
      </c>
      <c r="C389" t="s">
        <v>181</v>
      </c>
      <c r="D389" t="s">
        <v>41</v>
      </c>
      <c r="E389">
        <v>2000707784</v>
      </c>
      <c r="F389">
        <v>3800</v>
      </c>
      <c r="G389">
        <v>220</v>
      </c>
      <c r="H389">
        <v>0</v>
      </c>
      <c r="I389" t="s">
        <v>642</v>
      </c>
      <c r="J389" t="s">
        <v>172</v>
      </c>
      <c r="K389" t="s">
        <v>173</v>
      </c>
      <c r="O389">
        <v>0</v>
      </c>
      <c r="U389" t="s">
        <v>81</v>
      </c>
    </row>
    <row r="390" spans="1:21" x14ac:dyDescent="0.25">
      <c r="A390" s="33">
        <v>389</v>
      </c>
      <c r="B390" s="24">
        <v>44204</v>
      </c>
      <c r="C390" t="s">
        <v>181</v>
      </c>
      <c r="D390" t="s">
        <v>41</v>
      </c>
      <c r="E390">
        <v>2000707965</v>
      </c>
      <c r="F390">
        <v>2000</v>
      </c>
      <c r="G390">
        <v>140</v>
      </c>
      <c r="H390">
        <v>0</v>
      </c>
      <c r="I390" t="s">
        <v>642</v>
      </c>
      <c r="J390" t="s">
        <v>193</v>
      </c>
      <c r="K390" t="s">
        <v>647</v>
      </c>
      <c r="O390">
        <v>0</v>
      </c>
      <c r="U390" t="s">
        <v>81</v>
      </c>
    </row>
    <row r="391" spans="1:21" x14ac:dyDescent="0.25">
      <c r="A391" s="33">
        <v>390</v>
      </c>
      <c r="B391" s="24">
        <v>44204</v>
      </c>
      <c r="C391" t="s">
        <v>181</v>
      </c>
      <c r="D391" t="s">
        <v>41</v>
      </c>
      <c r="E391">
        <v>2000707765</v>
      </c>
      <c r="F391">
        <v>400</v>
      </c>
      <c r="G391">
        <v>80</v>
      </c>
      <c r="H391">
        <v>0</v>
      </c>
      <c r="I391" t="s">
        <v>642</v>
      </c>
      <c r="J391" t="s">
        <v>645</v>
      </c>
      <c r="K391" t="s">
        <v>649</v>
      </c>
      <c r="O391">
        <v>0</v>
      </c>
      <c r="U391" t="s">
        <v>81</v>
      </c>
    </row>
    <row r="392" spans="1:21" x14ac:dyDescent="0.25">
      <c r="A392" s="33">
        <v>391</v>
      </c>
      <c r="B392" s="24">
        <v>44204</v>
      </c>
      <c r="C392" t="s">
        <v>181</v>
      </c>
      <c r="D392" t="s">
        <v>41</v>
      </c>
      <c r="E392">
        <v>2000706633</v>
      </c>
      <c r="F392">
        <v>1800</v>
      </c>
      <c r="G392">
        <v>180</v>
      </c>
      <c r="H392">
        <v>0</v>
      </c>
      <c r="I392" t="s">
        <v>194</v>
      </c>
      <c r="J392" t="s">
        <v>174</v>
      </c>
      <c r="K392" t="s">
        <v>774</v>
      </c>
      <c r="O392">
        <v>0</v>
      </c>
      <c r="U392" t="s">
        <v>81</v>
      </c>
    </row>
    <row r="393" spans="1:21" x14ac:dyDescent="0.25">
      <c r="A393" s="33">
        <v>392</v>
      </c>
      <c r="B393" s="24">
        <v>44204</v>
      </c>
      <c r="C393" t="s">
        <v>181</v>
      </c>
      <c r="D393" t="s">
        <v>41</v>
      </c>
      <c r="E393">
        <v>2000707779</v>
      </c>
      <c r="F393">
        <v>2100</v>
      </c>
      <c r="G393">
        <v>60</v>
      </c>
      <c r="H393">
        <v>0</v>
      </c>
      <c r="I393" t="s">
        <v>194</v>
      </c>
      <c r="J393" t="s">
        <v>169</v>
      </c>
      <c r="K393" t="s">
        <v>179</v>
      </c>
      <c r="O393">
        <v>0</v>
      </c>
      <c r="U393" t="s">
        <v>81</v>
      </c>
    </row>
    <row r="394" spans="1:21" x14ac:dyDescent="0.25">
      <c r="A394" s="33">
        <v>393</v>
      </c>
      <c r="B394" s="24">
        <v>44204</v>
      </c>
      <c r="C394" t="s">
        <v>181</v>
      </c>
      <c r="D394" t="s">
        <v>41</v>
      </c>
      <c r="E394">
        <v>2000706264</v>
      </c>
      <c r="F394">
        <v>544</v>
      </c>
      <c r="G394">
        <v>250</v>
      </c>
      <c r="H394">
        <v>0</v>
      </c>
      <c r="I394" t="s">
        <v>194</v>
      </c>
      <c r="J394" t="s">
        <v>174</v>
      </c>
      <c r="K394" t="s">
        <v>205</v>
      </c>
      <c r="O394">
        <v>0</v>
      </c>
      <c r="U394" t="s">
        <v>81</v>
      </c>
    </row>
    <row r="395" spans="1:21" x14ac:dyDescent="0.25">
      <c r="A395" s="33">
        <v>394</v>
      </c>
      <c r="B395" s="24">
        <v>44204</v>
      </c>
      <c r="C395" t="s">
        <v>181</v>
      </c>
      <c r="D395" t="s">
        <v>41</v>
      </c>
      <c r="E395">
        <v>2000706634</v>
      </c>
      <c r="F395">
        <v>360</v>
      </c>
      <c r="G395">
        <v>135</v>
      </c>
      <c r="H395">
        <v>0</v>
      </c>
      <c r="I395" t="s">
        <v>194</v>
      </c>
      <c r="J395" t="s">
        <v>698</v>
      </c>
      <c r="K395" t="s">
        <v>786</v>
      </c>
      <c r="O395">
        <v>0</v>
      </c>
      <c r="U395" t="s">
        <v>81</v>
      </c>
    </row>
    <row r="396" spans="1:21" x14ac:dyDescent="0.25">
      <c r="A396" s="33">
        <v>395</v>
      </c>
      <c r="B396" s="24">
        <v>44204</v>
      </c>
      <c r="C396" t="s">
        <v>181</v>
      </c>
      <c r="D396" t="s">
        <v>51</v>
      </c>
      <c r="E396">
        <v>2000707119</v>
      </c>
      <c r="F396">
        <v>410</v>
      </c>
      <c r="G396">
        <v>120</v>
      </c>
      <c r="H396">
        <v>0</v>
      </c>
      <c r="I396" t="s">
        <v>178</v>
      </c>
      <c r="J396" t="s">
        <v>779</v>
      </c>
      <c r="K396" t="s">
        <v>780</v>
      </c>
      <c r="O396">
        <v>0</v>
      </c>
      <c r="U396" t="s">
        <v>81</v>
      </c>
    </row>
    <row r="397" spans="1:21" x14ac:dyDescent="0.25">
      <c r="A397" s="33">
        <v>396</v>
      </c>
      <c r="B397" s="24">
        <v>44204</v>
      </c>
      <c r="C397" t="s">
        <v>181</v>
      </c>
      <c r="D397" t="s">
        <v>51</v>
      </c>
      <c r="E397">
        <v>2000707399</v>
      </c>
      <c r="F397">
        <v>350</v>
      </c>
      <c r="G397">
        <v>140</v>
      </c>
      <c r="H397">
        <v>0</v>
      </c>
      <c r="I397" t="s">
        <v>191</v>
      </c>
      <c r="J397" t="s">
        <v>673</v>
      </c>
      <c r="K397" t="s">
        <v>760</v>
      </c>
      <c r="O397">
        <v>0</v>
      </c>
      <c r="U397" t="s">
        <v>81</v>
      </c>
    </row>
    <row r="398" spans="1:21" x14ac:dyDescent="0.25">
      <c r="A398" s="33">
        <v>397</v>
      </c>
      <c r="B398" s="24">
        <v>44204</v>
      </c>
      <c r="C398" t="s">
        <v>181</v>
      </c>
      <c r="D398" t="s">
        <v>51</v>
      </c>
      <c r="E398">
        <v>2000706940</v>
      </c>
      <c r="F398">
        <v>270</v>
      </c>
      <c r="G398">
        <v>90</v>
      </c>
      <c r="H398">
        <v>0</v>
      </c>
      <c r="I398" t="s">
        <v>191</v>
      </c>
      <c r="J398" t="s">
        <v>770</v>
      </c>
      <c r="K398" t="s">
        <v>771</v>
      </c>
      <c r="O398">
        <v>0</v>
      </c>
      <c r="U398" t="s">
        <v>81</v>
      </c>
    </row>
    <row r="399" spans="1:21" x14ac:dyDescent="0.25">
      <c r="A399" s="33">
        <v>398</v>
      </c>
      <c r="B399" s="24">
        <v>44204</v>
      </c>
      <c r="C399" t="s">
        <v>181</v>
      </c>
      <c r="D399" t="s">
        <v>51</v>
      </c>
      <c r="E399">
        <v>2000707404</v>
      </c>
      <c r="F399">
        <v>1020</v>
      </c>
      <c r="G399">
        <v>210</v>
      </c>
      <c r="H399">
        <v>0</v>
      </c>
      <c r="I399" t="s">
        <v>191</v>
      </c>
      <c r="J399" t="s">
        <v>667</v>
      </c>
      <c r="K399" t="s">
        <v>668</v>
      </c>
      <c r="O399">
        <v>0</v>
      </c>
      <c r="U399" t="s">
        <v>81</v>
      </c>
    </row>
    <row r="400" spans="1:21" x14ac:dyDescent="0.25">
      <c r="A400" s="33">
        <v>399</v>
      </c>
      <c r="B400" s="24">
        <v>44204</v>
      </c>
      <c r="C400" t="s">
        <v>181</v>
      </c>
      <c r="D400" t="s">
        <v>51</v>
      </c>
      <c r="E400">
        <v>2000706938</v>
      </c>
      <c r="F400">
        <v>736</v>
      </c>
      <c r="G400">
        <v>35</v>
      </c>
      <c r="H400">
        <v>0</v>
      </c>
      <c r="I400" t="s">
        <v>191</v>
      </c>
      <c r="J400" t="s">
        <v>709</v>
      </c>
      <c r="K400" t="s">
        <v>743</v>
      </c>
      <c r="O400">
        <v>0</v>
      </c>
      <c r="U400" t="s">
        <v>81</v>
      </c>
    </row>
    <row r="401" spans="1:21" x14ac:dyDescent="0.25">
      <c r="A401" s="33">
        <v>400</v>
      </c>
      <c r="B401" s="24">
        <v>44204</v>
      </c>
      <c r="C401" t="s">
        <v>181</v>
      </c>
      <c r="D401" t="s">
        <v>51</v>
      </c>
      <c r="E401">
        <v>2000707119</v>
      </c>
      <c r="F401">
        <v>410</v>
      </c>
      <c r="G401">
        <v>50</v>
      </c>
      <c r="H401">
        <v>0</v>
      </c>
      <c r="I401" t="s">
        <v>191</v>
      </c>
      <c r="J401" t="s">
        <v>779</v>
      </c>
      <c r="K401" t="s">
        <v>780</v>
      </c>
      <c r="O401">
        <v>0</v>
      </c>
      <c r="U401" t="s">
        <v>81</v>
      </c>
    </row>
    <row r="402" spans="1:21" x14ac:dyDescent="0.25">
      <c r="A402" s="33">
        <v>401</v>
      </c>
      <c r="B402" s="24">
        <v>44204</v>
      </c>
      <c r="C402" t="s">
        <v>181</v>
      </c>
      <c r="D402" t="s">
        <v>51</v>
      </c>
      <c r="E402">
        <v>2000707402</v>
      </c>
      <c r="F402">
        <v>300</v>
      </c>
      <c r="G402">
        <v>200</v>
      </c>
      <c r="H402">
        <v>0</v>
      </c>
      <c r="I402" t="s">
        <v>191</v>
      </c>
      <c r="J402" t="s">
        <v>669</v>
      </c>
      <c r="K402" t="s">
        <v>707</v>
      </c>
      <c r="O402">
        <v>0</v>
      </c>
      <c r="U402" t="s">
        <v>81</v>
      </c>
    </row>
    <row r="403" spans="1:21" x14ac:dyDescent="0.25">
      <c r="A403" s="33">
        <v>402</v>
      </c>
      <c r="B403" s="24">
        <v>44205</v>
      </c>
      <c r="C403" t="s">
        <v>39</v>
      </c>
      <c r="D403" t="s">
        <v>41</v>
      </c>
      <c r="E403">
        <v>2000708054</v>
      </c>
      <c r="F403">
        <v>420</v>
      </c>
      <c r="G403">
        <v>295</v>
      </c>
      <c r="H403">
        <v>0</v>
      </c>
      <c r="I403" t="s">
        <v>184</v>
      </c>
      <c r="J403" t="s">
        <v>203</v>
      </c>
      <c r="K403" t="s">
        <v>785</v>
      </c>
      <c r="O403">
        <v>0</v>
      </c>
      <c r="U403" t="s">
        <v>81</v>
      </c>
    </row>
    <row r="404" spans="1:21" x14ac:dyDescent="0.25">
      <c r="A404" s="33">
        <v>403</v>
      </c>
      <c r="B404" s="24">
        <v>44205</v>
      </c>
      <c r="C404" t="s">
        <v>39</v>
      </c>
      <c r="D404" t="s">
        <v>41</v>
      </c>
      <c r="E404">
        <v>2000708379</v>
      </c>
      <c r="F404">
        <v>180</v>
      </c>
      <c r="G404">
        <v>180</v>
      </c>
      <c r="H404">
        <v>0</v>
      </c>
      <c r="I404" t="s">
        <v>184</v>
      </c>
      <c r="J404" t="s">
        <v>203</v>
      </c>
      <c r="K404" t="s">
        <v>787</v>
      </c>
      <c r="O404">
        <v>0</v>
      </c>
      <c r="U404" t="s">
        <v>81</v>
      </c>
    </row>
    <row r="405" spans="1:21" x14ac:dyDescent="0.25">
      <c r="A405" s="33">
        <v>404</v>
      </c>
      <c r="B405" s="24">
        <v>44205</v>
      </c>
      <c r="C405" t="s">
        <v>39</v>
      </c>
      <c r="D405" t="s">
        <v>41</v>
      </c>
      <c r="E405">
        <v>2000708381</v>
      </c>
      <c r="F405">
        <v>540</v>
      </c>
      <c r="G405">
        <v>60</v>
      </c>
      <c r="H405">
        <v>0</v>
      </c>
      <c r="I405" t="s">
        <v>184</v>
      </c>
      <c r="J405" t="s">
        <v>203</v>
      </c>
      <c r="K405" t="s">
        <v>787</v>
      </c>
      <c r="O405">
        <v>0</v>
      </c>
      <c r="U405" t="s">
        <v>81</v>
      </c>
    </row>
    <row r="406" spans="1:21" x14ac:dyDescent="0.25">
      <c r="A406" s="33">
        <v>405</v>
      </c>
      <c r="B406" s="24">
        <v>44205</v>
      </c>
      <c r="C406" t="s">
        <v>39</v>
      </c>
      <c r="D406" t="s">
        <v>41</v>
      </c>
      <c r="E406">
        <v>2000706760</v>
      </c>
      <c r="F406">
        <v>1720</v>
      </c>
      <c r="G406">
        <v>40</v>
      </c>
      <c r="H406">
        <v>0</v>
      </c>
      <c r="I406" t="s">
        <v>759</v>
      </c>
      <c r="J406" t="s">
        <v>745</v>
      </c>
      <c r="K406" t="s">
        <v>746</v>
      </c>
      <c r="O406">
        <v>0</v>
      </c>
      <c r="U406" t="s">
        <v>81</v>
      </c>
    </row>
    <row r="407" spans="1:21" x14ac:dyDescent="0.25">
      <c r="A407" s="33">
        <v>406</v>
      </c>
      <c r="B407" s="24">
        <v>44205</v>
      </c>
      <c r="C407" t="s">
        <v>39</v>
      </c>
      <c r="D407" t="s">
        <v>41</v>
      </c>
      <c r="E407">
        <v>2000707935</v>
      </c>
      <c r="F407">
        <v>1600</v>
      </c>
      <c r="G407">
        <v>150</v>
      </c>
      <c r="H407">
        <v>0</v>
      </c>
      <c r="I407" t="s">
        <v>759</v>
      </c>
      <c r="J407" t="s">
        <v>645</v>
      </c>
      <c r="K407" t="s">
        <v>658</v>
      </c>
      <c r="O407">
        <v>0</v>
      </c>
      <c r="U407" t="s">
        <v>81</v>
      </c>
    </row>
    <row r="408" spans="1:21" x14ac:dyDescent="0.25">
      <c r="A408" s="33">
        <v>407</v>
      </c>
      <c r="B408" s="24">
        <v>44205</v>
      </c>
      <c r="C408" t="s">
        <v>39</v>
      </c>
      <c r="D408" t="s">
        <v>41</v>
      </c>
      <c r="E408">
        <v>2000707962</v>
      </c>
      <c r="F408">
        <v>2000</v>
      </c>
      <c r="G408">
        <v>200</v>
      </c>
      <c r="H408">
        <v>0</v>
      </c>
      <c r="I408" t="s">
        <v>759</v>
      </c>
      <c r="J408" t="s">
        <v>193</v>
      </c>
      <c r="K408" t="s">
        <v>683</v>
      </c>
      <c r="O408">
        <v>0</v>
      </c>
      <c r="U408" t="s">
        <v>81</v>
      </c>
    </row>
    <row r="409" spans="1:21" x14ac:dyDescent="0.25">
      <c r="A409" s="33">
        <v>408</v>
      </c>
      <c r="B409" s="24">
        <v>44205</v>
      </c>
      <c r="C409" t="s">
        <v>39</v>
      </c>
      <c r="D409" t="s">
        <v>41</v>
      </c>
      <c r="E409">
        <v>2000707961</v>
      </c>
      <c r="F409">
        <v>2000</v>
      </c>
      <c r="G409">
        <v>200</v>
      </c>
      <c r="H409">
        <v>0</v>
      </c>
      <c r="I409" t="s">
        <v>759</v>
      </c>
      <c r="J409" t="s">
        <v>193</v>
      </c>
      <c r="K409" t="s">
        <v>176</v>
      </c>
      <c r="O409">
        <v>0</v>
      </c>
      <c r="U409" t="s">
        <v>81</v>
      </c>
    </row>
    <row r="410" spans="1:21" x14ac:dyDescent="0.25">
      <c r="A410" s="33">
        <v>409</v>
      </c>
      <c r="B410" s="24">
        <v>44205</v>
      </c>
      <c r="C410" t="s">
        <v>39</v>
      </c>
      <c r="D410" t="s">
        <v>41</v>
      </c>
      <c r="E410">
        <v>2000705737</v>
      </c>
      <c r="F410">
        <v>912</v>
      </c>
      <c r="G410">
        <v>912</v>
      </c>
      <c r="H410">
        <v>0</v>
      </c>
      <c r="I410" t="s">
        <v>759</v>
      </c>
      <c r="J410" t="s">
        <v>203</v>
      </c>
      <c r="K410" t="s">
        <v>788</v>
      </c>
      <c r="O410">
        <v>0</v>
      </c>
      <c r="U410" t="s">
        <v>81</v>
      </c>
    </row>
    <row r="411" spans="1:21" x14ac:dyDescent="0.25">
      <c r="A411" s="33">
        <v>410</v>
      </c>
      <c r="B411" s="24">
        <v>44205</v>
      </c>
      <c r="C411" t="s">
        <v>39</v>
      </c>
      <c r="D411" t="s">
        <v>41</v>
      </c>
      <c r="E411">
        <v>2000707977</v>
      </c>
      <c r="F411">
        <v>1000</v>
      </c>
      <c r="G411">
        <v>200</v>
      </c>
      <c r="H411">
        <v>0</v>
      </c>
      <c r="I411" t="s">
        <v>759</v>
      </c>
      <c r="J411" t="s">
        <v>645</v>
      </c>
      <c r="K411" t="s">
        <v>726</v>
      </c>
      <c r="O411">
        <v>0</v>
      </c>
      <c r="U411" t="s">
        <v>81</v>
      </c>
    </row>
    <row r="412" spans="1:21" x14ac:dyDescent="0.25">
      <c r="A412" s="33">
        <v>411</v>
      </c>
      <c r="B412" s="24">
        <v>44205</v>
      </c>
      <c r="C412" t="s">
        <v>39</v>
      </c>
      <c r="D412" t="s">
        <v>41</v>
      </c>
      <c r="E412">
        <v>2000707193</v>
      </c>
      <c r="F412">
        <v>4220</v>
      </c>
      <c r="G412">
        <v>300</v>
      </c>
      <c r="H412">
        <v>0</v>
      </c>
      <c r="I412" t="s">
        <v>759</v>
      </c>
      <c r="J412" t="s">
        <v>199</v>
      </c>
      <c r="K412" t="s">
        <v>660</v>
      </c>
      <c r="O412">
        <v>0</v>
      </c>
      <c r="U412" t="s">
        <v>81</v>
      </c>
    </row>
    <row r="413" spans="1:21" x14ac:dyDescent="0.25">
      <c r="A413" s="33">
        <v>412</v>
      </c>
      <c r="B413" s="24">
        <v>44205</v>
      </c>
      <c r="C413" t="s">
        <v>39</v>
      </c>
      <c r="D413" t="s">
        <v>41</v>
      </c>
      <c r="E413">
        <v>2000706760</v>
      </c>
      <c r="F413">
        <v>1720</v>
      </c>
      <c r="G413">
        <v>40</v>
      </c>
      <c r="H413">
        <v>0</v>
      </c>
      <c r="I413" t="s">
        <v>680</v>
      </c>
      <c r="J413" t="s">
        <v>745</v>
      </c>
      <c r="K413" t="s">
        <v>746</v>
      </c>
      <c r="O413">
        <v>0</v>
      </c>
      <c r="U413" t="s">
        <v>81</v>
      </c>
    </row>
    <row r="414" spans="1:21" x14ac:dyDescent="0.25">
      <c r="A414" s="33">
        <v>413</v>
      </c>
      <c r="B414" s="24">
        <v>44205</v>
      </c>
      <c r="C414" t="s">
        <v>39</v>
      </c>
      <c r="D414" t="s">
        <v>41</v>
      </c>
      <c r="E414">
        <v>2000706634</v>
      </c>
      <c r="F414">
        <v>360</v>
      </c>
      <c r="G414">
        <v>45</v>
      </c>
      <c r="H414">
        <v>0</v>
      </c>
      <c r="I414" t="s">
        <v>693</v>
      </c>
      <c r="J414" t="s">
        <v>698</v>
      </c>
      <c r="K414" t="s">
        <v>786</v>
      </c>
      <c r="O414">
        <v>0</v>
      </c>
      <c r="U414" t="s">
        <v>81</v>
      </c>
    </row>
    <row r="415" spans="1:21" x14ac:dyDescent="0.25">
      <c r="A415" s="33">
        <v>414</v>
      </c>
      <c r="B415" s="24">
        <v>44205</v>
      </c>
      <c r="C415" t="s">
        <v>39</v>
      </c>
      <c r="D415" t="s">
        <v>41</v>
      </c>
      <c r="E415">
        <v>2000707950</v>
      </c>
      <c r="F415">
        <v>430</v>
      </c>
      <c r="G415">
        <v>80</v>
      </c>
      <c r="H415">
        <v>0</v>
      </c>
      <c r="I415" t="s">
        <v>693</v>
      </c>
      <c r="J415" t="s">
        <v>645</v>
      </c>
      <c r="K415" t="s">
        <v>765</v>
      </c>
      <c r="O415">
        <v>0</v>
      </c>
      <c r="U415" t="s">
        <v>81</v>
      </c>
    </row>
    <row r="416" spans="1:21" x14ac:dyDescent="0.25">
      <c r="A416" s="33">
        <v>415</v>
      </c>
      <c r="B416" s="24">
        <v>44205</v>
      </c>
      <c r="C416" t="s">
        <v>39</v>
      </c>
      <c r="D416" t="s">
        <v>41</v>
      </c>
      <c r="E416">
        <v>2000708378</v>
      </c>
      <c r="F416">
        <v>2000</v>
      </c>
      <c r="G416">
        <v>60</v>
      </c>
      <c r="H416">
        <v>0</v>
      </c>
      <c r="I416" t="s">
        <v>693</v>
      </c>
      <c r="J416" t="s">
        <v>193</v>
      </c>
      <c r="K416" t="s">
        <v>647</v>
      </c>
      <c r="O416">
        <v>0</v>
      </c>
      <c r="U416" t="s">
        <v>81</v>
      </c>
    </row>
    <row r="417" spans="1:21" x14ac:dyDescent="0.25">
      <c r="A417" s="33">
        <v>416</v>
      </c>
      <c r="B417" s="24">
        <v>44205</v>
      </c>
      <c r="C417" t="s">
        <v>39</v>
      </c>
      <c r="D417" t="s">
        <v>41</v>
      </c>
      <c r="E417">
        <v>2000707771</v>
      </c>
      <c r="F417">
        <v>1036</v>
      </c>
      <c r="G417">
        <v>75</v>
      </c>
      <c r="H417">
        <v>0</v>
      </c>
      <c r="I417" t="s">
        <v>693</v>
      </c>
      <c r="J417" t="s">
        <v>170</v>
      </c>
      <c r="K417" t="s">
        <v>732</v>
      </c>
      <c r="O417">
        <v>0</v>
      </c>
      <c r="U417" t="s">
        <v>81</v>
      </c>
    </row>
    <row r="418" spans="1:21" x14ac:dyDescent="0.25">
      <c r="A418" s="33">
        <v>417</v>
      </c>
      <c r="B418" s="24">
        <v>44205</v>
      </c>
      <c r="C418" t="s">
        <v>39</v>
      </c>
      <c r="D418" t="s">
        <v>41</v>
      </c>
      <c r="E418">
        <v>2000707771</v>
      </c>
      <c r="F418">
        <v>1036</v>
      </c>
      <c r="G418">
        <v>105</v>
      </c>
      <c r="H418">
        <v>0</v>
      </c>
      <c r="I418" t="s">
        <v>789</v>
      </c>
      <c r="J418" t="s">
        <v>170</v>
      </c>
      <c r="K418" t="s">
        <v>732</v>
      </c>
      <c r="O418">
        <v>0</v>
      </c>
      <c r="U418" t="s">
        <v>81</v>
      </c>
    </row>
    <row r="419" spans="1:21" x14ac:dyDescent="0.25">
      <c r="A419" s="33">
        <v>418</v>
      </c>
      <c r="B419" s="24">
        <v>44205</v>
      </c>
      <c r="C419" t="s">
        <v>39</v>
      </c>
      <c r="D419" t="s">
        <v>41</v>
      </c>
      <c r="E419">
        <v>2000707222</v>
      </c>
      <c r="F419">
        <v>1850</v>
      </c>
      <c r="G419">
        <v>440</v>
      </c>
      <c r="H419">
        <v>0</v>
      </c>
      <c r="I419" t="s">
        <v>198</v>
      </c>
      <c r="J419" t="s">
        <v>174</v>
      </c>
      <c r="K419" t="s">
        <v>177</v>
      </c>
      <c r="O419">
        <v>0</v>
      </c>
      <c r="U419" t="s">
        <v>81</v>
      </c>
    </row>
    <row r="420" spans="1:21" x14ac:dyDescent="0.25">
      <c r="A420" s="33">
        <v>419</v>
      </c>
      <c r="B420" s="24">
        <v>44205</v>
      </c>
      <c r="C420" t="s">
        <v>39</v>
      </c>
      <c r="D420" t="s">
        <v>41</v>
      </c>
      <c r="E420">
        <v>2000707771</v>
      </c>
      <c r="F420">
        <v>1036</v>
      </c>
      <c r="G420">
        <v>288</v>
      </c>
      <c r="H420">
        <v>0</v>
      </c>
      <c r="I420" t="s">
        <v>198</v>
      </c>
      <c r="J420" t="s">
        <v>170</v>
      </c>
      <c r="K420" t="s">
        <v>732</v>
      </c>
      <c r="O420">
        <v>0</v>
      </c>
      <c r="U420" t="s">
        <v>81</v>
      </c>
    </row>
    <row r="421" spans="1:21" x14ac:dyDescent="0.25">
      <c r="A421" s="33">
        <v>420</v>
      </c>
      <c r="B421" s="24">
        <v>44205</v>
      </c>
      <c r="C421" t="s">
        <v>39</v>
      </c>
      <c r="D421" t="s">
        <v>41</v>
      </c>
      <c r="E421">
        <v>2000708036</v>
      </c>
      <c r="F421">
        <v>640</v>
      </c>
      <c r="G421">
        <v>280</v>
      </c>
      <c r="H421">
        <v>0</v>
      </c>
      <c r="I421" t="s">
        <v>183</v>
      </c>
      <c r="J421" t="s">
        <v>174</v>
      </c>
      <c r="K421" t="s">
        <v>695</v>
      </c>
      <c r="O421">
        <v>0</v>
      </c>
      <c r="U421" t="s">
        <v>81</v>
      </c>
    </row>
    <row r="422" spans="1:21" x14ac:dyDescent="0.25">
      <c r="A422" s="33">
        <v>421</v>
      </c>
      <c r="B422" s="24">
        <v>44205</v>
      </c>
      <c r="C422" t="s">
        <v>39</v>
      </c>
      <c r="D422" t="s">
        <v>41</v>
      </c>
      <c r="E422">
        <v>2000707222</v>
      </c>
      <c r="F422">
        <v>1850</v>
      </c>
      <c r="G422">
        <v>200</v>
      </c>
      <c r="H422">
        <v>0</v>
      </c>
      <c r="I422" t="s">
        <v>183</v>
      </c>
      <c r="J422" t="s">
        <v>174</v>
      </c>
      <c r="K422" t="s">
        <v>177</v>
      </c>
      <c r="O422">
        <v>0</v>
      </c>
      <c r="U422" t="s">
        <v>81</v>
      </c>
    </row>
    <row r="423" spans="1:21" x14ac:dyDescent="0.25">
      <c r="A423" s="33">
        <v>422</v>
      </c>
      <c r="B423" s="24">
        <v>44205</v>
      </c>
      <c r="C423" t="s">
        <v>39</v>
      </c>
      <c r="D423" t="s">
        <v>41</v>
      </c>
      <c r="E423">
        <v>2000708372</v>
      </c>
      <c r="F423">
        <v>890</v>
      </c>
      <c r="G423">
        <v>80</v>
      </c>
      <c r="H423">
        <v>0</v>
      </c>
      <c r="I423" t="s">
        <v>185</v>
      </c>
      <c r="J423" t="s">
        <v>169</v>
      </c>
      <c r="K423" t="s">
        <v>190</v>
      </c>
      <c r="O423">
        <v>0</v>
      </c>
      <c r="U423" t="s">
        <v>81</v>
      </c>
    </row>
    <row r="424" spans="1:21" x14ac:dyDescent="0.25">
      <c r="A424" s="33">
        <v>423</v>
      </c>
      <c r="B424" s="24">
        <v>44205</v>
      </c>
      <c r="C424" t="s">
        <v>39</v>
      </c>
      <c r="D424" t="s">
        <v>41</v>
      </c>
      <c r="E424">
        <v>2000707950</v>
      </c>
      <c r="F424">
        <v>430</v>
      </c>
      <c r="G424">
        <v>20</v>
      </c>
      <c r="H424">
        <v>0</v>
      </c>
      <c r="I424" t="s">
        <v>185</v>
      </c>
      <c r="J424" t="s">
        <v>645</v>
      </c>
      <c r="K424" t="s">
        <v>765</v>
      </c>
      <c r="O424">
        <v>0</v>
      </c>
      <c r="U424" t="s">
        <v>81</v>
      </c>
    </row>
    <row r="425" spans="1:21" x14ac:dyDescent="0.25">
      <c r="A425" s="33">
        <v>424</v>
      </c>
      <c r="B425" s="24">
        <v>44205</v>
      </c>
      <c r="C425" t="s">
        <v>39</v>
      </c>
      <c r="D425" t="s">
        <v>41</v>
      </c>
      <c r="E425">
        <v>2000707779</v>
      </c>
      <c r="F425">
        <v>2100</v>
      </c>
      <c r="G425">
        <v>30</v>
      </c>
      <c r="H425">
        <v>0</v>
      </c>
      <c r="I425" t="s">
        <v>185</v>
      </c>
      <c r="J425" t="s">
        <v>169</v>
      </c>
      <c r="K425" t="s">
        <v>179</v>
      </c>
      <c r="O425">
        <v>0</v>
      </c>
      <c r="U425" t="s">
        <v>81</v>
      </c>
    </row>
    <row r="426" spans="1:21" x14ac:dyDescent="0.25">
      <c r="A426" s="33">
        <v>425</v>
      </c>
      <c r="B426" s="24">
        <v>44205</v>
      </c>
      <c r="C426" t="s">
        <v>39</v>
      </c>
      <c r="D426" t="s">
        <v>41</v>
      </c>
      <c r="E426">
        <v>2000708457</v>
      </c>
      <c r="F426">
        <v>2400</v>
      </c>
      <c r="G426">
        <v>120</v>
      </c>
      <c r="H426">
        <v>0</v>
      </c>
      <c r="I426" t="s">
        <v>185</v>
      </c>
      <c r="J426" t="s">
        <v>655</v>
      </c>
      <c r="K426" t="s">
        <v>656</v>
      </c>
      <c r="O426">
        <v>0</v>
      </c>
      <c r="U426" t="s">
        <v>81</v>
      </c>
    </row>
    <row r="427" spans="1:21" x14ac:dyDescent="0.25">
      <c r="A427" s="33">
        <v>426</v>
      </c>
      <c r="B427" s="24">
        <v>44205</v>
      </c>
      <c r="C427" t="s">
        <v>39</v>
      </c>
      <c r="D427" t="s">
        <v>41</v>
      </c>
      <c r="E427">
        <v>2000708388</v>
      </c>
      <c r="F427">
        <v>720</v>
      </c>
      <c r="G427">
        <v>80</v>
      </c>
      <c r="H427">
        <v>0</v>
      </c>
      <c r="I427" t="s">
        <v>185</v>
      </c>
      <c r="J427" t="s">
        <v>645</v>
      </c>
      <c r="K427" t="s">
        <v>790</v>
      </c>
      <c r="O427">
        <v>0</v>
      </c>
      <c r="U427" t="s">
        <v>81</v>
      </c>
    </row>
    <row r="428" spans="1:21" x14ac:dyDescent="0.25">
      <c r="A428" s="33">
        <v>427</v>
      </c>
      <c r="B428" s="24">
        <v>44205</v>
      </c>
      <c r="C428" t="s">
        <v>39</v>
      </c>
      <c r="D428" t="s">
        <v>41</v>
      </c>
      <c r="E428">
        <v>2000707979</v>
      </c>
      <c r="F428">
        <v>1000</v>
      </c>
      <c r="G428">
        <v>80</v>
      </c>
      <c r="H428">
        <v>0</v>
      </c>
      <c r="I428" t="s">
        <v>185</v>
      </c>
      <c r="J428" t="s">
        <v>645</v>
      </c>
      <c r="K428" t="s">
        <v>694</v>
      </c>
      <c r="O428">
        <v>0</v>
      </c>
      <c r="U428" t="s">
        <v>81</v>
      </c>
    </row>
    <row r="429" spans="1:21" x14ac:dyDescent="0.25">
      <c r="A429" s="33">
        <v>428</v>
      </c>
      <c r="B429" s="24">
        <v>44205</v>
      </c>
      <c r="C429" t="s">
        <v>39</v>
      </c>
      <c r="D429" t="s">
        <v>41</v>
      </c>
      <c r="E429">
        <v>2000707954</v>
      </c>
      <c r="F429">
        <v>1000</v>
      </c>
      <c r="G429">
        <v>30</v>
      </c>
      <c r="H429">
        <v>0</v>
      </c>
      <c r="I429" t="s">
        <v>185</v>
      </c>
      <c r="J429" t="s">
        <v>172</v>
      </c>
      <c r="K429" t="s">
        <v>724</v>
      </c>
      <c r="O429">
        <v>0</v>
      </c>
      <c r="U429" t="s">
        <v>81</v>
      </c>
    </row>
    <row r="430" spans="1:21" x14ac:dyDescent="0.25">
      <c r="A430" s="33">
        <v>429</v>
      </c>
      <c r="B430" s="24">
        <v>44205</v>
      </c>
      <c r="C430" t="s">
        <v>39</v>
      </c>
      <c r="D430" t="s">
        <v>41</v>
      </c>
      <c r="E430">
        <v>2000706634</v>
      </c>
      <c r="F430">
        <v>360</v>
      </c>
      <c r="G430">
        <v>180</v>
      </c>
      <c r="H430">
        <v>0</v>
      </c>
      <c r="I430" t="s">
        <v>696</v>
      </c>
      <c r="J430" t="s">
        <v>698</v>
      </c>
      <c r="K430" t="s">
        <v>786</v>
      </c>
      <c r="O430">
        <v>0</v>
      </c>
      <c r="U430" t="s">
        <v>81</v>
      </c>
    </row>
    <row r="431" spans="1:21" x14ac:dyDescent="0.25">
      <c r="A431" s="33">
        <v>430</v>
      </c>
      <c r="B431" s="24">
        <v>44205</v>
      </c>
      <c r="C431" t="s">
        <v>39</v>
      </c>
      <c r="D431" t="s">
        <v>41</v>
      </c>
      <c r="E431">
        <v>2000707771</v>
      </c>
      <c r="F431">
        <v>1036</v>
      </c>
      <c r="G431">
        <v>271</v>
      </c>
      <c r="H431">
        <v>0</v>
      </c>
      <c r="I431" t="s">
        <v>696</v>
      </c>
      <c r="J431" t="s">
        <v>170</v>
      </c>
      <c r="K431" t="s">
        <v>732</v>
      </c>
      <c r="O431">
        <v>0</v>
      </c>
      <c r="U431" t="s">
        <v>81</v>
      </c>
    </row>
    <row r="432" spans="1:21" x14ac:dyDescent="0.25">
      <c r="A432" s="33">
        <v>431</v>
      </c>
      <c r="B432" s="24">
        <v>44205</v>
      </c>
      <c r="C432" t="s">
        <v>39</v>
      </c>
      <c r="D432" t="s">
        <v>51</v>
      </c>
      <c r="E432">
        <v>2000706604</v>
      </c>
      <c r="F432">
        <v>450</v>
      </c>
      <c r="G432">
        <v>160</v>
      </c>
      <c r="H432">
        <v>0</v>
      </c>
      <c r="I432" t="s">
        <v>706</v>
      </c>
      <c r="J432" t="s">
        <v>673</v>
      </c>
      <c r="K432" t="s">
        <v>674</v>
      </c>
      <c r="O432">
        <v>0</v>
      </c>
      <c r="U432" t="s">
        <v>81</v>
      </c>
    </row>
    <row r="433" spans="1:21" x14ac:dyDescent="0.25">
      <c r="A433" s="33">
        <v>432</v>
      </c>
      <c r="B433" s="24">
        <v>44205</v>
      </c>
      <c r="C433" t="s">
        <v>39</v>
      </c>
      <c r="D433" t="s">
        <v>51</v>
      </c>
      <c r="E433">
        <v>2000707122</v>
      </c>
      <c r="F433">
        <v>600</v>
      </c>
      <c r="G433">
        <v>150</v>
      </c>
      <c r="H433">
        <v>0</v>
      </c>
      <c r="I433" t="s">
        <v>706</v>
      </c>
      <c r="J433" t="s">
        <v>673</v>
      </c>
      <c r="K433" t="s">
        <v>672</v>
      </c>
      <c r="O433">
        <v>0</v>
      </c>
      <c r="U433" t="s">
        <v>81</v>
      </c>
    </row>
    <row r="434" spans="1:21" x14ac:dyDescent="0.25">
      <c r="A434" s="33">
        <v>433</v>
      </c>
      <c r="B434" s="24">
        <v>44205</v>
      </c>
      <c r="C434" t="s">
        <v>39</v>
      </c>
      <c r="D434" t="s">
        <v>51</v>
      </c>
      <c r="E434">
        <v>2000707420</v>
      </c>
      <c r="F434">
        <v>300</v>
      </c>
      <c r="G434">
        <v>100</v>
      </c>
      <c r="H434">
        <v>0</v>
      </c>
      <c r="I434" t="s">
        <v>706</v>
      </c>
      <c r="J434" t="s">
        <v>669</v>
      </c>
      <c r="K434" t="s">
        <v>707</v>
      </c>
      <c r="O434">
        <v>0</v>
      </c>
      <c r="U434" t="s">
        <v>81</v>
      </c>
    </row>
    <row r="435" spans="1:21" x14ac:dyDescent="0.25">
      <c r="A435" s="33">
        <v>434</v>
      </c>
      <c r="B435" s="24">
        <v>44205</v>
      </c>
      <c r="C435" t="s">
        <v>39</v>
      </c>
      <c r="D435" t="s">
        <v>51</v>
      </c>
      <c r="E435">
        <v>2000707405</v>
      </c>
      <c r="F435">
        <v>650</v>
      </c>
      <c r="G435">
        <v>140</v>
      </c>
      <c r="H435">
        <v>0</v>
      </c>
      <c r="I435" t="s">
        <v>706</v>
      </c>
      <c r="J435" t="s">
        <v>667</v>
      </c>
      <c r="K435" t="s">
        <v>671</v>
      </c>
      <c r="O435">
        <v>0</v>
      </c>
      <c r="U435" t="s">
        <v>81</v>
      </c>
    </row>
    <row r="436" spans="1:21" x14ac:dyDescent="0.25">
      <c r="A436" s="33">
        <v>435</v>
      </c>
      <c r="B436" s="24">
        <v>44205</v>
      </c>
      <c r="C436" t="s">
        <v>39</v>
      </c>
      <c r="D436" t="s">
        <v>51</v>
      </c>
      <c r="E436">
        <v>2000707681</v>
      </c>
      <c r="F436">
        <v>501</v>
      </c>
      <c r="G436">
        <v>96</v>
      </c>
      <c r="H436">
        <v>0</v>
      </c>
      <c r="I436" t="s">
        <v>706</v>
      </c>
      <c r="J436" t="s">
        <v>709</v>
      </c>
      <c r="K436" t="s">
        <v>710</v>
      </c>
      <c r="O436">
        <v>0</v>
      </c>
      <c r="U436" t="s">
        <v>81</v>
      </c>
    </row>
    <row r="437" spans="1:21" x14ac:dyDescent="0.25">
      <c r="A437" s="33">
        <v>436</v>
      </c>
      <c r="B437" s="24">
        <v>44205</v>
      </c>
      <c r="C437" t="s">
        <v>39</v>
      </c>
      <c r="D437" t="s">
        <v>51</v>
      </c>
      <c r="E437">
        <v>2000707401</v>
      </c>
      <c r="F437">
        <v>170</v>
      </c>
      <c r="G437">
        <v>60</v>
      </c>
      <c r="H437">
        <v>0</v>
      </c>
      <c r="I437" t="s">
        <v>706</v>
      </c>
      <c r="J437" t="s">
        <v>669</v>
      </c>
      <c r="K437" t="s">
        <v>741</v>
      </c>
      <c r="O437">
        <v>0</v>
      </c>
      <c r="U437" t="s">
        <v>81</v>
      </c>
    </row>
    <row r="438" spans="1:21" x14ac:dyDescent="0.25">
      <c r="A438" s="33">
        <v>437</v>
      </c>
      <c r="B438" s="24">
        <v>44205</v>
      </c>
      <c r="C438" t="s">
        <v>39</v>
      </c>
      <c r="D438" t="s">
        <v>51</v>
      </c>
      <c r="E438">
        <v>2000706941</v>
      </c>
      <c r="F438">
        <v>360</v>
      </c>
      <c r="G438">
        <v>270</v>
      </c>
      <c r="H438">
        <v>0</v>
      </c>
      <c r="I438" t="s">
        <v>706</v>
      </c>
      <c r="J438" t="s">
        <v>770</v>
      </c>
      <c r="K438" t="s">
        <v>777</v>
      </c>
      <c r="O438">
        <v>0</v>
      </c>
      <c r="U438" t="s">
        <v>81</v>
      </c>
    </row>
    <row r="439" spans="1:21" x14ac:dyDescent="0.25">
      <c r="A439" s="33">
        <v>438</v>
      </c>
      <c r="B439" s="24">
        <v>44205</v>
      </c>
      <c r="C439" t="s">
        <v>39</v>
      </c>
      <c r="D439" t="s">
        <v>51</v>
      </c>
      <c r="E439">
        <v>2000706935</v>
      </c>
      <c r="F439">
        <v>450</v>
      </c>
      <c r="G439">
        <v>80</v>
      </c>
      <c r="H439">
        <v>0</v>
      </c>
      <c r="I439" t="s">
        <v>706</v>
      </c>
      <c r="J439" t="s">
        <v>673</v>
      </c>
      <c r="K439" t="s">
        <v>674</v>
      </c>
      <c r="O439">
        <v>0</v>
      </c>
      <c r="U439" t="s">
        <v>81</v>
      </c>
    </row>
    <row r="440" spans="1:21" x14ac:dyDescent="0.25">
      <c r="A440" s="33">
        <v>439</v>
      </c>
      <c r="B440" s="24">
        <v>44205</v>
      </c>
      <c r="C440" t="s">
        <v>39</v>
      </c>
      <c r="D440" t="s">
        <v>51</v>
      </c>
      <c r="E440">
        <v>2000707688</v>
      </c>
      <c r="F440">
        <v>81</v>
      </c>
      <c r="G440">
        <v>40</v>
      </c>
      <c r="H440">
        <v>0</v>
      </c>
      <c r="I440" t="s">
        <v>706</v>
      </c>
      <c r="J440" t="s">
        <v>673</v>
      </c>
      <c r="K440" t="s">
        <v>791</v>
      </c>
      <c r="O440">
        <v>0</v>
      </c>
      <c r="U440" t="s">
        <v>81</v>
      </c>
    </row>
    <row r="441" spans="1:21" x14ac:dyDescent="0.25">
      <c r="A441" s="33">
        <v>440</v>
      </c>
      <c r="B441" s="24">
        <v>44205</v>
      </c>
      <c r="C441" t="s">
        <v>181</v>
      </c>
      <c r="D441" t="s">
        <v>41</v>
      </c>
      <c r="E441">
        <v>2000707222</v>
      </c>
      <c r="F441">
        <v>1850</v>
      </c>
      <c r="G441">
        <v>40</v>
      </c>
      <c r="H441">
        <v>0</v>
      </c>
      <c r="I441" t="s">
        <v>665</v>
      </c>
      <c r="J441" t="s">
        <v>174</v>
      </c>
      <c r="K441" t="s">
        <v>177</v>
      </c>
      <c r="O441">
        <v>0</v>
      </c>
      <c r="U441" t="s">
        <v>81</v>
      </c>
    </row>
    <row r="442" spans="1:21" x14ac:dyDescent="0.25">
      <c r="A442" s="33">
        <v>441</v>
      </c>
      <c r="B442" s="24">
        <v>44205</v>
      </c>
      <c r="C442" t="s">
        <v>181</v>
      </c>
      <c r="D442" t="s">
        <v>41</v>
      </c>
      <c r="E442">
        <v>2000708365</v>
      </c>
      <c r="F442">
        <v>600</v>
      </c>
      <c r="G442">
        <v>160</v>
      </c>
      <c r="H442">
        <v>0</v>
      </c>
      <c r="I442" t="s">
        <v>665</v>
      </c>
      <c r="J442" t="s">
        <v>174</v>
      </c>
      <c r="K442" t="s">
        <v>792</v>
      </c>
      <c r="O442">
        <v>0</v>
      </c>
      <c r="U442" t="s">
        <v>81</v>
      </c>
    </row>
    <row r="443" spans="1:21" x14ac:dyDescent="0.25">
      <c r="A443" s="33">
        <v>442</v>
      </c>
      <c r="B443" s="24">
        <v>44205</v>
      </c>
      <c r="C443" t="s">
        <v>181</v>
      </c>
      <c r="D443" t="s">
        <v>41</v>
      </c>
      <c r="E443">
        <v>2000708561</v>
      </c>
      <c r="F443">
        <v>60</v>
      </c>
      <c r="G443">
        <v>30</v>
      </c>
      <c r="H443">
        <v>0</v>
      </c>
      <c r="I443" t="s">
        <v>168</v>
      </c>
      <c r="J443" t="s">
        <v>203</v>
      </c>
      <c r="K443" t="s">
        <v>793</v>
      </c>
      <c r="O443">
        <v>0</v>
      </c>
      <c r="U443" t="s">
        <v>81</v>
      </c>
    </row>
    <row r="444" spans="1:21" x14ac:dyDescent="0.25">
      <c r="A444" s="33">
        <v>443</v>
      </c>
      <c r="B444" s="24">
        <v>44205</v>
      </c>
      <c r="C444" t="s">
        <v>181</v>
      </c>
      <c r="D444" t="s">
        <v>41</v>
      </c>
      <c r="E444">
        <v>2000708562</v>
      </c>
      <c r="F444">
        <v>510</v>
      </c>
      <c r="G444">
        <v>60</v>
      </c>
      <c r="H444">
        <v>0</v>
      </c>
      <c r="I444" t="s">
        <v>168</v>
      </c>
      <c r="J444" t="s">
        <v>203</v>
      </c>
      <c r="K444" t="s">
        <v>768</v>
      </c>
      <c r="O444">
        <v>0</v>
      </c>
      <c r="U444" t="s">
        <v>81</v>
      </c>
    </row>
    <row r="445" spans="1:21" x14ac:dyDescent="0.25">
      <c r="A445" s="33">
        <v>444</v>
      </c>
      <c r="B445" s="24">
        <v>44205</v>
      </c>
      <c r="C445" t="s">
        <v>181</v>
      </c>
      <c r="D445" t="s">
        <v>41</v>
      </c>
      <c r="E445">
        <v>2000706898</v>
      </c>
      <c r="F445">
        <v>1200</v>
      </c>
      <c r="G445">
        <v>150</v>
      </c>
      <c r="H445">
        <v>0</v>
      </c>
      <c r="I445" t="s">
        <v>201</v>
      </c>
      <c r="J445" t="s">
        <v>195</v>
      </c>
      <c r="K445" t="s">
        <v>210</v>
      </c>
      <c r="O445">
        <v>0</v>
      </c>
      <c r="U445" t="s">
        <v>81</v>
      </c>
    </row>
    <row r="446" spans="1:21" x14ac:dyDescent="0.25">
      <c r="A446" s="33">
        <v>445</v>
      </c>
      <c r="B446" s="24">
        <v>44205</v>
      </c>
      <c r="C446" t="s">
        <v>181</v>
      </c>
      <c r="D446" t="s">
        <v>41</v>
      </c>
      <c r="E446">
        <v>2000708017</v>
      </c>
      <c r="F446">
        <v>4600</v>
      </c>
      <c r="G446">
        <v>200</v>
      </c>
      <c r="H446">
        <v>0</v>
      </c>
      <c r="I446" t="s">
        <v>201</v>
      </c>
      <c r="J446" t="s">
        <v>200</v>
      </c>
      <c r="K446" t="s">
        <v>653</v>
      </c>
      <c r="O446">
        <v>0</v>
      </c>
      <c r="U446" t="s">
        <v>81</v>
      </c>
    </row>
    <row r="447" spans="1:21" x14ac:dyDescent="0.25">
      <c r="A447" s="33">
        <v>446</v>
      </c>
      <c r="B447" s="24">
        <v>44205</v>
      </c>
      <c r="C447" t="s">
        <v>181</v>
      </c>
      <c r="D447" t="s">
        <v>41</v>
      </c>
      <c r="E447">
        <v>2000708451</v>
      </c>
      <c r="F447">
        <v>2070</v>
      </c>
      <c r="G447">
        <v>150</v>
      </c>
      <c r="H447">
        <v>0</v>
      </c>
      <c r="I447" t="s">
        <v>201</v>
      </c>
      <c r="J447" t="s">
        <v>200</v>
      </c>
      <c r="K447" t="s">
        <v>737</v>
      </c>
      <c r="O447">
        <v>0</v>
      </c>
      <c r="U447" t="s">
        <v>81</v>
      </c>
    </row>
    <row r="448" spans="1:21" x14ac:dyDescent="0.25">
      <c r="A448" s="33">
        <v>447</v>
      </c>
      <c r="B448" s="24">
        <v>44205</v>
      </c>
      <c r="C448" t="s">
        <v>181</v>
      </c>
      <c r="D448" t="s">
        <v>41</v>
      </c>
      <c r="E448">
        <v>2000708560</v>
      </c>
      <c r="F448">
        <v>3144</v>
      </c>
      <c r="G448">
        <v>300</v>
      </c>
      <c r="H448">
        <v>0</v>
      </c>
      <c r="I448" t="s">
        <v>201</v>
      </c>
      <c r="J448" t="s">
        <v>172</v>
      </c>
      <c r="K448" t="s">
        <v>729</v>
      </c>
      <c r="O448">
        <v>0</v>
      </c>
      <c r="U448" t="s">
        <v>81</v>
      </c>
    </row>
    <row r="449" spans="1:21" x14ac:dyDescent="0.25">
      <c r="A449" s="33">
        <v>448</v>
      </c>
      <c r="B449" s="24">
        <v>44205</v>
      </c>
      <c r="C449" t="s">
        <v>181</v>
      </c>
      <c r="D449" t="s">
        <v>41</v>
      </c>
      <c r="E449">
        <v>2000706759</v>
      </c>
      <c r="F449">
        <v>3600</v>
      </c>
      <c r="G449">
        <v>200</v>
      </c>
      <c r="H449">
        <v>0</v>
      </c>
      <c r="I449" t="s">
        <v>201</v>
      </c>
      <c r="J449" t="s">
        <v>645</v>
      </c>
      <c r="K449" t="s">
        <v>659</v>
      </c>
      <c r="O449">
        <v>0</v>
      </c>
      <c r="U449" t="s">
        <v>81</v>
      </c>
    </row>
    <row r="450" spans="1:21" x14ac:dyDescent="0.25">
      <c r="A450" s="33">
        <v>449</v>
      </c>
      <c r="B450" s="24">
        <v>44205</v>
      </c>
      <c r="C450" t="s">
        <v>181</v>
      </c>
      <c r="D450" t="s">
        <v>41</v>
      </c>
      <c r="E450">
        <v>2000708377</v>
      </c>
      <c r="F450">
        <v>2000</v>
      </c>
      <c r="G450">
        <v>200</v>
      </c>
      <c r="H450">
        <v>0</v>
      </c>
      <c r="I450" t="s">
        <v>201</v>
      </c>
      <c r="J450" t="s">
        <v>193</v>
      </c>
      <c r="K450" t="s">
        <v>686</v>
      </c>
      <c r="O450">
        <v>0</v>
      </c>
      <c r="U450" t="s">
        <v>81</v>
      </c>
    </row>
    <row r="451" spans="1:21" ht="30" x14ac:dyDescent="0.25">
      <c r="A451" s="33">
        <v>450</v>
      </c>
      <c r="B451" s="24">
        <v>44205</v>
      </c>
      <c r="C451" t="s">
        <v>181</v>
      </c>
      <c r="D451" t="s">
        <v>41</v>
      </c>
      <c r="E451">
        <v>2000707976</v>
      </c>
      <c r="F451">
        <v>1000</v>
      </c>
      <c r="G451">
        <v>200</v>
      </c>
      <c r="H451">
        <v>0</v>
      </c>
      <c r="I451" t="s">
        <v>201</v>
      </c>
      <c r="J451" t="s">
        <v>645</v>
      </c>
      <c r="K451" t="s">
        <v>727</v>
      </c>
      <c r="O451">
        <v>0</v>
      </c>
      <c r="T451" s="62" t="s">
        <v>723</v>
      </c>
      <c r="U451" t="s">
        <v>81</v>
      </c>
    </row>
    <row r="452" spans="1:21" x14ac:dyDescent="0.25">
      <c r="A452" s="33">
        <v>451</v>
      </c>
      <c r="B452" s="24">
        <v>44205</v>
      </c>
      <c r="C452" t="s">
        <v>181</v>
      </c>
      <c r="D452" t="s">
        <v>41</v>
      </c>
      <c r="E452">
        <v>2000707978</v>
      </c>
      <c r="F452">
        <v>1000</v>
      </c>
      <c r="G452">
        <v>150</v>
      </c>
      <c r="H452">
        <v>0</v>
      </c>
      <c r="I452" t="s">
        <v>201</v>
      </c>
      <c r="J452" t="s">
        <v>645</v>
      </c>
      <c r="K452" t="s">
        <v>736</v>
      </c>
      <c r="O452">
        <v>0</v>
      </c>
      <c r="U452" t="s">
        <v>81</v>
      </c>
    </row>
    <row r="453" spans="1:21" x14ac:dyDescent="0.25">
      <c r="A453" s="33">
        <v>452</v>
      </c>
      <c r="B453" s="24">
        <v>44205</v>
      </c>
      <c r="C453" t="s">
        <v>181</v>
      </c>
      <c r="D453" t="s">
        <v>41</v>
      </c>
      <c r="E453">
        <v>2000704810</v>
      </c>
      <c r="F453">
        <v>1350</v>
      </c>
      <c r="G453">
        <v>21</v>
      </c>
      <c r="H453">
        <v>0</v>
      </c>
      <c r="I453" t="s">
        <v>661</v>
      </c>
      <c r="J453" t="s">
        <v>698</v>
      </c>
      <c r="K453" t="s">
        <v>786</v>
      </c>
      <c r="O453">
        <v>0</v>
      </c>
      <c r="U453" t="s">
        <v>81</v>
      </c>
    </row>
    <row r="454" spans="1:21" x14ac:dyDescent="0.25">
      <c r="A454" s="33">
        <v>453</v>
      </c>
      <c r="B454" s="24">
        <v>44205</v>
      </c>
      <c r="C454" t="s">
        <v>181</v>
      </c>
      <c r="D454" t="s">
        <v>41</v>
      </c>
      <c r="E454">
        <v>2000706633</v>
      </c>
      <c r="F454">
        <v>2120</v>
      </c>
      <c r="G454">
        <v>125</v>
      </c>
      <c r="H454">
        <v>0</v>
      </c>
      <c r="I454" t="s">
        <v>661</v>
      </c>
      <c r="J454" t="s">
        <v>174</v>
      </c>
      <c r="K454" t="s">
        <v>774</v>
      </c>
      <c r="O454">
        <v>0</v>
      </c>
      <c r="U454" t="s">
        <v>81</v>
      </c>
    </row>
    <row r="455" spans="1:21" x14ac:dyDescent="0.25">
      <c r="A455" s="33">
        <v>454</v>
      </c>
      <c r="B455" s="24">
        <v>44205</v>
      </c>
      <c r="C455" t="s">
        <v>181</v>
      </c>
      <c r="D455" t="s">
        <v>41</v>
      </c>
      <c r="E455">
        <v>2000705984</v>
      </c>
      <c r="F455">
        <v>2120</v>
      </c>
      <c r="G455">
        <v>5</v>
      </c>
      <c r="H455">
        <v>0</v>
      </c>
      <c r="I455" t="s">
        <v>661</v>
      </c>
      <c r="J455" t="s">
        <v>174</v>
      </c>
      <c r="K455" t="s">
        <v>774</v>
      </c>
      <c r="O455">
        <v>0</v>
      </c>
      <c r="U455" t="s">
        <v>81</v>
      </c>
    </row>
    <row r="456" spans="1:21" x14ac:dyDescent="0.25">
      <c r="A456" s="33">
        <v>455</v>
      </c>
      <c r="B456" s="24">
        <v>44205</v>
      </c>
      <c r="C456" t="s">
        <v>181</v>
      </c>
      <c r="D456" t="s">
        <v>41</v>
      </c>
      <c r="E456">
        <v>2000707772</v>
      </c>
      <c r="F456">
        <v>910</v>
      </c>
      <c r="G456">
        <v>406</v>
      </c>
      <c r="H456">
        <v>0</v>
      </c>
      <c r="I456" t="s">
        <v>661</v>
      </c>
      <c r="J456" t="s">
        <v>170</v>
      </c>
      <c r="K456" t="s">
        <v>697</v>
      </c>
      <c r="O456">
        <v>0</v>
      </c>
      <c r="U456" t="s">
        <v>81</v>
      </c>
    </row>
    <row r="457" spans="1:21" x14ac:dyDescent="0.25">
      <c r="A457" s="33">
        <v>456</v>
      </c>
      <c r="B457" s="24">
        <v>44205</v>
      </c>
      <c r="C457" t="s">
        <v>181</v>
      </c>
      <c r="D457" t="s">
        <v>41</v>
      </c>
      <c r="E457">
        <v>2000707222</v>
      </c>
      <c r="F457">
        <v>1850</v>
      </c>
      <c r="G457">
        <v>40</v>
      </c>
      <c r="H457">
        <v>0</v>
      </c>
      <c r="I457" t="s">
        <v>661</v>
      </c>
      <c r="J457" t="s">
        <v>174</v>
      </c>
      <c r="K457" t="s">
        <v>177</v>
      </c>
      <c r="O457">
        <v>0</v>
      </c>
      <c r="U457" t="s">
        <v>81</v>
      </c>
    </row>
    <row r="458" spans="1:21" x14ac:dyDescent="0.25">
      <c r="A458" s="33">
        <v>457</v>
      </c>
      <c r="B458" s="24">
        <v>44205</v>
      </c>
      <c r="C458" t="s">
        <v>181</v>
      </c>
      <c r="D458" t="s">
        <v>41</v>
      </c>
      <c r="E458">
        <v>2000706635</v>
      </c>
      <c r="F458">
        <v>1080</v>
      </c>
      <c r="G458">
        <v>45</v>
      </c>
      <c r="H458">
        <v>0</v>
      </c>
      <c r="I458" t="s">
        <v>661</v>
      </c>
      <c r="J458" t="s">
        <v>170</v>
      </c>
      <c r="K458" t="s">
        <v>794</v>
      </c>
      <c r="O458">
        <v>0</v>
      </c>
      <c r="U458" t="s">
        <v>81</v>
      </c>
    </row>
    <row r="459" spans="1:21" x14ac:dyDescent="0.25">
      <c r="A459" s="33">
        <v>458</v>
      </c>
      <c r="B459" s="24">
        <v>44205</v>
      </c>
      <c r="C459" t="s">
        <v>181</v>
      </c>
      <c r="D459" t="s">
        <v>41</v>
      </c>
      <c r="E459">
        <v>2000707770</v>
      </c>
      <c r="F459">
        <v>990</v>
      </c>
      <c r="G459">
        <v>30</v>
      </c>
      <c r="H459">
        <v>0</v>
      </c>
      <c r="I459" t="s">
        <v>661</v>
      </c>
      <c r="J459" t="s">
        <v>170</v>
      </c>
      <c r="K459" t="s">
        <v>171</v>
      </c>
      <c r="O459">
        <v>0</v>
      </c>
      <c r="U459" t="s">
        <v>81</v>
      </c>
    </row>
    <row r="460" spans="1:21" x14ac:dyDescent="0.25">
      <c r="A460" s="33">
        <v>459</v>
      </c>
      <c r="B460" s="24">
        <v>44205</v>
      </c>
      <c r="C460" t="s">
        <v>181</v>
      </c>
      <c r="D460" t="s">
        <v>41</v>
      </c>
      <c r="E460">
        <v>2000708381</v>
      </c>
      <c r="F460">
        <v>540</v>
      </c>
      <c r="G460">
        <v>270</v>
      </c>
      <c r="H460">
        <v>0</v>
      </c>
      <c r="I460" t="s">
        <v>194</v>
      </c>
      <c r="J460" t="s">
        <v>203</v>
      </c>
      <c r="K460" t="s">
        <v>638</v>
      </c>
      <c r="O460">
        <v>0</v>
      </c>
      <c r="U460" t="s">
        <v>81</v>
      </c>
    </row>
    <row r="461" spans="1:21" x14ac:dyDescent="0.25">
      <c r="A461" s="33">
        <v>460</v>
      </c>
      <c r="B461" s="24">
        <v>44205</v>
      </c>
      <c r="C461" t="s">
        <v>181</v>
      </c>
      <c r="D461" t="s">
        <v>41</v>
      </c>
      <c r="E461">
        <v>2000696952</v>
      </c>
      <c r="F461">
        <v>370</v>
      </c>
      <c r="G461">
        <v>2</v>
      </c>
      <c r="H461">
        <v>0</v>
      </c>
      <c r="I461" t="s">
        <v>194</v>
      </c>
      <c r="J461" t="s">
        <v>203</v>
      </c>
      <c r="K461" t="s">
        <v>793</v>
      </c>
      <c r="O461">
        <v>0</v>
      </c>
      <c r="U461" t="s">
        <v>81</v>
      </c>
    </row>
    <row r="462" spans="1:21" x14ac:dyDescent="0.25">
      <c r="A462" s="33">
        <v>461</v>
      </c>
      <c r="B462" s="24">
        <v>44205</v>
      </c>
      <c r="C462" t="s">
        <v>181</v>
      </c>
      <c r="D462" t="s">
        <v>41</v>
      </c>
      <c r="E462">
        <v>2000708561</v>
      </c>
      <c r="F462">
        <v>60</v>
      </c>
      <c r="G462">
        <v>30</v>
      </c>
      <c r="H462">
        <v>0</v>
      </c>
      <c r="I462" t="s">
        <v>194</v>
      </c>
      <c r="J462" t="s">
        <v>203</v>
      </c>
      <c r="K462" t="s">
        <v>793</v>
      </c>
      <c r="O462">
        <v>0</v>
      </c>
      <c r="U462" t="s">
        <v>81</v>
      </c>
    </row>
    <row r="463" spans="1:21" x14ac:dyDescent="0.25">
      <c r="A463" s="33">
        <v>462</v>
      </c>
      <c r="B463" s="24">
        <v>44205</v>
      </c>
      <c r="C463" t="s">
        <v>181</v>
      </c>
      <c r="D463" t="s">
        <v>41</v>
      </c>
      <c r="E463">
        <v>2000708556</v>
      </c>
      <c r="F463">
        <v>56</v>
      </c>
      <c r="G463">
        <v>46</v>
      </c>
      <c r="H463">
        <v>0</v>
      </c>
      <c r="I463" t="s">
        <v>194</v>
      </c>
      <c r="J463" t="s">
        <v>796</v>
      </c>
      <c r="K463" t="s">
        <v>797</v>
      </c>
      <c r="O463">
        <v>0</v>
      </c>
      <c r="U463" t="s">
        <v>81</v>
      </c>
    </row>
    <row r="464" spans="1:21" x14ac:dyDescent="0.25">
      <c r="A464" s="33">
        <v>463</v>
      </c>
      <c r="B464" s="24">
        <v>44205</v>
      </c>
      <c r="C464" t="s">
        <v>181</v>
      </c>
      <c r="D464" t="s">
        <v>41</v>
      </c>
      <c r="E464">
        <v>2000706635</v>
      </c>
      <c r="F464">
        <v>1080</v>
      </c>
      <c r="G464">
        <v>75</v>
      </c>
      <c r="H464">
        <v>0</v>
      </c>
      <c r="I464" t="s">
        <v>194</v>
      </c>
      <c r="J464" t="s">
        <v>170</v>
      </c>
      <c r="K464" t="s">
        <v>795</v>
      </c>
      <c r="O464">
        <v>0</v>
      </c>
      <c r="U464" t="s">
        <v>81</v>
      </c>
    </row>
    <row r="465" spans="1:21" x14ac:dyDescent="0.25">
      <c r="A465" s="33">
        <v>464</v>
      </c>
      <c r="B465" s="24">
        <v>44205</v>
      </c>
      <c r="C465" t="s">
        <v>181</v>
      </c>
      <c r="D465" t="s">
        <v>41</v>
      </c>
      <c r="E465">
        <v>2000707771</v>
      </c>
      <c r="F465">
        <v>1036</v>
      </c>
      <c r="G465">
        <v>45</v>
      </c>
      <c r="H465">
        <v>0</v>
      </c>
      <c r="I465" t="s">
        <v>178</v>
      </c>
      <c r="J465" t="s">
        <v>170</v>
      </c>
      <c r="K465" t="s">
        <v>732</v>
      </c>
      <c r="O465">
        <v>0</v>
      </c>
      <c r="U465" t="s">
        <v>81</v>
      </c>
    </row>
    <row r="466" spans="1:21" x14ac:dyDescent="0.25">
      <c r="A466" s="33">
        <v>465</v>
      </c>
      <c r="B466" s="24">
        <v>44205</v>
      </c>
      <c r="C466" t="s">
        <v>181</v>
      </c>
      <c r="D466" t="s">
        <v>41</v>
      </c>
      <c r="E466">
        <v>2000707772</v>
      </c>
      <c r="F466">
        <v>910</v>
      </c>
      <c r="G466">
        <v>225</v>
      </c>
      <c r="H466">
        <v>0</v>
      </c>
      <c r="I466" t="s">
        <v>178</v>
      </c>
      <c r="J466" t="s">
        <v>170</v>
      </c>
      <c r="K466" t="s">
        <v>697</v>
      </c>
      <c r="O466">
        <v>0</v>
      </c>
      <c r="U466" t="s">
        <v>81</v>
      </c>
    </row>
    <row r="467" spans="1:21" x14ac:dyDescent="0.25">
      <c r="A467" s="33">
        <v>466</v>
      </c>
      <c r="B467" s="24">
        <v>44205</v>
      </c>
      <c r="C467" t="s">
        <v>181</v>
      </c>
      <c r="D467" t="s">
        <v>41</v>
      </c>
      <c r="E467">
        <v>2000706635</v>
      </c>
      <c r="F467">
        <v>1080</v>
      </c>
      <c r="G467">
        <v>405</v>
      </c>
      <c r="H467">
        <v>0</v>
      </c>
      <c r="I467" t="s">
        <v>178</v>
      </c>
      <c r="J467" t="s">
        <v>170</v>
      </c>
      <c r="K467" t="s">
        <v>171</v>
      </c>
      <c r="O467">
        <v>0</v>
      </c>
      <c r="U467" t="s">
        <v>81</v>
      </c>
    </row>
    <row r="468" spans="1:21" x14ac:dyDescent="0.25">
      <c r="A468" s="33">
        <v>467</v>
      </c>
      <c r="B468" s="24">
        <v>44205</v>
      </c>
      <c r="C468" t="s">
        <v>181</v>
      </c>
      <c r="D468" t="s">
        <v>41</v>
      </c>
      <c r="E468">
        <v>2000706264</v>
      </c>
      <c r="F468">
        <v>544</v>
      </c>
      <c r="G468">
        <v>40</v>
      </c>
      <c r="H468">
        <v>0</v>
      </c>
      <c r="I468" t="s">
        <v>178</v>
      </c>
      <c r="J468" t="s">
        <v>174</v>
      </c>
      <c r="K468" t="s">
        <v>205</v>
      </c>
      <c r="O468">
        <v>0</v>
      </c>
      <c r="U468" t="s">
        <v>81</v>
      </c>
    </row>
    <row r="469" spans="1:21" x14ac:dyDescent="0.25">
      <c r="A469" s="33">
        <v>468</v>
      </c>
      <c r="B469" s="24">
        <v>44205</v>
      </c>
      <c r="C469" t="s">
        <v>181</v>
      </c>
      <c r="D469" t="s">
        <v>41</v>
      </c>
      <c r="E469">
        <v>2000708562</v>
      </c>
      <c r="F469">
        <v>570</v>
      </c>
      <c r="G469">
        <v>30</v>
      </c>
      <c r="H469">
        <v>1</v>
      </c>
      <c r="I469" t="s">
        <v>178</v>
      </c>
      <c r="J469" t="s">
        <v>203</v>
      </c>
      <c r="K469" t="s">
        <v>768</v>
      </c>
      <c r="L469" t="s">
        <v>87</v>
      </c>
      <c r="N469" t="s">
        <v>798</v>
      </c>
      <c r="O469">
        <v>1</v>
      </c>
      <c r="P469" t="s">
        <v>799</v>
      </c>
      <c r="Q469" t="s">
        <v>800</v>
      </c>
      <c r="R469">
        <v>41100115902</v>
      </c>
      <c r="S469" s="36">
        <v>0.3125</v>
      </c>
      <c r="U469" t="s">
        <v>81</v>
      </c>
    </row>
    <row r="470" spans="1:21" x14ac:dyDescent="0.25">
      <c r="A470" s="33">
        <v>469</v>
      </c>
      <c r="B470" s="24">
        <v>44205</v>
      </c>
      <c r="C470" t="s">
        <v>181</v>
      </c>
      <c r="D470" t="s">
        <v>41</v>
      </c>
      <c r="E470">
        <v>2000708036</v>
      </c>
      <c r="F470">
        <v>640</v>
      </c>
      <c r="G470">
        <v>237</v>
      </c>
      <c r="H470">
        <v>0</v>
      </c>
      <c r="I470" t="s">
        <v>191</v>
      </c>
      <c r="J470" t="s">
        <v>174</v>
      </c>
      <c r="K470" t="s">
        <v>695</v>
      </c>
      <c r="O470">
        <v>0</v>
      </c>
      <c r="U470" t="s">
        <v>81</v>
      </c>
    </row>
    <row r="471" spans="1:21" x14ac:dyDescent="0.25">
      <c r="A471" s="33">
        <v>470</v>
      </c>
      <c r="B471" s="24">
        <v>44205</v>
      </c>
      <c r="C471" t="s">
        <v>181</v>
      </c>
      <c r="D471" t="s">
        <v>41</v>
      </c>
      <c r="E471">
        <v>2000708037</v>
      </c>
      <c r="F471">
        <v>120</v>
      </c>
      <c r="G471">
        <v>119</v>
      </c>
      <c r="H471">
        <v>0</v>
      </c>
      <c r="I471" t="s">
        <v>191</v>
      </c>
      <c r="J471" t="s">
        <v>174</v>
      </c>
      <c r="K471" t="s">
        <v>717</v>
      </c>
      <c r="O471">
        <v>0</v>
      </c>
      <c r="U471" t="s">
        <v>81</v>
      </c>
    </row>
    <row r="472" spans="1:21" x14ac:dyDescent="0.25">
      <c r="A472" s="33">
        <v>471</v>
      </c>
      <c r="B472" s="24">
        <v>44205</v>
      </c>
      <c r="C472" t="s">
        <v>181</v>
      </c>
      <c r="D472" t="s">
        <v>41</v>
      </c>
      <c r="E472">
        <v>2000707222</v>
      </c>
      <c r="F472">
        <v>1850</v>
      </c>
      <c r="G472">
        <v>80</v>
      </c>
      <c r="H472">
        <v>0</v>
      </c>
      <c r="I472" t="s">
        <v>191</v>
      </c>
      <c r="J472" t="s">
        <v>174</v>
      </c>
      <c r="K472" t="s">
        <v>177</v>
      </c>
      <c r="O472">
        <v>0</v>
      </c>
      <c r="U472" t="s">
        <v>81</v>
      </c>
    </row>
    <row r="473" spans="1:21" x14ac:dyDescent="0.25">
      <c r="A473" s="33">
        <v>472</v>
      </c>
      <c r="B473" s="24">
        <v>44205</v>
      </c>
      <c r="C473" t="s">
        <v>181</v>
      </c>
      <c r="D473" t="s">
        <v>41</v>
      </c>
      <c r="E473">
        <v>2000707954</v>
      </c>
      <c r="F473">
        <v>1000</v>
      </c>
      <c r="G473">
        <v>50</v>
      </c>
      <c r="H473">
        <v>0</v>
      </c>
      <c r="I473" t="s">
        <v>666</v>
      </c>
      <c r="J473" t="s">
        <v>172</v>
      </c>
      <c r="K473" t="s">
        <v>724</v>
      </c>
      <c r="O473">
        <v>0</v>
      </c>
      <c r="U473" t="s">
        <v>81</v>
      </c>
    </row>
    <row r="474" spans="1:21" x14ac:dyDescent="0.25">
      <c r="A474" s="33">
        <v>473</v>
      </c>
      <c r="B474" s="24">
        <v>44205</v>
      </c>
      <c r="C474" t="s">
        <v>181</v>
      </c>
      <c r="D474" t="s">
        <v>41</v>
      </c>
      <c r="E474">
        <v>2000707944</v>
      </c>
      <c r="F474">
        <v>240</v>
      </c>
      <c r="G474">
        <v>20</v>
      </c>
      <c r="H474">
        <v>0</v>
      </c>
      <c r="I474" t="s">
        <v>666</v>
      </c>
      <c r="J474" t="s">
        <v>645</v>
      </c>
      <c r="K474" t="s">
        <v>719</v>
      </c>
      <c r="O474">
        <v>0</v>
      </c>
      <c r="U474" t="s">
        <v>81</v>
      </c>
    </row>
    <row r="475" spans="1:21" x14ac:dyDescent="0.25">
      <c r="A475" s="33">
        <v>474</v>
      </c>
      <c r="B475" s="24">
        <v>44205</v>
      </c>
      <c r="C475" t="s">
        <v>181</v>
      </c>
      <c r="D475" t="s">
        <v>41</v>
      </c>
      <c r="E475">
        <v>2000708378</v>
      </c>
      <c r="F475">
        <v>2000</v>
      </c>
      <c r="G475">
        <v>60</v>
      </c>
      <c r="H475">
        <v>0</v>
      </c>
      <c r="I475" t="s">
        <v>666</v>
      </c>
      <c r="J475" t="s">
        <v>193</v>
      </c>
      <c r="K475" t="s">
        <v>647</v>
      </c>
      <c r="O475">
        <v>0</v>
      </c>
      <c r="U475" t="s">
        <v>81</v>
      </c>
    </row>
    <row r="476" spans="1:21" x14ac:dyDescent="0.25">
      <c r="A476" s="33">
        <v>475</v>
      </c>
      <c r="B476" s="24">
        <v>44205</v>
      </c>
      <c r="C476" t="s">
        <v>181</v>
      </c>
      <c r="D476" t="s">
        <v>41</v>
      </c>
      <c r="E476">
        <v>2000708006</v>
      </c>
      <c r="F476">
        <v>3999</v>
      </c>
      <c r="G476">
        <v>240</v>
      </c>
      <c r="H476">
        <v>0</v>
      </c>
      <c r="I476" t="s">
        <v>666</v>
      </c>
      <c r="J476" t="s">
        <v>687</v>
      </c>
      <c r="K476" t="s">
        <v>688</v>
      </c>
      <c r="O476">
        <v>0</v>
      </c>
      <c r="U476" t="s">
        <v>81</v>
      </c>
    </row>
    <row r="477" spans="1:21" x14ac:dyDescent="0.25">
      <c r="A477" s="33">
        <v>476</v>
      </c>
      <c r="B477" s="24">
        <v>44205</v>
      </c>
      <c r="C477" t="s">
        <v>181</v>
      </c>
      <c r="D477" t="s">
        <v>41</v>
      </c>
      <c r="E477">
        <v>2000708617</v>
      </c>
      <c r="F477">
        <v>1200</v>
      </c>
      <c r="G477">
        <v>80</v>
      </c>
      <c r="H477">
        <v>0</v>
      </c>
      <c r="I477" t="s">
        <v>666</v>
      </c>
      <c r="J477" t="s">
        <v>687</v>
      </c>
      <c r="K477" t="s">
        <v>757</v>
      </c>
      <c r="O477">
        <v>0</v>
      </c>
      <c r="U477" t="s">
        <v>81</v>
      </c>
    </row>
    <row r="478" spans="1:21" x14ac:dyDescent="0.25">
      <c r="A478" s="33">
        <v>477</v>
      </c>
      <c r="B478" s="24">
        <v>44205</v>
      </c>
      <c r="C478" t="s">
        <v>181</v>
      </c>
      <c r="D478" t="s">
        <v>41</v>
      </c>
      <c r="E478">
        <v>2000708559</v>
      </c>
      <c r="F478">
        <v>1180</v>
      </c>
      <c r="G478">
        <v>80</v>
      </c>
      <c r="H478">
        <v>0</v>
      </c>
      <c r="I478" t="s">
        <v>666</v>
      </c>
      <c r="J478" t="s">
        <v>175</v>
      </c>
      <c r="K478" t="s">
        <v>758</v>
      </c>
      <c r="O478">
        <v>0</v>
      </c>
      <c r="U478" t="s">
        <v>81</v>
      </c>
    </row>
    <row r="479" spans="1:21" x14ac:dyDescent="0.25">
      <c r="A479" s="33">
        <v>478</v>
      </c>
      <c r="B479" s="24">
        <v>44205</v>
      </c>
      <c r="C479" t="s">
        <v>181</v>
      </c>
      <c r="D479" t="s">
        <v>41</v>
      </c>
      <c r="E479">
        <v>2000708556</v>
      </c>
      <c r="F479">
        <v>56</v>
      </c>
      <c r="G479">
        <v>10</v>
      </c>
      <c r="H479">
        <v>0</v>
      </c>
      <c r="I479" t="s">
        <v>666</v>
      </c>
      <c r="J479" t="s">
        <v>202</v>
      </c>
      <c r="K479" t="s">
        <v>797</v>
      </c>
      <c r="O479">
        <v>0</v>
      </c>
      <c r="U479" t="s">
        <v>81</v>
      </c>
    </row>
    <row r="480" spans="1:21" x14ac:dyDescent="0.25">
      <c r="A480" s="33">
        <v>479</v>
      </c>
      <c r="B480" s="24">
        <v>44205</v>
      </c>
      <c r="C480" t="s">
        <v>181</v>
      </c>
      <c r="D480" t="s">
        <v>41</v>
      </c>
      <c r="E480">
        <v>2000708404</v>
      </c>
      <c r="F480">
        <v>2700</v>
      </c>
      <c r="G480">
        <v>40</v>
      </c>
      <c r="H480">
        <v>0</v>
      </c>
      <c r="I480" t="s">
        <v>666</v>
      </c>
      <c r="J480" t="s">
        <v>172</v>
      </c>
      <c r="K480" t="s">
        <v>692</v>
      </c>
      <c r="O480">
        <v>0</v>
      </c>
      <c r="U480" t="s">
        <v>81</v>
      </c>
    </row>
    <row r="481" spans="1:21" x14ac:dyDescent="0.25">
      <c r="A481" s="33">
        <v>480</v>
      </c>
      <c r="B481" s="24">
        <v>44205</v>
      </c>
      <c r="C481" t="s">
        <v>181</v>
      </c>
      <c r="D481" t="s">
        <v>51</v>
      </c>
      <c r="E481">
        <v>2000707688</v>
      </c>
      <c r="F481">
        <v>81</v>
      </c>
      <c r="G481">
        <v>40</v>
      </c>
      <c r="H481">
        <v>0</v>
      </c>
      <c r="I481" t="s">
        <v>168</v>
      </c>
      <c r="J481" t="s">
        <v>673</v>
      </c>
      <c r="K481" t="s">
        <v>791</v>
      </c>
      <c r="O481">
        <v>0</v>
      </c>
      <c r="U481" t="s">
        <v>81</v>
      </c>
    </row>
    <row r="482" spans="1:21" x14ac:dyDescent="0.25">
      <c r="A482" s="33">
        <v>481</v>
      </c>
      <c r="B482" s="24">
        <v>44205</v>
      </c>
      <c r="C482" t="s">
        <v>181</v>
      </c>
      <c r="D482" t="s">
        <v>51</v>
      </c>
      <c r="E482">
        <v>2000707679</v>
      </c>
      <c r="F482">
        <v>510</v>
      </c>
      <c r="G482">
        <v>90</v>
      </c>
      <c r="H482">
        <v>0</v>
      </c>
      <c r="I482" t="s">
        <v>168</v>
      </c>
      <c r="J482" t="s">
        <v>667</v>
      </c>
      <c r="K482" t="s">
        <v>668</v>
      </c>
      <c r="O482">
        <v>0</v>
      </c>
      <c r="U482" t="s">
        <v>81</v>
      </c>
    </row>
    <row r="483" spans="1:21" x14ac:dyDescent="0.25">
      <c r="A483" s="33">
        <v>482</v>
      </c>
      <c r="B483" s="24">
        <v>44205</v>
      </c>
      <c r="C483" t="s">
        <v>181</v>
      </c>
      <c r="D483" t="s">
        <v>51</v>
      </c>
      <c r="E483">
        <v>2000707676</v>
      </c>
      <c r="F483">
        <v>400</v>
      </c>
      <c r="G483">
        <v>60</v>
      </c>
      <c r="H483">
        <v>0</v>
      </c>
      <c r="I483" t="s">
        <v>168</v>
      </c>
      <c r="J483" t="s">
        <v>669</v>
      </c>
      <c r="K483" t="s">
        <v>707</v>
      </c>
      <c r="O483">
        <v>0</v>
      </c>
      <c r="U483" t="s">
        <v>81</v>
      </c>
    </row>
    <row r="484" spans="1:21" x14ac:dyDescent="0.25">
      <c r="A484" s="33">
        <v>483</v>
      </c>
      <c r="B484" s="24">
        <v>44205</v>
      </c>
      <c r="C484" t="s">
        <v>181</v>
      </c>
      <c r="D484" t="s">
        <v>51</v>
      </c>
      <c r="E484">
        <v>2000707675</v>
      </c>
      <c r="F484">
        <v>60</v>
      </c>
      <c r="G484">
        <v>60</v>
      </c>
      <c r="H484">
        <v>0</v>
      </c>
      <c r="I484" t="s">
        <v>168</v>
      </c>
      <c r="J484" t="s">
        <v>669</v>
      </c>
      <c r="K484" t="s">
        <v>801</v>
      </c>
      <c r="O484">
        <v>0</v>
      </c>
      <c r="U484" t="s">
        <v>81</v>
      </c>
    </row>
    <row r="485" spans="1:21" x14ac:dyDescent="0.25">
      <c r="A485" s="33">
        <v>484</v>
      </c>
      <c r="B485" s="24">
        <v>44205</v>
      </c>
      <c r="C485" t="s">
        <v>181</v>
      </c>
      <c r="D485" t="s">
        <v>51</v>
      </c>
      <c r="E485">
        <v>2000707677</v>
      </c>
      <c r="F485">
        <v>150</v>
      </c>
      <c r="G485">
        <v>30</v>
      </c>
      <c r="H485">
        <v>0</v>
      </c>
      <c r="I485" t="s">
        <v>168</v>
      </c>
      <c r="J485" t="s">
        <v>669</v>
      </c>
      <c r="K485" t="s">
        <v>802</v>
      </c>
      <c r="O485">
        <v>0</v>
      </c>
      <c r="U485" t="s">
        <v>81</v>
      </c>
    </row>
    <row r="486" spans="1:21" x14ac:dyDescent="0.25">
      <c r="A486" s="33">
        <v>485</v>
      </c>
      <c r="B486" s="24">
        <v>44205</v>
      </c>
      <c r="C486" t="s">
        <v>181</v>
      </c>
      <c r="D486" t="s">
        <v>51</v>
      </c>
      <c r="E486">
        <v>2000707406</v>
      </c>
      <c r="F486">
        <v>600</v>
      </c>
      <c r="G486">
        <v>80</v>
      </c>
      <c r="H486">
        <v>0</v>
      </c>
      <c r="I486" t="s">
        <v>168</v>
      </c>
      <c r="J486" t="s">
        <v>673</v>
      </c>
      <c r="K486" t="s">
        <v>672</v>
      </c>
      <c r="O486">
        <v>0</v>
      </c>
      <c r="U486" t="s">
        <v>81</v>
      </c>
    </row>
    <row r="487" spans="1:21" x14ac:dyDescent="0.25">
      <c r="A487" s="33">
        <v>486</v>
      </c>
      <c r="B487" s="24">
        <v>44205</v>
      </c>
      <c r="C487" t="s">
        <v>181</v>
      </c>
      <c r="D487" t="s">
        <v>51</v>
      </c>
      <c r="E487">
        <v>2000707680</v>
      </c>
      <c r="F487">
        <v>650</v>
      </c>
      <c r="G487">
        <v>105</v>
      </c>
      <c r="H487">
        <v>0</v>
      </c>
      <c r="I487" t="s">
        <v>168</v>
      </c>
      <c r="J487" t="s">
        <v>667</v>
      </c>
      <c r="K487" t="s">
        <v>671</v>
      </c>
      <c r="O487">
        <v>0</v>
      </c>
      <c r="U487" t="s">
        <v>81</v>
      </c>
    </row>
    <row r="488" spans="1:21" x14ac:dyDescent="0.25">
      <c r="A488" s="33">
        <v>487</v>
      </c>
      <c r="B488" s="24">
        <v>44205</v>
      </c>
      <c r="C488" t="s">
        <v>181</v>
      </c>
      <c r="D488" t="s">
        <v>51</v>
      </c>
      <c r="E488">
        <v>2000707676</v>
      </c>
      <c r="F488">
        <v>400</v>
      </c>
      <c r="G488">
        <v>140</v>
      </c>
      <c r="H488">
        <v>0</v>
      </c>
      <c r="I488" t="s">
        <v>191</v>
      </c>
      <c r="J488" t="s">
        <v>669</v>
      </c>
      <c r="K488" t="s">
        <v>707</v>
      </c>
      <c r="O488">
        <v>0</v>
      </c>
      <c r="U488" t="s">
        <v>81</v>
      </c>
    </row>
    <row r="489" spans="1:21" x14ac:dyDescent="0.25">
      <c r="A489" s="33">
        <v>488</v>
      </c>
      <c r="B489" s="24">
        <v>44205</v>
      </c>
      <c r="C489" t="s">
        <v>181</v>
      </c>
      <c r="D489" t="s">
        <v>51</v>
      </c>
      <c r="E489">
        <v>2000707678</v>
      </c>
      <c r="F489">
        <v>1000</v>
      </c>
      <c r="G489">
        <v>180</v>
      </c>
      <c r="H489">
        <v>0</v>
      </c>
      <c r="I489" t="s">
        <v>191</v>
      </c>
      <c r="J489" t="s">
        <v>667</v>
      </c>
      <c r="K489" t="s">
        <v>730</v>
      </c>
      <c r="O489">
        <v>0</v>
      </c>
      <c r="U489" t="s">
        <v>81</v>
      </c>
    </row>
    <row r="490" spans="1:21" x14ac:dyDescent="0.25">
      <c r="A490" s="33">
        <v>489</v>
      </c>
      <c r="B490" s="24">
        <v>44207</v>
      </c>
      <c r="C490" t="s">
        <v>39</v>
      </c>
      <c r="D490" t="s">
        <v>41</v>
      </c>
      <c r="E490">
        <v>2000708562</v>
      </c>
      <c r="F490">
        <v>510</v>
      </c>
      <c r="G490">
        <v>150</v>
      </c>
      <c r="H490">
        <v>1</v>
      </c>
      <c r="I490" t="s">
        <v>184</v>
      </c>
      <c r="J490" t="s">
        <v>203</v>
      </c>
      <c r="K490" t="s">
        <v>768</v>
      </c>
      <c r="L490" t="s">
        <v>87</v>
      </c>
      <c r="N490" t="s">
        <v>798</v>
      </c>
      <c r="O490">
        <v>1</v>
      </c>
      <c r="P490" t="s">
        <v>803</v>
      </c>
      <c r="Q490" t="s">
        <v>804</v>
      </c>
      <c r="R490">
        <v>4110015921</v>
      </c>
      <c r="S490" s="36">
        <v>0.64583333333333337</v>
      </c>
      <c r="U490" t="s">
        <v>81</v>
      </c>
    </row>
    <row r="491" spans="1:21" x14ac:dyDescent="0.25">
      <c r="A491" s="33">
        <v>490</v>
      </c>
      <c r="B491" s="24">
        <v>44207</v>
      </c>
      <c r="C491" t="s">
        <v>39</v>
      </c>
      <c r="D491" t="s">
        <v>41</v>
      </c>
      <c r="E491">
        <v>2000708778</v>
      </c>
      <c r="F491">
        <v>856</v>
      </c>
      <c r="G491">
        <v>114</v>
      </c>
      <c r="H491">
        <v>0</v>
      </c>
      <c r="I491" t="s">
        <v>184</v>
      </c>
      <c r="J491" t="s">
        <v>698</v>
      </c>
      <c r="K491" t="s">
        <v>700</v>
      </c>
      <c r="O491">
        <v>0</v>
      </c>
      <c r="U491" t="s">
        <v>81</v>
      </c>
    </row>
    <row r="492" spans="1:21" x14ac:dyDescent="0.25">
      <c r="A492" s="33">
        <v>491</v>
      </c>
      <c r="B492" s="24">
        <v>44207</v>
      </c>
      <c r="C492" t="s">
        <v>39</v>
      </c>
      <c r="D492" t="s">
        <v>41</v>
      </c>
      <c r="E492">
        <v>2000708381</v>
      </c>
      <c r="F492">
        <v>540</v>
      </c>
      <c r="G492">
        <v>60</v>
      </c>
      <c r="H492">
        <v>0</v>
      </c>
      <c r="I492" t="s">
        <v>184</v>
      </c>
      <c r="J492" t="s">
        <v>203</v>
      </c>
      <c r="K492" t="s">
        <v>638</v>
      </c>
      <c r="O492">
        <v>0</v>
      </c>
      <c r="U492" t="s">
        <v>81</v>
      </c>
    </row>
    <row r="493" spans="1:21" x14ac:dyDescent="0.25">
      <c r="A493" s="33">
        <v>492</v>
      </c>
      <c r="B493" s="24">
        <v>44207</v>
      </c>
      <c r="C493" t="s">
        <v>39</v>
      </c>
      <c r="D493" t="s">
        <v>41</v>
      </c>
      <c r="E493">
        <v>2000708688</v>
      </c>
      <c r="F493">
        <v>810</v>
      </c>
      <c r="G493">
        <v>90</v>
      </c>
      <c r="H493">
        <v>0</v>
      </c>
      <c r="I493" t="s">
        <v>184</v>
      </c>
      <c r="J493" t="s">
        <v>203</v>
      </c>
      <c r="K493" t="s">
        <v>638</v>
      </c>
      <c r="O493">
        <v>0</v>
      </c>
      <c r="U493" t="s">
        <v>81</v>
      </c>
    </row>
    <row r="494" spans="1:21" x14ac:dyDescent="0.25">
      <c r="A494" s="33">
        <v>493</v>
      </c>
      <c r="B494" s="24">
        <v>44207</v>
      </c>
      <c r="C494" t="s">
        <v>39</v>
      </c>
      <c r="D494" t="s">
        <v>41</v>
      </c>
      <c r="E494">
        <v>2000706635</v>
      </c>
      <c r="F494">
        <v>1080</v>
      </c>
      <c r="G494">
        <v>15</v>
      </c>
      <c r="H494">
        <v>0</v>
      </c>
      <c r="I494" t="s">
        <v>696</v>
      </c>
      <c r="J494" t="s">
        <v>170</v>
      </c>
      <c r="K494" t="s">
        <v>171</v>
      </c>
      <c r="O494">
        <v>0</v>
      </c>
      <c r="U494" t="s">
        <v>81</v>
      </c>
    </row>
    <row r="495" spans="1:21" x14ac:dyDescent="0.25">
      <c r="A495" s="33">
        <v>494</v>
      </c>
      <c r="B495" s="24">
        <v>44207</v>
      </c>
      <c r="C495" t="s">
        <v>39</v>
      </c>
      <c r="D495" t="s">
        <v>41</v>
      </c>
      <c r="E495">
        <v>2000707770</v>
      </c>
      <c r="F495">
        <v>990</v>
      </c>
      <c r="G495">
        <v>330</v>
      </c>
      <c r="H495">
        <v>0</v>
      </c>
      <c r="I495" t="s">
        <v>696</v>
      </c>
      <c r="J495" t="s">
        <v>170</v>
      </c>
      <c r="K495" t="s">
        <v>171</v>
      </c>
      <c r="O495">
        <v>0</v>
      </c>
      <c r="U495" t="s">
        <v>81</v>
      </c>
    </row>
    <row r="496" spans="1:21" x14ac:dyDescent="0.25">
      <c r="A496" s="33">
        <v>495</v>
      </c>
      <c r="B496" s="24">
        <v>44207</v>
      </c>
      <c r="C496" t="s">
        <v>39</v>
      </c>
      <c r="D496" t="s">
        <v>41</v>
      </c>
      <c r="E496">
        <v>2000708889</v>
      </c>
      <c r="F496">
        <v>856</v>
      </c>
      <c r="G496">
        <v>270</v>
      </c>
      <c r="H496">
        <v>0</v>
      </c>
      <c r="I496" t="s">
        <v>696</v>
      </c>
      <c r="J496" t="s">
        <v>698</v>
      </c>
      <c r="K496" t="s">
        <v>700</v>
      </c>
      <c r="O496">
        <v>0</v>
      </c>
      <c r="U496" t="s">
        <v>81</v>
      </c>
    </row>
    <row r="497" spans="1:21" x14ac:dyDescent="0.25">
      <c r="A497" s="33">
        <v>496</v>
      </c>
      <c r="B497" s="24">
        <v>44207</v>
      </c>
      <c r="C497" t="s">
        <v>39</v>
      </c>
      <c r="D497" t="s">
        <v>41</v>
      </c>
      <c r="E497">
        <v>2000705330</v>
      </c>
      <c r="F497">
        <v>540</v>
      </c>
      <c r="G497">
        <v>18</v>
      </c>
      <c r="H497">
        <v>0</v>
      </c>
      <c r="I497" t="s">
        <v>696</v>
      </c>
      <c r="J497" t="s">
        <v>698</v>
      </c>
      <c r="K497" t="s">
        <v>700</v>
      </c>
      <c r="O497">
        <v>0</v>
      </c>
      <c r="U497" t="s">
        <v>81</v>
      </c>
    </row>
    <row r="498" spans="1:21" x14ac:dyDescent="0.25">
      <c r="A498" s="33">
        <v>497</v>
      </c>
      <c r="B498" s="24">
        <v>44207</v>
      </c>
      <c r="C498" t="s">
        <v>39</v>
      </c>
      <c r="D498" t="s">
        <v>41</v>
      </c>
      <c r="E498">
        <v>2000708556</v>
      </c>
      <c r="F498">
        <v>56</v>
      </c>
      <c r="G498">
        <v>56</v>
      </c>
      <c r="H498">
        <v>0</v>
      </c>
      <c r="I498" t="s">
        <v>198</v>
      </c>
      <c r="J498" t="s">
        <v>202</v>
      </c>
      <c r="K498" t="s">
        <v>797</v>
      </c>
      <c r="O498">
        <v>0</v>
      </c>
      <c r="U498" t="s">
        <v>83</v>
      </c>
    </row>
    <row r="499" spans="1:21" x14ac:dyDescent="0.25">
      <c r="A499" s="33">
        <v>498</v>
      </c>
      <c r="B499" s="24">
        <v>44207</v>
      </c>
      <c r="C499" t="s">
        <v>39</v>
      </c>
      <c r="D499" t="s">
        <v>41</v>
      </c>
      <c r="E499">
        <v>2000708381</v>
      </c>
      <c r="F499">
        <v>540</v>
      </c>
      <c r="G499">
        <v>60</v>
      </c>
      <c r="H499">
        <v>0</v>
      </c>
      <c r="I499" t="s">
        <v>198</v>
      </c>
      <c r="J499" t="s">
        <v>203</v>
      </c>
      <c r="K499" t="s">
        <v>638</v>
      </c>
      <c r="O499">
        <v>0</v>
      </c>
      <c r="U499" t="s">
        <v>81</v>
      </c>
    </row>
    <row r="500" spans="1:21" x14ac:dyDescent="0.25">
      <c r="A500" s="33">
        <v>499</v>
      </c>
      <c r="B500" s="24">
        <v>44207</v>
      </c>
      <c r="C500" t="s">
        <v>39</v>
      </c>
      <c r="D500" t="s">
        <v>41</v>
      </c>
      <c r="E500">
        <v>2000705735</v>
      </c>
      <c r="F500">
        <v>2160</v>
      </c>
      <c r="G500">
        <v>60</v>
      </c>
      <c r="H500">
        <v>0</v>
      </c>
      <c r="I500" t="s">
        <v>198</v>
      </c>
      <c r="J500" t="s">
        <v>203</v>
      </c>
      <c r="K500" t="s">
        <v>640</v>
      </c>
      <c r="O500">
        <v>0</v>
      </c>
      <c r="U500" t="s">
        <v>81</v>
      </c>
    </row>
    <row r="501" spans="1:21" x14ac:dyDescent="0.25">
      <c r="A501" s="33">
        <v>500</v>
      </c>
      <c r="B501" s="24">
        <v>44207</v>
      </c>
      <c r="C501" t="s">
        <v>39</v>
      </c>
      <c r="D501" t="s">
        <v>41</v>
      </c>
      <c r="E501">
        <v>2000708688</v>
      </c>
      <c r="F501">
        <v>810</v>
      </c>
      <c r="G501">
        <v>60</v>
      </c>
      <c r="H501">
        <v>0</v>
      </c>
      <c r="I501" t="s">
        <v>198</v>
      </c>
      <c r="J501" t="s">
        <v>203</v>
      </c>
      <c r="K501" t="s">
        <v>638</v>
      </c>
      <c r="O501">
        <v>0</v>
      </c>
      <c r="U501" t="s">
        <v>81</v>
      </c>
    </row>
    <row r="502" spans="1:21" x14ac:dyDescent="0.25">
      <c r="A502" s="33">
        <v>501</v>
      </c>
      <c r="B502" s="24">
        <v>44207</v>
      </c>
      <c r="C502" t="s">
        <v>39</v>
      </c>
      <c r="D502" t="s">
        <v>41</v>
      </c>
      <c r="E502">
        <v>2000708365</v>
      </c>
      <c r="F502">
        <v>600</v>
      </c>
      <c r="G502">
        <v>56</v>
      </c>
      <c r="H502">
        <v>0</v>
      </c>
      <c r="I502" t="s">
        <v>198</v>
      </c>
      <c r="J502" t="s">
        <v>174</v>
      </c>
      <c r="K502" t="s">
        <v>792</v>
      </c>
      <c r="O502">
        <v>0</v>
      </c>
      <c r="U502" t="s">
        <v>81</v>
      </c>
    </row>
    <row r="503" spans="1:21" x14ac:dyDescent="0.25">
      <c r="A503" s="33">
        <v>502</v>
      </c>
      <c r="B503" s="24">
        <v>44207</v>
      </c>
      <c r="C503" t="s">
        <v>39</v>
      </c>
      <c r="D503" t="s">
        <v>41</v>
      </c>
      <c r="E503">
        <v>2000708557</v>
      </c>
      <c r="F503">
        <v>48</v>
      </c>
      <c r="G503">
        <v>40</v>
      </c>
      <c r="H503">
        <v>0</v>
      </c>
      <c r="I503" t="s">
        <v>198</v>
      </c>
      <c r="J503" t="s">
        <v>216</v>
      </c>
      <c r="K503" t="s">
        <v>733</v>
      </c>
      <c r="O503">
        <v>0</v>
      </c>
      <c r="U503" t="s">
        <v>81</v>
      </c>
    </row>
    <row r="504" spans="1:21" x14ac:dyDescent="0.25">
      <c r="A504" s="33">
        <v>503</v>
      </c>
      <c r="B504" s="24">
        <v>44207</v>
      </c>
      <c r="C504" t="s">
        <v>39</v>
      </c>
      <c r="D504" t="s">
        <v>41</v>
      </c>
      <c r="E504">
        <v>2000708557</v>
      </c>
      <c r="F504">
        <v>48</v>
      </c>
      <c r="G504">
        <v>7</v>
      </c>
      <c r="H504">
        <v>0</v>
      </c>
      <c r="I504" t="s">
        <v>198</v>
      </c>
      <c r="J504" t="s">
        <v>216</v>
      </c>
      <c r="K504" t="s">
        <v>733</v>
      </c>
      <c r="O504">
        <v>0</v>
      </c>
      <c r="U504" t="s">
        <v>83</v>
      </c>
    </row>
    <row r="505" spans="1:21" x14ac:dyDescent="0.25">
      <c r="A505" s="33">
        <v>504</v>
      </c>
      <c r="B505" s="24">
        <v>44207</v>
      </c>
      <c r="C505" t="s">
        <v>39</v>
      </c>
      <c r="D505" t="s">
        <v>41</v>
      </c>
      <c r="E505">
        <v>2000708684</v>
      </c>
      <c r="F505">
        <v>1320</v>
      </c>
      <c r="G505">
        <v>160</v>
      </c>
      <c r="H505">
        <v>0</v>
      </c>
      <c r="I505" t="s">
        <v>198</v>
      </c>
      <c r="J505" t="s">
        <v>174</v>
      </c>
      <c r="K505" t="s">
        <v>805</v>
      </c>
      <c r="O505">
        <v>0</v>
      </c>
      <c r="U505" t="s">
        <v>81</v>
      </c>
    </row>
    <row r="506" spans="1:21" x14ac:dyDescent="0.25">
      <c r="A506" s="33">
        <v>505</v>
      </c>
      <c r="B506" s="24">
        <v>44207</v>
      </c>
      <c r="C506" t="s">
        <v>39</v>
      </c>
      <c r="D506" t="s">
        <v>41</v>
      </c>
      <c r="E506">
        <v>2000705508</v>
      </c>
      <c r="F506">
        <v>14</v>
      </c>
      <c r="G506">
        <v>12</v>
      </c>
      <c r="H506">
        <v>0</v>
      </c>
      <c r="I506" t="s">
        <v>198</v>
      </c>
      <c r="J506" t="s">
        <v>215</v>
      </c>
      <c r="K506" t="s">
        <v>806</v>
      </c>
      <c r="O506">
        <v>0</v>
      </c>
      <c r="U506" t="s">
        <v>81</v>
      </c>
    </row>
    <row r="507" spans="1:21" x14ac:dyDescent="0.25">
      <c r="A507" s="33">
        <v>506</v>
      </c>
      <c r="B507" s="24">
        <v>44207</v>
      </c>
      <c r="C507" t="s">
        <v>39</v>
      </c>
      <c r="D507" t="s">
        <v>41</v>
      </c>
      <c r="E507">
        <v>2000705509</v>
      </c>
      <c r="F507">
        <v>14</v>
      </c>
      <c r="G507">
        <v>12</v>
      </c>
      <c r="H507">
        <v>0</v>
      </c>
      <c r="I507" t="s">
        <v>198</v>
      </c>
      <c r="J507" t="s">
        <v>215</v>
      </c>
      <c r="K507" t="s">
        <v>806</v>
      </c>
      <c r="O507">
        <v>0</v>
      </c>
      <c r="U507" t="s">
        <v>81</v>
      </c>
    </row>
    <row r="508" spans="1:21" x14ac:dyDescent="0.25">
      <c r="A508" s="33">
        <v>507</v>
      </c>
      <c r="B508" s="24">
        <v>44207</v>
      </c>
      <c r="C508" t="s">
        <v>39</v>
      </c>
      <c r="D508" t="s">
        <v>41</v>
      </c>
      <c r="E508">
        <v>2000708365</v>
      </c>
      <c r="F508">
        <v>600</v>
      </c>
      <c r="G508">
        <v>360</v>
      </c>
      <c r="H508">
        <v>0</v>
      </c>
      <c r="I508" t="s">
        <v>183</v>
      </c>
      <c r="J508" t="s">
        <v>174</v>
      </c>
      <c r="K508" t="s">
        <v>792</v>
      </c>
      <c r="O508">
        <v>0</v>
      </c>
      <c r="U508" t="s">
        <v>81</v>
      </c>
    </row>
    <row r="509" spans="1:21" x14ac:dyDescent="0.25">
      <c r="A509" s="33">
        <v>508</v>
      </c>
      <c r="B509" s="24">
        <v>44207</v>
      </c>
      <c r="C509" t="s">
        <v>39</v>
      </c>
      <c r="D509" t="s">
        <v>41</v>
      </c>
      <c r="E509">
        <v>2000708694</v>
      </c>
      <c r="F509">
        <v>1320</v>
      </c>
      <c r="G509">
        <v>200</v>
      </c>
      <c r="H509">
        <v>0</v>
      </c>
      <c r="I509" t="s">
        <v>183</v>
      </c>
      <c r="J509" t="s">
        <v>174</v>
      </c>
      <c r="K509" t="s">
        <v>805</v>
      </c>
      <c r="O509">
        <v>0</v>
      </c>
      <c r="U509" t="s">
        <v>81</v>
      </c>
    </row>
    <row r="510" spans="1:21" x14ac:dyDescent="0.25">
      <c r="A510" s="33">
        <v>509</v>
      </c>
      <c r="B510" s="24">
        <v>44207</v>
      </c>
      <c r="C510" t="s">
        <v>39</v>
      </c>
      <c r="D510" t="s">
        <v>41</v>
      </c>
      <c r="E510">
        <v>2000707772</v>
      </c>
      <c r="F510">
        <v>910</v>
      </c>
      <c r="G510">
        <v>135</v>
      </c>
      <c r="H510">
        <v>0</v>
      </c>
      <c r="I510" t="s">
        <v>693</v>
      </c>
      <c r="J510" t="s">
        <v>170</v>
      </c>
      <c r="K510" t="s">
        <v>697</v>
      </c>
      <c r="O510">
        <v>0</v>
      </c>
      <c r="U510" t="s">
        <v>81</v>
      </c>
    </row>
    <row r="511" spans="1:21" x14ac:dyDescent="0.25">
      <c r="A511" s="33">
        <v>510</v>
      </c>
      <c r="B511" s="24">
        <v>44207</v>
      </c>
      <c r="C511" t="s">
        <v>39</v>
      </c>
      <c r="D511" t="s">
        <v>41</v>
      </c>
      <c r="E511">
        <v>2000706583</v>
      </c>
      <c r="F511">
        <v>3050</v>
      </c>
      <c r="G511">
        <v>45</v>
      </c>
      <c r="H511">
        <v>0</v>
      </c>
      <c r="I511" t="s">
        <v>693</v>
      </c>
      <c r="J511" t="s">
        <v>170</v>
      </c>
      <c r="K511" t="s">
        <v>697</v>
      </c>
      <c r="O511">
        <v>0</v>
      </c>
      <c r="U511" t="s">
        <v>81</v>
      </c>
    </row>
    <row r="512" spans="1:21" x14ac:dyDescent="0.25">
      <c r="A512" s="33">
        <v>511</v>
      </c>
      <c r="B512" s="24">
        <v>44207</v>
      </c>
      <c r="C512" t="s">
        <v>39</v>
      </c>
      <c r="D512" t="s">
        <v>41</v>
      </c>
      <c r="E512">
        <v>2000707770</v>
      </c>
      <c r="F512">
        <v>990</v>
      </c>
      <c r="G512">
        <v>168</v>
      </c>
      <c r="H512">
        <v>0</v>
      </c>
      <c r="I512" t="s">
        <v>693</v>
      </c>
      <c r="J512" t="s">
        <v>170</v>
      </c>
      <c r="K512" t="s">
        <v>171</v>
      </c>
      <c r="O512">
        <v>0</v>
      </c>
      <c r="U512" t="s">
        <v>81</v>
      </c>
    </row>
    <row r="513" spans="1:21" x14ac:dyDescent="0.25">
      <c r="A513" s="33">
        <v>512</v>
      </c>
      <c r="B513" s="24">
        <v>44207</v>
      </c>
      <c r="C513" t="s">
        <v>39</v>
      </c>
      <c r="D513" t="s">
        <v>41</v>
      </c>
      <c r="E513">
        <v>2000708778</v>
      </c>
      <c r="F513">
        <v>856</v>
      </c>
      <c r="G513">
        <v>90</v>
      </c>
      <c r="H513">
        <v>0</v>
      </c>
      <c r="I513" t="s">
        <v>693</v>
      </c>
      <c r="J513" t="s">
        <v>698</v>
      </c>
      <c r="K513" t="s">
        <v>700</v>
      </c>
      <c r="O513">
        <v>0</v>
      </c>
      <c r="U513" t="s">
        <v>81</v>
      </c>
    </row>
    <row r="514" spans="1:21" x14ac:dyDescent="0.25">
      <c r="A514" s="33">
        <v>513</v>
      </c>
      <c r="B514" s="24">
        <v>44207</v>
      </c>
      <c r="C514" t="s">
        <v>39</v>
      </c>
      <c r="D514" t="s">
        <v>41</v>
      </c>
      <c r="E514">
        <v>2000708440</v>
      </c>
      <c r="F514">
        <v>2700</v>
      </c>
      <c r="G514">
        <v>80</v>
      </c>
      <c r="H514">
        <v>0</v>
      </c>
      <c r="I514" t="s">
        <v>185</v>
      </c>
      <c r="J514" t="s">
        <v>172</v>
      </c>
      <c r="K514" t="s">
        <v>692</v>
      </c>
      <c r="O514">
        <v>0</v>
      </c>
      <c r="U514" t="s">
        <v>81</v>
      </c>
    </row>
    <row r="515" spans="1:21" x14ac:dyDescent="0.25">
      <c r="A515" s="33">
        <v>514</v>
      </c>
      <c r="B515" s="24">
        <v>44207</v>
      </c>
      <c r="C515" t="s">
        <v>39</v>
      </c>
      <c r="D515" t="s">
        <v>41</v>
      </c>
      <c r="E515">
        <v>2000708718</v>
      </c>
      <c r="F515">
        <v>1360</v>
      </c>
      <c r="G515">
        <v>120</v>
      </c>
      <c r="H515">
        <v>0</v>
      </c>
      <c r="I515" t="s">
        <v>185</v>
      </c>
      <c r="J515" t="s">
        <v>196</v>
      </c>
      <c r="K515" t="s">
        <v>648</v>
      </c>
      <c r="O515">
        <v>0</v>
      </c>
      <c r="U515" t="s">
        <v>81</v>
      </c>
    </row>
    <row r="516" spans="1:21" x14ac:dyDescent="0.25">
      <c r="A516" s="33">
        <v>515</v>
      </c>
      <c r="B516" s="24">
        <v>44207</v>
      </c>
      <c r="C516" t="s">
        <v>39</v>
      </c>
      <c r="D516" t="s">
        <v>41</v>
      </c>
      <c r="E516">
        <v>2000708707</v>
      </c>
      <c r="F516">
        <v>1130</v>
      </c>
      <c r="G516">
        <v>100</v>
      </c>
      <c r="H516">
        <v>0</v>
      </c>
      <c r="I516" t="s">
        <v>185</v>
      </c>
      <c r="J516" t="s">
        <v>645</v>
      </c>
      <c r="K516" t="s">
        <v>765</v>
      </c>
      <c r="O516">
        <v>0</v>
      </c>
      <c r="U516" t="s">
        <v>81</v>
      </c>
    </row>
    <row r="517" spans="1:21" x14ac:dyDescent="0.25">
      <c r="A517" s="33">
        <v>516</v>
      </c>
      <c r="B517" s="24">
        <v>44207</v>
      </c>
      <c r="C517" t="s">
        <v>39</v>
      </c>
      <c r="D517" t="s">
        <v>41</v>
      </c>
      <c r="E517">
        <v>2000708953</v>
      </c>
      <c r="F517">
        <v>600</v>
      </c>
      <c r="G517">
        <v>80</v>
      </c>
      <c r="H517">
        <v>0</v>
      </c>
      <c r="I517" t="s">
        <v>185</v>
      </c>
      <c r="J517" t="s">
        <v>687</v>
      </c>
      <c r="K517" t="s">
        <v>807</v>
      </c>
      <c r="O517">
        <v>0</v>
      </c>
      <c r="U517" t="s">
        <v>81</v>
      </c>
    </row>
    <row r="518" spans="1:21" x14ac:dyDescent="0.25">
      <c r="A518" s="33">
        <v>517</v>
      </c>
      <c r="B518" s="24">
        <v>44207</v>
      </c>
      <c r="C518" t="s">
        <v>39</v>
      </c>
      <c r="D518" t="s">
        <v>41</v>
      </c>
      <c r="E518">
        <v>2000708702</v>
      </c>
      <c r="F518">
        <v>860</v>
      </c>
      <c r="G518">
        <v>80</v>
      </c>
      <c r="H518">
        <v>0</v>
      </c>
      <c r="I518" t="s">
        <v>185</v>
      </c>
      <c r="J518" t="s">
        <v>175</v>
      </c>
      <c r="K518" t="s">
        <v>808</v>
      </c>
      <c r="O518">
        <v>0</v>
      </c>
      <c r="U518" t="s">
        <v>81</v>
      </c>
    </row>
    <row r="519" spans="1:21" x14ac:dyDescent="0.25">
      <c r="A519" s="33">
        <v>518</v>
      </c>
      <c r="B519" s="24">
        <v>44207</v>
      </c>
      <c r="C519" t="s">
        <v>39</v>
      </c>
      <c r="D519" t="s">
        <v>41</v>
      </c>
      <c r="E519">
        <v>2000707963</v>
      </c>
      <c r="F519">
        <v>2000</v>
      </c>
      <c r="G519">
        <v>200</v>
      </c>
      <c r="H519">
        <v>0</v>
      </c>
      <c r="I519" t="s">
        <v>680</v>
      </c>
      <c r="J519" t="s">
        <v>193</v>
      </c>
      <c r="K519" t="s">
        <v>650</v>
      </c>
      <c r="O519">
        <v>0</v>
      </c>
      <c r="U519" t="s">
        <v>81</v>
      </c>
    </row>
    <row r="520" spans="1:21" x14ac:dyDescent="0.25">
      <c r="A520" s="33">
        <v>519</v>
      </c>
      <c r="B520" s="24">
        <v>44207</v>
      </c>
      <c r="C520" t="s">
        <v>39</v>
      </c>
      <c r="D520" t="s">
        <v>41</v>
      </c>
      <c r="E520">
        <v>2000705735</v>
      </c>
      <c r="F520">
        <v>2160</v>
      </c>
      <c r="G520">
        <v>180</v>
      </c>
      <c r="H520">
        <v>0</v>
      </c>
      <c r="I520" t="s">
        <v>680</v>
      </c>
      <c r="J520" t="s">
        <v>203</v>
      </c>
      <c r="K520" t="s">
        <v>640</v>
      </c>
      <c r="O520">
        <v>0</v>
      </c>
      <c r="U520" t="s">
        <v>81</v>
      </c>
    </row>
    <row r="521" spans="1:21" ht="30" x14ac:dyDescent="0.25">
      <c r="A521" s="33">
        <v>520</v>
      </c>
      <c r="B521" s="24">
        <v>44207</v>
      </c>
      <c r="C521" t="s">
        <v>39</v>
      </c>
      <c r="D521" t="s">
        <v>41</v>
      </c>
      <c r="E521">
        <v>2000708024</v>
      </c>
      <c r="F521">
        <v>1792</v>
      </c>
      <c r="G521">
        <v>400</v>
      </c>
      <c r="H521">
        <v>0</v>
      </c>
      <c r="I521" t="s">
        <v>680</v>
      </c>
      <c r="J521" t="s">
        <v>203</v>
      </c>
      <c r="K521" t="s">
        <v>788</v>
      </c>
      <c r="O521">
        <v>0</v>
      </c>
      <c r="T521" s="62" t="s">
        <v>723</v>
      </c>
      <c r="U521" t="s">
        <v>81</v>
      </c>
    </row>
    <row r="522" spans="1:21" x14ac:dyDescent="0.25">
      <c r="A522" s="33">
        <v>521</v>
      </c>
      <c r="B522" s="24">
        <v>44207</v>
      </c>
      <c r="C522" t="s">
        <v>39</v>
      </c>
      <c r="D522" t="s">
        <v>41</v>
      </c>
      <c r="E522">
        <v>2000707953</v>
      </c>
      <c r="F522">
        <v>1000</v>
      </c>
      <c r="G522">
        <v>400</v>
      </c>
      <c r="H522">
        <v>0</v>
      </c>
      <c r="I522" t="s">
        <v>680</v>
      </c>
      <c r="J522" t="s">
        <v>172</v>
      </c>
      <c r="K522" t="s">
        <v>725</v>
      </c>
      <c r="O522">
        <v>0</v>
      </c>
      <c r="U522" t="s">
        <v>81</v>
      </c>
    </row>
    <row r="523" spans="1:21" x14ac:dyDescent="0.25">
      <c r="A523" s="33">
        <v>522</v>
      </c>
      <c r="B523" s="24">
        <v>44207</v>
      </c>
      <c r="C523" t="s">
        <v>39</v>
      </c>
      <c r="D523" t="s">
        <v>41</v>
      </c>
      <c r="E523">
        <v>2000708025</v>
      </c>
      <c r="F523">
        <v>2620</v>
      </c>
      <c r="G523">
        <v>240</v>
      </c>
      <c r="H523">
        <v>0</v>
      </c>
      <c r="I523" t="s">
        <v>680</v>
      </c>
      <c r="J523" t="s">
        <v>203</v>
      </c>
      <c r="K523" t="s">
        <v>640</v>
      </c>
      <c r="O523">
        <v>0</v>
      </c>
      <c r="U523" t="s">
        <v>81</v>
      </c>
    </row>
    <row r="524" spans="1:21" x14ac:dyDescent="0.25">
      <c r="A524" s="33">
        <v>523</v>
      </c>
      <c r="B524" s="24">
        <v>44207</v>
      </c>
      <c r="C524" t="s">
        <v>39</v>
      </c>
      <c r="D524" t="s">
        <v>41</v>
      </c>
      <c r="E524">
        <v>2000708716</v>
      </c>
      <c r="F524">
        <v>1360</v>
      </c>
      <c r="G524">
        <v>200</v>
      </c>
      <c r="H524">
        <v>0</v>
      </c>
      <c r="I524" t="s">
        <v>789</v>
      </c>
      <c r="J524" t="s">
        <v>196</v>
      </c>
      <c r="K524" t="s">
        <v>682</v>
      </c>
      <c r="O524">
        <v>0</v>
      </c>
      <c r="U524" t="s">
        <v>81</v>
      </c>
    </row>
    <row r="525" spans="1:21" x14ac:dyDescent="0.25">
      <c r="A525" s="33">
        <v>524</v>
      </c>
      <c r="B525" s="24">
        <v>44207</v>
      </c>
      <c r="C525" t="s">
        <v>39</v>
      </c>
      <c r="D525" t="s">
        <v>41</v>
      </c>
      <c r="E525">
        <v>2000708403</v>
      </c>
      <c r="F525">
        <v>2700</v>
      </c>
      <c r="G525">
        <v>300</v>
      </c>
      <c r="H525">
        <v>0</v>
      </c>
      <c r="I525" t="s">
        <v>789</v>
      </c>
      <c r="J525" t="s">
        <v>172</v>
      </c>
      <c r="K525" t="s">
        <v>725</v>
      </c>
      <c r="O525">
        <v>0</v>
      </c>
      <c r="U525" t="s">
        <v>81</v>
      </c>
    </row>
    <row r="526" spans="1:21" x14ac:dyDescent="0.25">
      <c r="A526" s="33">
        <v>525</v>
      </c>
      <c r="B526" s="24">
        <v>44207</v>
      </c>
      <c r="C526" t="s">
        <v>39</v>
      </c>
      <c r="D526" t="s">
        <v>41</v>
      </c>
      <c r="E526">
        <v>2000707787</v>
      </c>
      <c r="F526">
        <v>4210</v>
      </c>
      <c r="G526">
        <v>240</v>
      </c>
      <c r="H526">
        <v>0</v>
      </c>
      <c r="I526" t="s">
        <v>789</v>
      </c>
      <c r="J526" t="s">
        <v>199</v>
      </c>
      <c r="K526" t="s">
        <v>660</v>
      </c>
      <c r="O526">
        <v>0</v>
      </c>
      <c r="U526" t="s">
        <v>81</v>
      </c>
    </row>
    <row r="527" spans="1:21" x14ac:dyDescent="0.25">
      <c r="A527" s="33">
        <v>526</v>
      </c>
      <c r="B527" s="24">
        <v>44207</v>
      </c>
      <c r="C527" t="s">
        <v>39</v>
      </c>
      <c r="D527" t="s">
        <v>41</v>
      </c>
      <c r="E527">
        <v>2000708024</v>
      </c>
      <c r="F527">
        <v>1792</v>
      </c>
      <c r="G527">
        <v>100</v>
      </c>
      <c r="H527">
        <v>0</v>
      </c>
      <c r="I527" t="s">
        <v>789</v>
      </c>
      <c r="J527" t="s">
        <v>203</v>
      </c>
      <c r="K527" t="s">
        <v>788</v>
      </c>
      <c r="O527">
        <v>0</v>
      </c>
      <c r="U527" t="s">
        <v>81</v>
      </c>
    </row>
    <row r="528" spans="1:21" x14ac:dyDescent="0.25">
      <c r="A528" s="33">
        <v>527</v>
      </c>
      <c r="B528" s="24">
        <v>44207</v>
      </c>
      <c r="C528" t="s">
        <v>39</v>
      </c>
      <c r="D528" t="s">
        <v>51</v>
      </c>
      <c r="E528">
        <v>2000707403</v>
      </c>
      <c r="F528">
        <v>1000</v>
      </c>
      <c r="G528">
        <v>180</v>
      </c>
      <c r="H528">
        <v>0</v>
      </c>
      <c r="I528" t="s">
        <v>706</v>
      </c>
      <c r="J528" t="s">
        <v>667</v>
      </c>
      <c r="K528" t="s">
        <v>730</v>
      </c>
      <c r="O528">
        <v>0</v>
      </c>
      <c r="U528" t="s">
        <v>81</v>
      </c>
    </row>
    <row r="529" spans="1:21" x14ac:dyDescent="0.25">
      <c r="A529" s="33">
        <v>528</v>
      </c>
      <c r="B529" s="24">
        <v>44207</v>
      </c>
      <c r="C529" t="s">
        <v>39</v>
      </c>
      <c r="D529" t="s">
        <v>51</v>
      </c>
      <c r="E529">
        <v>2000707118</v>
      </c>
      <c r="F529">
        <v>250</v>
      </c>
      <c r="G529">
        <v>250</v>
      </c>
      <c r="H529">
        <v>0</v>
      </c>
      <c r="I529" t="s">
        <v>706</v>
      </c>
      <c r="J529" t="s">
        <v>779</v>
      </c>
      <c r="K529" t="s">
        <v>809</v>
      </c>
      <c r="O529">
        <v>0</v>
      </c>
      <c r="U529" t="s">
        <v>81</v>
      </c>
    </row>
    <row r="530" spans="1:21" x14ac:dyDescent="0.25">
      <c r="A530" s="33">
        <v>529</v>
      </c>
      <c r="B530" s="24">
        <v>44207</v>
      </c>
      <c r="C530" t="s">
        <v>39</v>
      </c>
      <c r="D530" t="s">
        <v>51</v>
      </c>
      <c r="E530">
        <v>2000707680</v>
      </c>
      <c r="F530">
        <v>650</v>
      </c>
      <c r="G530">
        <v>105</v>
      </c>
      <c r="H530">
        <v>0</v>
      </c>
      <c r="I530" t="s">
        <v>706</v>
      </c>
      <c r="J530" t="s">
        <v>667</v>
      </c>
      <c r="K530" t="s">
        <v>671</v>
      </c>
      <c r="O530">
        <v>0</v>
      </c>
      <c r="U530" t="s">
        <v>81</v>
      </c>
    </row>
    <row r="531" spans="1:21" x14ac:dyDescent="0.25">
      <c r="A531" s="33">
        <v>530</v>
      </c>
      <c r="B531" s="24">
        <v>44207</v>
      </c>
      <c r="C531" t="s">
        <v>39</v>
      </c>
      <c r="D531" t="s">
        <v>51</v>
      </c>
      <c r="E531">
        <v>2000707676</v>
      </c>
      <c r="F531">
        <v>400</v>
      </c>
      <c r="G531">
        <v>190</v>
      </c>
      <c r="H531">
        <v>0</v>
      </c>
      <c r="I531" t="s">
        <v>706</v>
      </c>
      <c r="J531" t="s">
        <v>669</v>
      </c>
      <c r="K531" t="s">
        <v>707</v>
      </c>
      <c r="O531">
        <v>0</v>
      </c>
      <c r="U531" t="s">
        <v>81</v>
      </c>
    </row>
    <row r="532" spans="1:21" x14ac:dyDescent="0.25">
      <c r="A532" s="33">
        <v>531</v>
      </c>
      <c r="B532" s="24">
        <v>44207</v>
      </c>
      <c r="C532" t="s">
        <v>39</v>
      </c>
      <c r="D532" t="s">
        <v>51</v>
      </c>
      <c r="E532">
        <v>2000707674</v>
      </c>
      <c r="F532">
        <v>150</v>
      </c>
      <c r="G532">
        <v>109</v>
      </c>
      <c r="H532">
        <v>0</v>
      </c>
      <c r="I532" t="s">
        <v>706</v>
      </c>
      <c r="J532" t="s">
        <v>669</v>
      </c>
      <c r="K532" t="s">
        <v>810</v>
      </c>
      <c r="O532">
        <v>0</v>
      </c>
      <c r="U532" t="s">
        <v>81</v>
      </c>
    </row>
    <row r="533" spans="1:21" x14ac:dyDescent="0.25">
      <c r="A533" s="33">
        <v>532</v>
      </c>
      <c r="B533" s="24">
        <v>44207</v>
      </c>
      <c r="C533" t="s">
        <v>39</v>
      </c>
      <c r="D533" t="s">
        <v>51</v>
      </c>
      <c r="E533">
        <v>2000708159</v>
      </c>
      <c r="F533">
        <v>150</v>
      </c>
      <c r="G533">
        <v>30</v>
      </c>
      <c r="H533">
        <v>0</v>
      </c>
      <c r="I533" t="s">
        <v>706</v>
      </c>
      <c r="J533" t="s">
        <v>669</v>
      </c>
      <c r="K533" t="s">
        <v>741</v>
      </c>
      <c r="O533">
        <v>0</v>
      </c>
      <c r="U533" t="s">
        <v>81</v>
      </c>
    </row>
    <row r="534" spans="1:21" ht="30" x14ac:dyDescent="0.25">
      <c r="A534" s="33">
        <v>533</v>
      </c>
      <c r="B534" s="24">
        <v>44207</v>
      </c>
      <c r="C534" t="s">
        <v>39</v>
      </c>
      <c r="D534" t="s">
        <v>51</v>
      </c>
      <c r="E534">
        <v>2000708158</v>
      </c>
      <c r="F534">
        <v>300</v>
      </c>
      <c r="G534">
        <v>80</v>
      </c>
      <c r="H534">
        <v>0</v>
      </c>
      <c r="I534" t="s">
        <v>706</v>
      </c>
      <c r="J534" t="s">
        <v>669</v>
      </c>
      <c r="K534" t="s">
        <v>742</v>
      </c>
      <c r="O534">
        <v>0</v>
      </c>
      <c r="T534" s="62" t="s">
        <v>723</v>
      </c>
      <c r="U534" t="s">
        <v>81</v>
      </c>
    </row>
    <row r="535" spans="1:21" x14ac:dyDescent="0.25">
      <c r="A535" s="33">
        <v>534</v>
      </c>
      <c r="B535" s="24">
        <v>44207</v>
      </c>
      <c r="C535" t="s">
        <v>181</v>
      </c>
      <c r="D535" t="s">
        <v>41</v>
      </c>
      <c r="E535">
        <v>2000705509</v>
      </c>
      <c r="F535">
        <v>14</v>
      </c>
      <c r="G535">
        <v>11</v>
      </c>
      <c r="H535">
        <v>0</v>
      </c>
      <c r="I535" t="s">
        <v>168</v>
      </c>
      <c r="J535" t="s">
        <v>215</v>
      </c>
      <c r="K535" t="s">
        <v>806</v>
      </c>
      <c r="O535">
        <v>0</v>
      </c>
      <c r="U535" t="s">
        <v>83</v>
      </c>
    </row>
    <row r="536" spans="1:21" x14ac:dyDescent="0.25">
      <c r="A536" s="33">
        <v>535</v>
      </c>
      <c r="B536" s="24">
        <v>44207</v>
      </c>
      <c r="C536" t="s">
        <v>181</v>
      </c>
      <c r="D536" t="s">
        <v>41</v>
      </c>
      <c r="E536">
        <v>2000705508</v>
      </c>
      <c r="F536">
        <v>14</v>
      </c>
      <c r="G536">
        <v>12</v>
      </c>
      <c r="H536">
        <v>0</v>
      </c>
      <c r="I536" t="s">
        <v>168</v>
      </c>
      <c r="J536" t="s">
        <v>215</v>
      </c>
      <c r="K536" t="s">
        <v>806</v>
      </c>
      <c r="O536">
        <v>0</v>
      </c>
      <c r="U536" t="s">
        <v>83</v>
      </c>
    </row>
    <row r="537" spans="1:21" x14ac:dyDescent="0.25">
      <c r="A537" s="33">
        <v>536</v>
      </c>
      <c r="B537" s="24">
        <v>44207</v>
      </c>
      <c r="C537" t="s">
        <v>181</v>
      </c>
      <c r="D537" t="s">
        <v>41</v>
      </c>
      <c r="E537">
        <v>2000708562</v>
      </c>
      <c r="F537">
        <v>510</v>
      </c>
      <c r="G537">
        <v>120</v>
      </c>
      <c r="H537">
        <v>0</v>
      </c>
      <c r="I537" t="s">
        <v>168</v>
      </c>
      <c r="J537" t="s">
        <v>203</v>
      </c>
      <c r="K537" t="s">
        <v>768</v>
      </c>
      <c r="O537">
        <v>0</v>
      </c>
      <c r="U537" t="s">
        <v>81</v>
      </c>
    </row>
    <row r="538" spans="1:21" x14ac:dyDescent="0.25">
      <c r="A538" s="33">
        <v>537</v>
      </c>
      <c r="B538" s="24">
        <v>44207</v>
      </c>
      <c r="C538" t="s">
        <v>181</v>
      </c>
      <c r="D538" t="s">
        <v>41</v>
      </c>
      <c r="E538">
        <v>2000708381</v>
      </c>
      <c r="F538">
        <v>540</v>
      </c>
      <c r="G538">
        <v>60</v>
      </c>
      <c r="H538">
        <v>0</v>
      </c>
      <c r="I538" t="s">
        <v>168</v>
      </c>
      <c r="J538" t="s">
        <v>203</v>
      </c>
      <c r="K538" t="s">
        <v>638</v>
      </c>
      <c r="O538">
        <v>0</v>
      </c>
      <c r="U538" t="s">
        <v>81</v>
      </c>
    </row>
    <row r="539" spans="1:21" x14ac:dyDescent="0.25">
      <c r="A539" s="33">
        <v>538</v>
      </c>
      <c r="B539" s="24">
        <v>44207</v>
      </c>
      <c r="C539" t="s">
        <v>181</v>
      </c>
      <c r="D539" t="s">
        <v>41</v>
      </c>
      <c r="E539">
        <v>2000708688</v>
      </c>
      <c r="F539">
        <v>810</v>
      </c>
      <c r="G539">
        <v>220</v>
      </c>
      <c r="H539">
        <v>0</v>
      </c>
      <c r="I539" t="s">
        <v>168</v>
      </c>
      <c r="J539" t="s">
        <v>203</v>
      </c>
      <c r="K539" t="s">
        <v>638</v>
      </c>
      <c r="O539">
        <v>0</v>
      </c>
      <c r="U539" t="s">
        <v>81</v>
      </c>
    </row>
    <row r="540" spans="1:21" x14ac:dyDescent="0.25">
      <c r="A540" s="33">
        <v>539</v>
      </c>
      <c r="B540" s="24">
        <v>44207</v>
      </c>
      <c r="C540" t="s">
        <v>181</v>
      </c>
      <c r="D540" t="s">
        <v>41</v>
      </c>
      <c r="E540">
        <v>2000708694</v>
      </c>
      <c r="F540">
        <v>1320</v>
      </c>
      <c r="G540">
        <v>120</v>
      </c>
      <c r="H540">
        <v>0</v>
      </c>
      <c r="I540" t="s">
        <v>194</v>
      </c>
      <c r="J540" t="s">
        <v>174</v>
      </c>
      <c r="K540" t="s">
        <v>805</v>
      </c>
      <c r="O540">
        <v>0</v>
      </c>
      <c r="U540" t="s">
        <v>81</v>
      </c>
    </row>
    <row r="541" spans="1:21" x14ac:dyDescent="0.25">
      <c r="A541" s="33">
        <v>540</v>
      </c>
      <c r="B541" s="24">
        <v>44207</v>
      </c>
      <c r="C541" t="s">
        <v>181</v>
      </c>
      <c r="D541" t="s">
        <v>41</v>
      </c>
      <c r="E541">
        <v>2000708557</v>
      </c>
      <c r="F541">
        <v>48</v>
      </c>
      <c r="G541">
        <v>40</v>
      </c>
      <c r="H541">
        <v>0</v>
      </c>
      <c r="I541" t="s">
        <v>194</v>
      </c>
      <c r="J541" t="s">
        <v>796</v>
      </c>
      <c r="K541" t="s">
        <v>733</v>
      </c>
      <c r="O541">
        <v>0</v>
      </c>
      <c r="U541" t="s">
        <v>81</v>
      </c>
    </row>
    <row r="542" spans="1:21" x14ac:dyDescent="0.25">
      <c r="A542" s="33">
        <v>541</v>
      </c>
      <c r="B542" s="24">
        <v>44207</v>
      </c>
      <c r="C542" t="s">
        <v>181</v>
      </c>
      <c r="D542" t="s">
        <v>41</v>
      </c>
      <c r="E542">
        <v>2000708688</v>
      </c>
      <c r="F542">
        <v>810</v>
      </c>
      <c r="G542">
        <v>270</v>
      </c>
      <c r="H542">
        <v>0</v>
      </c>
      <c r="I542" t="s">
        <v>194</v>
      </c>
      <c r="J542" t="s">
        <v>203</v>
      </c>
      <c r="K542" t="s">
        <v>638</v>
      </c>
      <c r="O542">
        <v>0</v>
      </c>
      <c r="U542" t="s">
        <v>81</v>
      </c>
    </row>
    <row r="543" spans="1:21" x14ac:dyDescent="0.25">
      <c r="A543" s="33">
        <v>542</v>
      </c>
      <c r="B543" s="24">
        <v>44207</v>
      </c>
      <c r="C543" t="s">
        <v>181</v>
      </c>
      <c r="D543" t="s">
        <v>41</v>
      </c>
      <c r="E543">
        <v>2000708364</v>
      </c>
      <c r="F543">
        <v>1352</v>
      </c>
      <c r="G543">
        <v>20</v>
      </c>
      <c r="H543">
        <v>0</v>
      </c>
      <c r="I543" t="s">
        <v>194</v>
      </c>
      <c r="J543" t="s">
        <v>174</v>
      </c>
      <c r="K543" t="s">
        <v>205</v>
      </c>
      <c r="O543">
        <v>0</v>
      </c>
      <c r="U543" t="s">
        <v>81</v>
      </c>
    </row>
    <row r="544" spans="1:21" x14ac:dyDescent="0.25">
      <c r="A544" s="33">
        <v>543</v>
      </c>
      <c r="B544" s="24">
        <v>44207</v>
      </c>
      <c r="C544" t="s">
        <v>181</v>
      </c>
      <c r="D544" t="s">
        <v>41</v>
      </c>
      <c r="E544">
        <v>2000708406</v>
      </c>
      <c r="F544">
        <v>3700</v>
      </c>
      <c r="G544">
        <v>200</v>
      </c>
      <c r="H544">
        <v>0</v>
      </c>
      <c r="I544" t="s">
        <v>666</v>
      </c>
      <c r="J544" t="s">
        <v>172</v>
      </c>
      <c r="K544" t="s">
        <v>638</v>
      </c>
      <c r="O544">
        <v>0</v>
      </c>
      <c r="U544" t="s">
        <v>81</v>
      </c>
    </row>
    <row r="545" spans="1:21" x14ac:dyDescent="0.25">
      <c r="A545" s="33">
        <v>544</v>
      </c>
      <c r="B545" s="24">
        <v>44207</v>
      </c>
      <c r="C545" t="s">
        <v>181</v>
      </c>
      <c r="D545" t="s">
        <v>41</v>
      </c>
      <c r="E545">
        <v>2000708694</v>
      </c>
      <c r="F545">
        <v>1320</v>
      </c>
      <c r="G545">
        <v>320</v>
      </c>
      <c r="H545">
        <v>0</v>
      </c>
      <c r="I545" t="s">
        <v>666</v>
      </c>
      <c r="J545" t="s">
        <v>174</v>
      </c>
      <c r="K545" t="s">
        <v>805</v>
      </c>
      <c r="O545">
        <v>0</v>
      </c>
      <c r="U545" t="s">
        <v>81</v>
      </c>
    </row>
    <row r="546" spans="1:21" x14ac:dyDescent="0.25">
      <c r="A546" s="33">
        <v>545</v>
      </c>
      <c r="B546" s="24">
        <v>44207</v>
      </c>
      <c r="C546" t="s">
        <v>181</v>
      </c>
      <c r="D546" t="s">
        <v>41</v>
      </c>
      <c r="E546">
        <v>2000707771</v>
      </c>
      <c r="F546">
        <v>1036</v>
      </c>
      <c r="G546">
        <v>54</v>
      </c>
      <c r="H546">
        <v>0</v>
      </c>
      <c r="I546" t="s">
        <v>661</v>
      </c>
      <c r="J546" t="s">
        <v>170</v>
      </c>
      <c r="K546" t="s">
        <v>732</v>
      </c>
      <c r="O546">
        <v>0</v>
      </c>
      <c r="U546" t="s">
        <v>81</v>
      </c>
    </row>
    <row r="547" spans="1:21" x14ac:dyDescent="0.25">
      <c r="A547" s="33">
        <v>546</v>
      </c>
      <c r="B547" s="24">
        <v>44207</v>
      </c>
      <c r="C547" t="s">
        <v>181</v>
      </c>
      <c r="D547" t="s">
        <v>41</v>
      </c>
      <c r="E547">
        <v>2000707770</v>
      </c>
      <c r="F547">
        <v>990</v>
      </c>
      <c r="G547">
        <v>43</v>
      </c>
      <c r="H547">
        <v>0</v>
      </c>
      <c r="I547" t="s">
        <v>661</v>
      </c>
      <c r="J547" t="s">
        <v>170</v>
      </c>
      <c r="K547" t="s">
        <v>171</v>
      </c>
      <c r="O547">
        <v>0</v>
      </c>
      <c r="U547" t="s">
        <v>81</v>
      </c>
    </row>
    <row r="548" spans="1:21" x14ac:dyDescent="0.25">
      <c r="A548" s="33">
        <v>547</v>
      </c>
      <c r="B548" s="24">
        <v>44207</v>
      </c>
      <c r="C548" t="s">
        <v>181</v>
      </c>
      <c r="D548" t="s">
        <v>41</v>
      </c>
      <c r="E548">
        <v>2000707772</v>
      </c>
      <c r="F548">
        <v>910</v>
      </c>
      <c r="G548">
        <v>48</v>
      </c>
      <c r="H548">
        <v>0</v>
      </c>
      <c r="I548" t="s">
        <v>661</v>
      </c>
      <c r="J548" t="s">
        <v>170</v>
      </c>
      <c r="K548" t="s">
        <v>697</v>
      </c>
      <c r="O548">
        <v>0</v>
      </c>
      <c r="U548" t="s">
        <v>81</v>
      </c>
    </row>
    <row r="549" spans="1:21" x14ac:dyDescent="0.25">
      <c r="A549" s="33">
        <v>548</v>
      </c>
      <c r="B549" s="24">
        <v>44207</v>
      </c>
      <c r="C549" t="s">
        <v>181</v>
      </c>
      <c r="D549" t="s">
        <v>41</v>
      </c>
      <c r="E549">
        <v>2000708778</v>
      </c>
      <c r="F549">
        <v>856</v>
      </c>
      <c r="G549">
        <v>179</v>
      </c>
      <c r="H549">
        <v>0</v>
      </c>
      <c r="I549" t="s">
        <v>661</v>
      </c>
      <c r="J549" t="s">
        <v>698</v>
      </c>
      <c r="K549" t="s">
        <v>700</v>
      </c>
      <c r="O549">
        <v>0</v>
      </c>
      <c r="U549" t="s">
        <v>81</v>
      </c>
    </row>
    <row r="550" spans="1:21" x14ac:dyDescent="0.25">
      <c r="A550" s="33">
        <v>549</v>
      </c>
      <c r="B550" s="24">
        <v>44207</v>
      </c>
      <c r="C550" t="s">
        <v>181</v>
      </c>
      <c r="D550" t="s">
        <v>41</v>
      </c>
      <c r="E550">
        <v>2000708364</v>
      </c>
      <c r="F550">
        <v>1352</v>
      </c>
      <c r="G550">
        <v>225</v>
      </c>
      <c r="H550">
        <v>0</v>
      </c>
      <c r="I550" t="s">
        <v>661</v>
      </c>
      <c r="J550" t="s">
        <v>174</v>
      </c>
      <c r="K550" t="s">
        <v>205</v>
      </c>
      <c r="O550">
        <v>0</v>
      </c>
      <c r="U550" t="s">
        <v>81</v>
      </c>
    </row>
    <row r="551" spans="1:21" x14ac:dyDescent="0.25">
      <c r="A551" s="33">
        <v>550</v>
      </c>
      <c r="B551" s="24">
        <v>44207</v>
      </c>
      <c r="C551" t="s">
        <v>181</v>
      </c>
      <c r="D551" t="s">
        <v>41</v>
      </c>
      <c r="E551">
        <v>2000704128</v>
      </c>
      <c r="F551">
        <v>720</v>
      </c>
      <c r="G551">
        <v>2</v>
      </c>
      <c r="H551">
        <v>0</v>
      </c>
      <c r="I551" t="s">
        <v>178</v>
      </c>
      <c r="J551" t="s">
        <v>174</v>
      </c>
      <c r="K551" t="s">
        <v>695</v>
      </c>
      <c r="O551">
        <v>0</v>
      </c>
      <c r="U551" t="s">
        <v>81</v>
      </c>
    </row>
    <row r="552" spans="1:21" x14ac:dyDescent="0.25">
      <c r="A552" s="33">
        <v>551</v>
      </c>
      <c r="B552" s="24">
        <v>44207</v>
      </c>
      <c r="C552" t="s">
        <v>181</v>
      </c>
      <c r="D552" t="s">
        <v>41</v>
      </c>
      <c r="E552">
        <v>2000706277</v>
      </c>
      <c r="F552">
        <v>560</v>
      </c>
      <c r="G552">
        <v>10</v>
      </c>
      <c r="H552">
        <v>0</v>
      </c>
      <c r="I552" t="s">
        <v>178</v>
      </c>
      <c r="J552" t="s">
        <v>174</v>
      </c>
      <c r="K552" t="s">
        <v>695</v>
      </c>
      <c r="O552">
        <v>0</v>
      </c>
      <c r="U552" t="s">
        <v>81</v>
      </c>
    </row>
    <row r="553" spans="1:21" x14ac:dyDescent="0.25">
      <c r="A553" s="33">
        <v>552</v>
      </c>
      <c r="B553" s="24">
        <v>44207</v>
      </c>
      <c r="C553" t="s">
        <v>181</v>
      </c>
      <c r="D553" t="s">
        <v>41</v>
      </c>
      <c r="E553">
        <v>2000708036</v>
      </c>
      <c r="F553">
        <v>640</v>
      </c>
      <c r="G553">
        <v>120</v>
      </c>
      <c r="H553">
        <v>0</v>
      </c>
      <c r="I553" t="s">
        <v>178</v>
      </c>
      <c r="J553" t="s">
        <v>174</v>
      </c>
      <c r="K553" t="s">
        <v>695</v>
      </c>
      <c r="O553">
        <v>0</v>
      </c>
      <c r="U553" t="s">
        <v>81</v>
      </c>
    </row>
    <row r="554" spans="1:21" x14ac:dyDescent="0.25">
      <c r="A554" s="33">
        <v>553</v>
      </c>
      <c r="B554" s="24">
        <v>44207</v>
      </c>
      <c r="C554" t="s">
        <v>181</v>
      </c>
      <c r="D554" t="s">
        <v>41</v>
      </c>
      <c r="E554">
        <v>2000705687</v>
      </c>
      <c r="F554">
        <v>440</v>
      </c>
      <c r="G554">
        <v>26</v>
      </c>
      <c r="H554">
        <v>0</v>
      </c>
      <c r="I554" t="s">
        <v>178</v>
      </c>
      <c r="J554" t="s">
        <v>174</v>
      </c>
      <c r="K554" t="s">
        <v>811</v>
      </c>
      <c r="O554">
        <v>0</v>
      </c>
      <c r="T554">
        <v>0</v>
      </c>
      <c r="U554" t="s">
        <v>81</v>
      </c>
    </row>
    <row r="555" spans="1:21" x14ac:dyDescent="0.25">
      <c r="A555" s="33">
        <v>554</v>
      </c>
      <c r="B555" s="24">
        <v>44207</v>
      </c>
      <c r="C555" t="s">
        <v>181</v>
      </c>
      <c r="D555" t="s">
        <v>41</v>
      </c>
      <c r="E555">
        <v>2000708778</v>
      </c>
      <c r="F555">
        <v>856</v>
      </c>
      <c r="G555">
        <v>135</v>
      </c>
      <c r="H555">
        <v>0</v>
      </c>
      <c r="I555" t="s">
        <v>178</v>
      </c>
      <c r="J555" t="s">
        <v>698</v>
      </c>
      <c r="K555" t="s">
        <v>700</v>
      </c>
      <c r="O555">
        <v>0</v>
      </c>
      <c r="U555" t="s">
        <v>81</v>
      </c>
    </row>
    <row r="556" spans="1:21" x14ac:dyDescent="0.25">
      <c r="A556" s="33">
        <v>555</v>
      </c>
      <c r="B556" s="24">
        <v>44207</v>
      </c>
      <c r="C556" t="s">
        <v>181</v>
      </c>
      <c r="D556" t="s">
        <v>41</v>
      </c>
      <c r="E556">
        <v>2000708364</v>
      </c>
      <c r="F556">
        <v>1352</v>
      </c>
      <c r="G556">
        <v>655</v>
      </c>
      <c r="H556">
        <v>0</v>
      </c>
      <c r="I556" t="s">
        <v>178</v>
      </c>
      <c r="J556" t="s">
        <v>174</v>
      </c>
      <c r="K556" t="s">
        <v>205</v>
      </c>
      <c r="O556">
        <v>0</v>
      </c>
      <c r="U556" t="s">
        <v>81</v>
      </c>
    </row>
    <row r="557" spans="1:21" x14ac:dyDescent="0.25">
      <c r="A557" s="33">
        <v>556</v>
      </c>
      <c r="B557" s="24">
        <v>44207</v>
      </c>
      <c r="C557" t="s">
        <v>181</v>
      </c>
      <c r="D557" t="s">
        <v>41</v>
      </c>
      <c r="E557">
        <v>2000708918</v>
      </c>
      <c r="F557">
        <v>2000</v>
      </c>
      <c r="G557">
        <v>200</v>
      </c>
      <c r="H557">
        <v>0</v>
      </c>
      <c r="I557" t="s">
        <v>642</v>
      </c>
      <c r="J557" t="s">
        <v>193</v>
      </c>
      <c r="K557" t="s">
        <v>647</v>
      </c>
      <c r="O557">
        <v>0</v>
      </c>
      <c r="U557" t="s">
        <v>81</v>
      </c>
    </row>
    <row r="558" spans="1:21" x14ac:dyDescent="0.25">
      <c r="A558" s="33">
        <v>557</v>
      </c>
      <c r="B558" s="24">
        <v>44207</v>
      </c>
      <c r="C558" t="s">
        <v>181</v>
      </c>
      <c r="D558" t="s">
        <v>41</v>
      </c>
      <c r="E558">
        <v>2000708703</v>
      </c>
      <c r="F558">
        <v>880</v>
      </c>
      <c r="G558">
        <v>80</v>
      </c>
      <c r="H558">
        <v>0</v>
      </c>
      <c r="I558" t="s">
        <v>642</v>
      </c>
      <c r="J558" t="s">
        <v>645</v>
      </c>
      <c r="K558" t="s">
        <v>734</v>
      </c>
      <c r="O558">
        <v>0</v>
      </c>
      <c r="U558" t="s">
        <v>81</v>
      </c>
    </row>
    <row r="559" spans="1:21" x14ac:dyDescent="0.25">
      <c r="A559" s="33">
        <v>558</v>
      </c>
      <c r="B559" s="24">
        <v>44207</v>
      </c>
      <c r="C559" t="s">
        <v>181</v>
      </c>
      <c r="D559" t="s">
        <v>41</v>
      </c>
      <c r="E559">
        <v>2000708722</v>
      </c>
      <c r="F559">
        <v>1800</v>
      </c>
      <c r="G559">
        <v>120</v>
      </c>
      <c r="H559">
        <v>0</v>
      </c>
      <c r="I559" t="s">
        <v>642</v>
      </c>
      <c r="J559" t="s">
        <v>645</v>
      </c>
      <c r="K559" t="s">
        <v>721</v>
      </c>
      <c r="O559">
        <v>0</v>
      </c>
      <c r="U559" t="s">
        <v>81</v>
      </c>
    </row>
    <row r="560" spans="1:21" x14ac:dyDescent="0.25">
      <c r="A560" s="33">
        <v>559</v>
      </c>
      <c r="B560" s="24">
        <v>44207</v>
      </c>
      <c r="C560" t="s">
        <v>181</v>
      </c>
      <c r="D560" t="s">
        <v>41</v>
      </c>
      <c r="E560">
        <v>2000707972</v>
      </c>
      <c r="F560">
        <v>360</v>
      </c>
      <c r="G560">
        <v>40</v>
      </c>
      <c r="H560">
        <v>0</v>
      </c>
      <c r="I560" t="s">
        <v>642</v>
      </c>
      <c r="J560" t="s">
        <v>195</v>
      </c>
      <c r="K560" t="s">
        <v>812</v>
      </c>
      <c r="O560">
        <v>0</v>
      </c>
      <c r="U560" t="s">
        <v>81</v>
      </c>
    </row>
    <row r="561" spans="1:21" x14ac:dyDescent="0.25">
      <c r="A561" s="33">
        <v>560</v>
      </c>
      <c r="B561" s="24">
        <v>44207</v>
      </c>
      <c r="C561" t="s">
        <v>181</v>
      </c>
      <c r="D561" t="s">
        <v>41</v>
      </c>
      <c r="E561">
        <v>2000708374</v>
      </c>
      <c r="F561">
        <v>2000</v>
      </c>
      <c r="G561">
        <v>200</v>
      </c>
      <c r="H561">
        <v>0</v>
      </c>
      <c r="I561" t="s">
        <v>201</v>
      </c>
      <c r="J561" t="s">
        <v>193</v>
      </c>
      <c r="K561" t="s">
        <v>176</v>
      </c>
      <c r="O561">
        <v>0</v>
      </c>
      <c r="U561" t="s">
        <v>81</v>
      </c>
    </row>
    <row r="562" spans="1:21" x14ac:dyDescent="0.25">
      <c r="A562" s="33">
        <v>561</v>
      </c>
      <c r="B562" s="24">
        <v>44207</v>
      </c>
      <c r="C562" t="s">
        <v>181</v>
      </c>
      <c r="D562" t="s">
        <v>41</v>
      </c>
      <c r="E562">
        <v>2000708025</v>
      </c>
      <c r="F562">
        <v>2620</v>
      </c>
      <c r="G562">
        <v>240</v>
      </c>
      <c r="H562">
        <v>0</v>
      </c>
      <c r="I562" t="s">
        <v>201</v>
      </c>
      <c r="J562" t="s">
        <v>203</v>
      </c>
      <c r="K562" t="s">
        <v>640</v>
      </c>
      <c r="O562">
        <v>0</v>
      </c>
      <c r="U562" t="s">
        <v>81</v>
      </c>
    </row>
    <row r="563" spans="1:21" x14ac:dyDescent="0.25">
      <c r="A563" s="33">
        <v>562</v>
      </c>
      <c r="B563" s="24">
        <v>44207</v>
      </c>
      <c r="C563" t="s">
        <v>181</v>
      </c>
      <c r="D563" t="s">
        <v>41</v>
      </c>
      <c r="E563">
        <v>2000708375</v>
      </c>
      <c r="F563">
        <v>2000</v>
      </c>
      <c r="G563">
        <v>200</v>
      </c>
      <c r="H563">
        <v>0</v>
      </c>
      <c r="I563" t="s">
        <v>201</v>
      </c>
      <c r="J563" t="s">
        <v>193</v>
      </c>
      <c r="K563" t="s">
        <v>683</v>
      </c>
      <c r="O563">
        <v>0</v>
      </c>
      <c r="U563" t="s">
        <v>81</v>
      </c>
    </row>
    <row r="564" spans="1:21" x14ac:dyDescent="0.25">
      <c r="A564" s="33">
        <v>563</v>
      </c>
      <c r="B564" s="24">
        <v>44207</v>
      </c>
      <c r="C564" t="s">
        <v>181</v>
      </c>
      <c r="D564" t="s">
        <v>41</v>
      </c>
      <c r="E564">
        <v>2000708715</v>
      </c>
      <c r="F564">
        <v>1360</v>
      </c>
      <c r="G564">
        <v>200</v>
      </c>
      <c r="H564">
        <v>0</v>
      </c>
      <c r="I564" t="s">
        <v>201</v>
      </c>
      <c r="J564" t="s">
        <v>196</v>
      </c>
      <c r="K564" t="s">
        <v>684</v>
      </c>
      <c r="O564">
        <v>0</v>
      </c>
      <c r="U564" t="s">
        <v>81</v>
      </c>
    </row>
    <row r="565" spans="1:21" x14ac:dyDescent="0.25">
      <c r="A565" s="33">
        <v>564</v>
      </c>
      <c r="B565" s="24">
        <v>44207</v>
      </c>
      <c r="C565" t="s">
        <v>181</v>
      </c>
      <c r="D565" t="s">
        <v>41</v>
      </c>
      <c r="E565">
        <v>2000708452</v>
      </c>
      <c r="F565">
        <v>2448</v>
      </c>
      <c r="G565">
        <v>150</v>
      </c>
      <c r="H565">
        <v>0</v>
      </c>
      <c r="I565" t="s">
        <v>201</v>
      </c>
      <c r="J565" t="s">
        <v>645</v>
      </c>
      <c r="K565" t="s">
        <v>813</v>
      </c>
      <c r="O565">
        <v>0</v>
      </c>
      <c r="U565" t="s">
        <v>81</v>
      </c>
    </row>
    <row r="566" spans="1:21" x14ac:dyDescent="0.25">
      <c r="A566" s="33">
        <v>565</v>
      </c>
      <c r="B566" s="24">
        <v>44207</v>
      </c>
      <c r="C566" t="s">
        <v>181</v>
      </c>
      <c r="D566" t="s">
        <v>41</v>
      </c>
      <c r="E566">
        <v>2000708454</v>
      </c>
      <c r="F566">
        <v>4239</v>
      </c>
      <c r="G566">
        <v>240</v>
      </c>
      <c r="H566">
        <v>0</v>
      </c>
      <c r="I566" t="s">
        <v>201</v>
      </c>
      <c r="J566" t="s">
        <v>169</v>
      </c>
      <c r="K566" t="s">
        <v>652</v>
      </c>
      <c r="O566">
        <v>0</v>
      </c>
      <c r="U566" t="s">
        <v>81</v>
      </c>
    </row>
    <row r="567" spans="1:21" x14ac:dyDescent="0.25">
      <c r="A567" s="33">
        <v>566</v>
      </c>
      <c r="B567" s="24">
        <v>44207</v>
      </c>
      <c r="C567" t="s">
        <v>181</v>
      </c>
      <c r="D567" t="s">
        <v>41</v>
      </c>
      <c r="E567">
        <v>2000708775</v>
      </c>
      <c r="F567">
        <v>6400</v>
      </c>
      <c r="G567">
        <v>200</v>
      </c>
      <c r="H567">
        <v>0</v>
      </c>
      <c r="I567" t="s">
        <v>201</v>
      </c>
      <c r="J567" t="s">
        <v>172</v>
      </c>
      <c r="K567" t="s">
        <v>814</v>
      </c>
      <c r="O567">
        <v>0</v>
      </c>
      <c r="U567" t="s">
        <v>81</v>
      </c>
    </row>
    <row r="568" spans="1:21" x14ac:dyDescent="0.25">
      <c r="A568" s="33">
        <v>567</v>
      </c>
      <c r="B568" s="24">
        <v>44207</v>
      </c>
      <c r="C568" t="s">
        <v>181</v>
      </c>
      <c r="D568" t="s">
        <v>41</v>
      </c>
      <c r="E568">
        <v>2000708919</v>
      </c>
      <c r="F568">
        <v>1344</v>
      </c>
      <c r="G568">
        <v>160</v>
      </c>
      <c r="H568">
        <v>0</v>
      </c>
      <c r="I568" t="s">
        <v>201</v>
      </c>
      <c r="J568" t="s">
        <v>655</v>
      </c>
      <c r="K568" t="s">
        <v>656</v>
      </c>
      <c r="O568">
        <v>0</v>
      </c>
      <c r="U568" t="s">
        <v>81</v>
      </c>
    </row>
    <row r="569" spans="1:21" x14ac:dyDescent="0.25">
      <c r="A569" s="33">
        <v>568</v>
      </c>
      <c r="B569" s="24">
        <v>44207</v>
      </c>
      <c r="C569" t="s">
        <v>181</v>
      </c>
      <c r="D569" t="s">
        <v>41</v>
      </c>
      <c r="E569">
        <v>2000708717</v>
      </c>
      <c r="F569">
        <v>1360</v>
      </c>
      <c r="G569">
        <v>150</v>
      </c>
      <c r="H569">
        <v>0</v>
      </c>
      <c r="I569" t="s">
        <v>201</v>
      </c>
      <c r="J569" t="s">
        <v>196</v>
      </c>
      <c r="K569" t="s">
        <v>685</v>
      </c>
      <c r="O569">
        <v>0</v>
      </c>
      <c r="U569" t="s">
        <v>81</v>
      </c>
    </row>
    <row r="570" spans="1:21" x14ac:dyDescent="0.25">
      <c r="A570" s="33">
        <v>569</v>
      </c>
      <c r="B570" s="24">
        <v>44207</v>
      </c>
      <c r="C570" t="s">
        <v>181</v>
      </c>
      <c r="D570" t="s">
        <v>41</v>
      </c>
      <c r="E570">
        <v>2000708364</v>
      </c>
      <c r="F570">
        <v>1352</v>
      </c>
      <c r="G570">
        <v>45</v>
      </c>
      <c r="H570">
        <v>0</v>
      </c>
      <c r="I570" t="s">
        <v>180</v>
      </c>
      <c r="J570" t="s">
        <v>174</v>
      </c>
      <c r="K570" t="s">
        <v>205</v>
      </c>
      <c r="O570">
        <v>0</v>
      </c>
      <c r="U570" t="s">
        <v>81</v>
      </c>
    </row>
    <row r="571" spans="1:21" x14ac:dyDescent="0.25">
      <c r="A571" s="33">
        <v>570</v>
      </c>
      <c r="B571" s="24">
        <v>44207</v>
      </c>
      <c r="C571" t="s">
        <v>181</v>
      </c>
      <c r="D571" t="s">
        <v>41</v>
      </c>
      <c r="E571">
        <v>2000708024</v>
      </c>
      <c r="F571">
        <v>1792</v>
      </c>
      <c r="G571">
        <v>892</v>
      </c>
      <c r="H571">
        <v>0</v>
      </c>
      <c r="I571" t="s">
        <v>180</v>
      </c>
      <c r="J571" t="s">
        <v>203</v>
      </c>
      <c r="K571" t="s">
        <v>788</v>
      </c>
      <c r="O571">
        <v>0</v>
      </c>
      <c r="U571" t="s">
        <v>81</v>
      </c>
    </row>
    <row r="572" spans="1:21" x14ac:dyDescent="0.25">
      <c r="A572" s="33">
        <v>571</v>
      </c>
      <c r="B572" s="24">
        <v>44207</v>
      </c>
      <c r="C572" t="s">
        <v>181</v>
      </c>
      <c r="D572" t="s">
        <v>41</v>
      </c>
      <c r="E572">
        <v>2000708770</v>
      </c>
      <c r="F572">
        <v>7830</v>
      </c>
      <c r="G572">
        <v>300</v>
      </c>
      <c r="H572">
        <v>0</v>
      </c>
      <c r="I572" t="s">
        <v>180</v>
      </c>
      <c r="J572" t="s">
        <v>200</v>
      </c>
      <c r="K572" t="s">
        <v>737</v>
      </c>
      <c r="O572">
        <v>0</v>
      </c>
      <c r="U572" t="s">
        <v>81</v>
      </c>
    </row>
    <row r="573" spans="1:21" x14ac:dyDescent="0.25">
      <c r="A573" s="33">
        <v>572</v>
      </c>
      <c r="B573" s="24">
        <v>44207</v>
      </c>
      <c r="C573" t="s">
        <v>181</v>
      </c>
      <c r="D573" t="s">
        <v>41</v>
      </c>
      <c r="E573">
        <v>2000708694</v>
      </c>
      <c r="F573">
        <v>1320</v>
      </c>
      <c r="G573">
        <v>120</v>
      </c>
      <c r="H573">
        <v>0</v>
      </c>
      <c r="I573" t="s">
        <v>180</v>
      </c>
      <c r="J573" t="s">
        <v>174</v>
      </c>
      <c r="K573" t="s">
        <v>805</v>
      </c>
      <c r="O573">
        <v>0</v>
      </c>
      <c r="U573" t="s">
        <v>81</v>
      </c>
    </row>
    <row r="574" spans="1:21" x14ac:dyDescent="0.25">
      <c r="A574" s="33">
        <v>573</v>
      </c>
      <c r="B574" s="24">
        <v>44207</v>
      </c>
      <c r="C574" t="s">
        <v>181</v>
      </c>
      <c r="D574" t="s">
        <v>51</v>
      </c>
      <c r="E574">
        <v>2000708160</v>
      </c>
      <c r="F574">
        <v>600</v>
      </c>
      <c r="G574">
        <v>100</v>
      </c>
      <c r="H574">
        <v>0</v>
      </c>
      <c r="I574" t="s">
        <v>191</v>
      </c>
      <c r="J574" t="s">
        <v>669</v>
      </c>
      <c r="K574" t="s">
        <v>712</v>
      </c>
      <c r="O574">
        <v>0</v>
      </c>
      <c r="U574" t="s">
        <v>81</v>
      </c>
    </row>
    <row r="575" spans="1:21" x14ac:dyDescent="0.25">
      <c r="A575" s="33">
        <v>574</v>
      </c>
      <c r="B575" s="24">
        <v>44207</v>
      </c>
      <c r="C575" t="s">
        <v>181</v>
      </c>
      <c r="D575" t="s">
        <v>51</v>
      </c>
      <c r="E575">
        <v>2000708163</v>
      </c>
      <c r="F575">
        <v>1020</v>
      </c>
      <c r="G575">
        <v>150</v>
      </c>
      <c r="H575">
        <v>0</v>
      </c>
      <c r="I575" t="s">
        <v>191</v>
      </c>
      <c r="J575" t="s">
        <v>667</v>
      </c>
      <c r="K575" t="s">
        <v>668</v>
      </c>
      <c r="O575">
        <v>0</v>
      </c>
      <c r="U575" t="s">
        <v>81</v>
      </c>
    </row>
    <row r="576" spans="1:21" x14ac:dyDescent="0.25">
      <c r="A576" s="33">
        <v>575</v>
      </c>
      <c r="B576" s="24">
        <v>44207</v>
      </c>
      <c r="C576" t="s">
        <v>181</v>
      </c>
      <c r="D576" t="s">
        <v>51</v>
      </c>
      <c r="E576">
        <v>2000708155</v>
      </c>
      <c r="F576">
        <v>500</v>
      </c>
      <c r="G576">
        <v>100</v>
      </c>
      <c r="H576">
        <v>0</v>
      </c>
      <c r="I576" t="s">
        <v>191</v>
      </c>
      <c r="J576" t="s">
        <v>673</v>
      </c>
      <c r="K576" t="s">
        <v>674</v>
      </c>
      <c r="O576">
        <v>0</v>
      </c>
      <c r="U576" t="s">
        <v>81</v>
      </c>
    </row>
    <row r="577" spans="1:21" x14ac:dyDescent="0.25">
      <c r="A577" s="33">
        <v>576</v>
      </c>
      <c r="B577" s="24">
        <v>44207</v>
      </c>
      <c r="C577" t="s">
        <v>181</v>
      </c>
      <c r="D577" t="s">
        <v>51</v>
      </c>
      <c r="E577">
        <v>2000708154</v>
      </c>
      <c r="F577">
        <v>220</v>
      </c>
      <c r="G577">
        <v>130</v>
      </c>
      <c r="H577">
        <v>0</v>
      </c>
      <c r="I577" t="s">
        <v>191</v>
      </c>
      <c r="J577" t="s">
        <v>779</v>
      </c>
      <c r="K577" t="s">
        <v>809</v>
      </c>
      <c r="O577">
        <v>0</v>
      </c>
      <c r="U577" t="s">
        <v>81</v>
      </c>
    </row>
    <row r="578" spans="1:21" x14ac:dyDescent="0.25">
      <c r="A578" s="33">
        <v>577</v>
      </c>
      <c r="B578" s="24">
        <v>44207</v>
      </c>
      <c r="C578" t="s">
        <v>181</v>
      </c>
      <c r="D578" t="s">
        <v>51</v>
      </c>
      <c r="E578">
        <v>2000707674</v>
      </c>
      <c r="F578">
        <v>150</v>
      </c>
      <c r="G578">
        <v>30</v>
      </c>
      <c r="H578">
        <v>0</v>
      </c>
      <c r="I578" t="s">
        <v>191</v>
      </c>
      <c r="J578" t="s">
        <v>669</v>
      </c>
      <c r="K578" t="s">
        <v>810</v>
      </c>
      <c r="O578">
        <v>0</v>
      </c>
      <c r="U578" t="s">
        <v>81</v>
      </c>
    </row>
    <row r="579" spans="1:21" x14ac:dyDescent="0.25">
      <c r="A579" s="33">
        <v>578</v>
      </c>
      <c r="B579" s="24">
        <v>44207</v>
      </c>
      <c r="C579" t="s">
        <v>181</v>
      </c>
      <c r="D579" t="s">
        <v>51</v>
      </c>
      <c r="E579">
        <v>2000708162</v>
      </c>
      <c r="F579">
        <v>700</v>
      </c>
      <c r="G579">
        <v>70</v>
      </c>
      <c r="H579">
        <v>0</v>
      </c>
      <c r="I579" t="s">
        <v>191</v>
      </c>
      <c r="J579" t="s">
        <v>709</v>
      </c>
      <c r="K579" t="s">
        <v>743</v>
      </c>
      <c r="O579">
        <v>0</v>
      </c>
      <c r="T579">
        <v>0</v>
      </c>
      <c r="U579" t="s">
        <v>81</v>
      </c>
    </row>
    <row r="580" spans="1:21" x14ac:dyDescent="0.25">
      <c r="A580" s="33">
        <v>579</v>
      </c>
      <c r="B580" s="24">
        <v>44207</v>
      </c>
      <c r="C580" t="s">
        <v>181</v>
      </c>
      <c r="D580" t="s">
        <v>51</v>
      </c>
      <c r="E580">
        <v>2000708158</v>
      </c>
      <c r="F580">
        <v>300</v>
      </c>
      <c r="G580">
        <v>100</v>
      </c>
      <c r="H580">
        <v>0</v>
      </c>
      <c r="I580" t="s">
        <v>191</v>
      </c>
      <c r="J580" t="s">
        <v>673</v>
      </c>
      <c r="K580" t="s">
        <v>742</v>
      </c>
      <c r="O580">
        <v>0</v>
      </c>
      <c r="U580" t="s">
        <v>81</v>
      </c>
    </row>
    <row r="581" spans="1:21" x14ac:dyDescent="0.25">
      <c r="A581" s="33">
        <v>580</v>
      </c>
      <c r="B581" s="24">
        <v>44207</v>
      </c>
      <c r="C581" t="s">
        <v>181</v>
      </c>
      <c r="D581" t="s">
        <v>51</v>
      </c>
      <c r="E581">
        <v>2000708156</v>
      </c>
      <c r="F581">
        <v>700</v>
      </c>
      <c r="G581">
        <v>160</v>
      </c>
      <c r="H581">
        <v>0</v>
      </c>
      <c r="I581" t="s">
        <v>191</v>
      </c>
      <c r="J581" t="s">
        <v>673</v>
      </c>
      <c r="K581" t="s">
        <v>672</v>
      </c>
      <c r="O581">
        <v>0</v>
      </c>
      <c r="U581" t="s">
        <v>81</v>
      </c>
    </row>
    <row r="582" spans="1:21" x14ac:dyDescent="0.25">
      <c r="A582" s="33">
        <v>581</v>
      </c>
      <c r="B582" s="24">
        <v>44208</v>
      </c>
      <c r="C582" t="s">
        <v>39</v>
      </c>
      <c r="D582" t="s">
        <v>41</v>
      </c>
      <c r="E582">
        <v>2000708688</v>
      </c>
      <c r="F582">
        <v>810</v>
      </c>
      <c r="G582">
        <v>131</v>
      </c>
      <c r="H582">
        <v>0</v>
      </c>
      <c r="I582" t="s">
        <v>184</v>
      </c>
      <c r="J582" t="s">
        <v>203</v>
      </c>
      <c r="K582" t="s">
        <v>638</v>
      </c>
      <c r="O582">
        <v>0</v>
      </c>
      <c r="U582" t="s">
        <v>81</v>
      </c>
    </row>
    <row r="583" spans="1:21" x14ac:dyDescent="0.25">
      <c r="A583" s="33">
        <v>582</v>
      </c>
      <c r="B583" s="24">
        <v>44208</v>
      </c>
      <c r="C583" t="s">
        <v>39</v>
      </c>
      <c r="D583" t="s">
        <v>41</v>
      </c>
      <c r="E583">
        <v>2000708689</v>
      </c>
      <c r="F583">
        <v>360</v>
      </c>
      <c r="G583">
        <v>60</v>
      </c>
      <c r="H583">
        <v>0</v>
      </c>
      <c r="I583" t="s">
        <v>184</v>
      </c>
      <c r="J583" t="s">
        <v>203</v>
      </c>
      <c r="K583" t="s">
        <v>815</v>
      </c>
      <c r="O583">
        <v>0</v>
      </c>
      <c r="U583" t="s">
        <v>81</v>
      </c>
    </row>
    <row r="584" spans="1:21" x14ac:dyDescent="0.25">
      <c r="A584" s="33">
        <v>583</v>
      </c>
      <c r="B584" s="24">
        <v>44208</v>
      </c>
      <c r="C584" t="s">
        <v>39</v>
      </c>
      <c r="D584" t="s">
        <v>41</v>
      </c>
      <c r="E584">
        <v>2000708774</v>
      </c>
      <c r="F584">
        <v>238</v>
      </c>
      <c r="G584">
        <v>35</v>
      </c>
      <c r="H584">
        <v>0</v>
      </c>
      <c r="I584" t="s">
        <v>184</v>
      </c>
      <c r="J584" t="s">
        <v>816</v>
      </c>
      <c r="K584" t="s">
        <v>817</v>
      </c>
      <c r="O584">
        <v>0</v>
      </c>
      <c r="U584" t="s">
        <v>81</v>
      </c>
    </row>
    <row r="585" spans="1:21" x14ac:dyDescent="0.25">
      <c r="A585" s="33">
        <v>584</v>
      </c>
      <c r="B585" s="24">
        <v>44208</v>
      </c>
      <c r="C585" t="s">
        <v>39</v>
      </c>
      <c r="D585" t="s">
        <v>41</v>
      </c>
      <c r="E585">
        <v>2000708024</v>
      </c>
      <c r="F585">
        <v>1792</v>
      </c>
      <c r="G585">
        <v>400</v>
      </c>
      <c r="H585">
        <v>0</v>
      </c>
      <c r="I585" t="s">
        <v>680</v>
      </c>
      <c r="J585" t="s">
        <v>203</v>
      </c>
      <c r="K585" t="s">
        <v>788</v>
      </c>
      <c r="O585">
        <v>0</v>
      </c>
      <c r="U585" t="s">
        <v>81</v>
      </c>
    </row>
    <row r="586" spans="1:21" x14ac:dyDescent="0.25">
      <c r="A586" s="33">
        <v>585</v>
      </c>
      <c r="B586" s="24">
        <v>44208</v>
      </c>
      <c r="C586" t="s">
        <v>39</v>
      </c>
      <c r="D586" t="s">
        <v>41</v>
      </c>
      <c r="E586">
        <v>2000708025</v>
      </c>
      <c r="F586">
        <v>2620</v>
      </c>
      <c r="G586">
        <v>120</v>
      </c>
      <c r="H586">
        <v>0</v>
      </c>
      <c r="I586" t="s">
        <v>680</v>
      </c>
      <c r="J586" t="s">
        <v>203</v>
      </c>
      <c r="K586" t="s">
        <v>640</v>
      </c>
      <c r="O586">
        <v>0</v>
      </c>
      <c r="U586" t="s">
        <v>81</v>
      </c>
    </row>
    <row r="587" spans="1:21" x14ac:dyDescent="0.25">
      <c r="A587" s="33">
        <v>586</v>
      </c>
      <c r="B587" s="24">
        <v>44208</v>
      </c>
      <c r="C587" t="s">
        <v>39</v>
      </c>
      <c r="D587" t="s">
        <v>41</v>
      </c>
      <c r="E587">
        <v>2000708720</v>
      </c>
      <c r="F587">
        <v>1800</v>
      </c>
      <c r="G587">
        <v>150</v>
      </c>
      <c r="H587">
        <v>0</v>
      </c>
      <c r="I587" t="s">
        <v>680</v>
      </c>
      <c r="J587" t="s">
        <v>645</v>
      </c>
      <c r="K587" t="s">
        <v>739</v>
      </c>
      <c r="O587">
        <v>0</v>
      </c>
      <c r="U587" t="s">
        <v>81</v>
      </c>
    </row>
    <row r="588" spans="1:21" x14ac:dyDescent="0.25">
      <c r="A588" s="33">
        <v>587</v>
      </c>
      <c r="B588" s="24">
        <v>44208</v>
      </c>
      <c r="C588" t="s">
        <v>39</v>
      </c>
      <c r="D588" t="s">
        <v>41</v>
      </c>
      <c r="E588">
        <v>2000707974</v>
      </c>
      <c r="F588">
        <v>360</v>
      </c>
      <c r="G588">
        <v>100</v>
      </c>
      <c r="H588">
        <v>0</v>
      </c>
      <c r="I588" t="s">
        <v>680</v>
      </c>
      <c r="J588" t="s">
        <v>195</v>
      </c>
      <c r="K588" t="s">
        <v>818</v>
      </c>
      <c r="O588">
        <v>0</v>
      </c>
      <c r="U588" t="s">
        <v>81</v>
      </c>
    </row>
    <row r="589" spans="1:21" x14ac:dyDescent="0.25">
      <c r="A589" s="33">
        <v>588</v>
      </c>
      <c r="B589" s="24">
        <v>44208</v>
      </c>
      <c r="C589" t="s">
        <v>39</v>
      </c>
      <c r="D589" t="s">
        <v>41</v>
      </c>
      <c r="E589">
        <v>2000707975</v>
      </c>
      <c r="F589">
        <v>360</v>
      </c>
      <c r="G589">
        <v>150</v>
      </c>
      <c r="H589">
        <v>0</v>
      </c>
      <c r="I589" t="s">
        <v>680</v>
      </c>
      <c r="J589" t="s">
        <v>195</v>
      </c>
      <c r="K589" t="s">
        <v>819</v>
      </c>
      <c r="O589">
        <v>0</v>
      </c>
      <c r="U589" t="s">
        <v>81</v>
      </c>
    </row>
    <row r="590" spans="1:21" x14ac:dyDescent="0.25">
      <c r="A590" s="33">
        <v>589</v>
      </c>
      <c r="B590" s="24">
        <v>44208</v>
      </c>
      <c r="C590" t="s">
        <v>39</v>
      </c>
      <c r="D590" t="s">
        <v>41</v>
      </c>
      <c r="E590">
        <v>2000708719</v>
      </c>
      <c r="F590">
        <v>1800</v>
      </c>
      <c r="G590">
        <v>200</v>
      </c>
      <c r="H590">
        <v>0</v>
      </c>
      <c r="I590" t="s">
        <v>680</v>
      </c>
      <c r="J590" t="s">
        <v>645</v>
      </c>
      <c r="K590" t="s">
        <v>756</v>
      </c>
      <c r="O590">
        <v>0</v>
      </c>
      <c r="U590" t="s">
        <v>81</v>
      </c>
    </row>
    <row r="591" spans="1:21" x14ac:dyDescent="0.25">
      <c r="A591" s="33">
        <v>590</v>
      </c>
      <c r="B591" s="24">
        <v>44208</v>
      </c>
      <c r="C591" t="s">
        <v>39</v>
      </c>
      <c r="D591" t="s">
        <v>41</v>
      </c>
      <c r="E591">
        <v>2000707973</v>
      </c>
      <c r="F591">
        <v>360</v>
      </c>
      <c r="G591">
        <v>100</v>
      </c>
      <c r="H591">
        <v>0</v>
      </c>
      <c r="I591" t="s">
        <v>680</v>
      </c>
      <c r="J591" t="s">
        <v>195</v>
      </c>
      <c r="K591" t="s">
        <v>820</v>
      </c>
      <c r="O591">
        <v>0</v>
      </c>
      <c r="U591" t="s">
        <v>81</v>
      </c>
    </row>
    <row r="592" spans="1:21" x14ac:dyDescent="0.25">
      <c r="A592" s="33">
        <v>591</v>
      </c>
      <c r="B592" s="24">
        <v>44208</v>
      </c>
      <c r="C592" t="s">
        <v>39</v>
      </c>
      <c r="D592" t="s">
        <v>41</v>
      </c>
      <c r="E592">
        <v>2000708916</v>
      </c>
      <c r="F592">
        <v>2000</v>
      </c>
      <c r="G592">
        <v>130</v>
      </c>
      <c r="H592">
        <v>0</v>
      </c>
      <c r="I592" t="s">
        <v>680</v>
      </c>
      <c r="J592" t="s">
        <v>193</v>
      </c>
      <c r="K592" t="s">
        <v>650</v>
      </c>
      <c r="O592">
        <v>0</v>
      </c>
      <c r="U592" t="s">
        <v>81</v>
      </c>
    </row>
    <row r="593" spans="1:21" x14ac:dyDescent="0.25">
      <c r="A593" s="33">
        <v>592</v>
      </c>
      <c r="B593" s="24">
        <v>44208</v>
      </c>
      <c r="C593" t="s">
        <v>39</v>
      </c>
      <c r="D593" t="s">
        <v>41</v>
      </c>
      <c r="E593">
        <v>2000709145</v>
      </c>
      <c r="F593">
        <v>2096</v>
      </c>
      <c r="G593">
        <v>400</v>
      </c>
      <c r="H593">
        <v>0</v>
      </c>
      <c r="I593" t="s">
        <v>680</v>
      </c>
      <c r="J593" t="s">
        <v>203</v>
      </c>
      <c r="K593" t="s">
        <v>788</v>
      </c>
      <c r="O593">
        <v>0</v>
      </c>
      <c r="U593" t="s">
        <v>81</v>
      </c>
    </row>
    <row r="594" spans="1:21" x14ac:dyDescent="0.25">
      <c r="A594" s="33">
        <v>593</v>
      </c>
      <c r="B594" s="24">
        <v>44208</v>
      </c>
      <c r="C594" t="s">
        <v>39</v>
      </c>
      <c r="D594" t="s">
        <v>41</v>
      </c>
      <c r="E594">
        <v>2000707222</v>
      </c>
      <c r="F594">
        <v>1850</v>
      </c>
      <c r="G594">
        <v>80</v>
      </c>
      <c r="H594">
        <v>0</v>
      </c>
      <c r="I594" t="s">
        <v>183</v>
      </c>
      <c r="J594" t="s">
        <v>174</v>
      </c>
      <c r="K594" t="s">
        <v>177</v>
      </c>
      <c r="O594">
        <v>0</v>
      </c>
      <c r="U594" t="s">
        <v>81</v>
      </c>
    </row>
    <row r="595" spans="1:21" x14ac:dyDescent="0.25">
      <c r="A595" s="33">
        <v>594</v>
      </c>
      <c r="B595" s="24">
        <v>44208</v>
      </c>
      <c r="C595" t="s">
        <v>39</v>
      </c>
      <c r="D595" t="s">
        <v>41</v>
      </c>
      <c r="E595">
        <v>2000708025</v>
      </c>
      <c r="F595">
        <v>2620</v>
      </c>
      <c r="G595">
        <v>120</v>
      </c>
      <c r="H595">
        <v>0</v>
      </c>
      <c r="I595" t="s">
        <v>183</v>
      </c>
      <c r="J595" t="s">
        <v>203</v>
      </c>
      <c r="K595" t="s">
        <v>640</v>
      </c>
      <c r="O595">
        <v>0</v>
      </c>
      <c r="U595" t="s">
        <v>81</v>
      </c>
    </row>
    <row r="596" spans="1:21" x14ac:dyDescent="0.25">
      <c r="A596" s="33">
        <v>595</v>
      </c>
      <c r="B596" s="24">
        <v>44208</v>
      </c>
      <c r="C596" t="s">
        <v>39</v>
      </c>
      <c r="D596" t="s">
        <v>41</v>
      </c>
      <c r="E596">
        <v>2000700021</v>
      </c>
      <c r="F596">
        <v>2600</v>
      </c>
      <c r="G596">
        <v>45</v>
      </c>
      <c r="H596">
        <v>0</v>
      </c>
      <c r="I596" t="s">
        <v>183</v>
      </c>
      <c r="J596" t="s">
        <v>170</v>
      </c>
      <c r="K596" t="s">
        <v>171</v>
      </c>
      <c r="O596">
        <v>0</v>
      </c>
      <c r="U596" t="s">
        <v>81</v>
      </c>
    </row>
    <row r="597" spans="1:21" x14ac:dyDescent="0.25">
      <c r="A597" s="33">
        <v>596</v>
      </c>
      <c r="B597" s="24">
        <v>44208</v>
      </c>
      <c r="C597" t="s">
        <v>39</v>
      </c>
      <c r="D597" t="s">
        <v>41</v>
      </c>
      <c r="E597">
        <v>2000709307</v>
      </c>
      <c r="F597">
        <v>440</v>
      </c>
      <c r="G597">
        <v>280</v>
      </c>
      <c r="H597">
        <v>0</v>
      </c>
      <c r="I597" t="s">
        <v>183</v>
      </c>
      <c r="J597" t="s">
        <v>174</v>
      </c>
      <c r="K597" t="s">
        <v>735</v>
      </c>
      <c r="O597">
        <v>0</v>
      </c>
      <c r="U597" t="s">
        <v>81</v>
      </c>
    </row>
    <row r="598" spans="1:21" ht="60" x14ac:dyDescent="0.25">
      <c r="A598" s="33">
        <v>597</v>
      </c>
      <c r="B598" s="24">
        <v>44208</v>
      </c>
      <c r="C598" t="s">
        <v>39</v>
      </c>
      <c r="D598" t="s">
        <v>41</v>
      </c>
      <c r="E598">
        <v>2000708983</v>
      </c>
      <c r="F598">
        <v>280</v>
      </c>
      <c r="G598">
        <v>4</v>
      </c>
      <c r="H598">
        <v>0</v>
      </c>
      <c r="I598" t="s">
        <v>183</v>
      </c>
      <c r="J598" t="s">
        <v>174</v>
      </c>
      <c r="K598" t="s">
        <v>763</v>
      </c>
      <c r="O598">
        <v>0</v>
      </c>
      <c r="T598" s="62" t="s">
        <v>821</v>
      </c>
      <c r="U598" t="s">
        <v>81</v>
      </c>
    </row>
    <row r="599" spans="1:21" x14ac:dyDescent="0.25">
      <c r="A599" s="33">
        <v>598</v>
      </c>
      <c r="B599" s="24">
        <v>44208</v>
      </c>
      <c r="C599" t="s">
        <v>39</v>
      </c>
      <c r="D599" t="s">
        <v>41</v>
      </c>
      <c r="E599">
        <v>2000707771</v>
      </c>
      <c r="F599">
        <v>1036</v>
      </c>
      <c r="G599">
        <v>90</v>
      </c>
      <c r="H599">
        <v>0</v>
      </c>
      <c r="I599" t="s">
        <v>693</v>
      </c>
      <c r="J599" t="s">
        <v>170</v>
      </c>
      <c r="K599" t="s">
        <v>732</v>
      </c>
      <c r="O599">
        <v>0</v>
      </c>
      <c r="U599" t="s">
        <v>81</v>
      </c>
    </row>
    <row r="600" spans="1:21" x14ac:dyDescent="0.25">
      <c r="A600" s="33">
        <v>599</v>
      </c>
      <c r="B600" s="24">
        <v>44208</v>
      </c>
      <c r="C600" t="s">
        <v>39</v>
      </c>
      <c r="D600" t="s">
        <v>41</v>
      </c>
      <c r="E600">
        <v>2000708364</v>
      </c>
      <c r="F600">
        <v>1350</v>
      </c>
      <c r="G600">
        <v>163</v>
      </c>
      <c r="H600">
        <v>0</v>
      </c>
      <c r="I600" t="s">
        <v>693</v>
      </c>
      <c r="J600" t="s">
        <v>174</v>
      </c>
      <c r="K600" t="s">
        <v>205</v>
      </c>
      <c r="O600">
        <v>0</v>
      </c>
      <c r="U600" t="s">
        <v>81</v>
      </c>
    </row>
    <row r="601" spans="1:21" x14ac:dyDescent="0.25">
      <c r="A601" s="33">
        <v>600</v>
      </c>
      <c r="B601" s="24">
        <v>44208</v>
      </c>
      <c r="C601" t="s">
        <v>39</v>
      </c>
      <c r="D601" t="s">
        <v>41</v>
      </c>
      <c r="E601">
        <v>2000708958</v>
      </c>
      <c r="F601">
        <v>1080</v>
      </c>
      <c r="G601">
        <v>180</v>
      </c>
      <c r="H601">
        <v>0</v>
      </c>
      <c r="I601" t="s">
        <v>693</v>
      </c>
      <c r="J601" t="s">
        <v>698</v>
      </c>
      <c r="K601" t="s">
        <v>699</v>
      </c>
      <c r="O601">
        <v>0</v>
      </c>
      <c r="U601" t="s">
        <v>81</v>
      </c>
    </row>
    <row r="602" spans="1:21" x14ac:dyDescent="0.25">
      <c r="A602" s="33">
        <v>601</v>
      </c>
      <c r="B602" s="24">
        <v>44208</v>
      </c>
      <c r="C602" t="s">
        <v>39</v>
      </c>
      <c r="D602" t="s">
        <v>41</v>
      </c>
      <c r="E602">
        <v>2000704807</v>
      </c>
      <c r="F602">
        <v>1936</v>
      </c>
      <c r="G602">
        <v>9</v>
      </c>
      <c r="H602">
        <v>0</v>
      </c>
      <c r="I602" t="s">
        <v>693</v>
      </c>
      <c r="J602" t="s">
        <v>698</v>
      </c>
      <c r="K602" t="s">
        <v>699</v>
      </c>
      <c r="O602">
        <v>0</v>
      </c>
      <c r="U602" t="s">
        <v>81</v>
      </c>
    </row>
    <row r="603" spans="1:21" x14ac:dyDescent="0.25">
      <c r="A603" s="33">
        <v>602</v>
      </c>
      <c r="B603" s="24">
        <v>44208</v>
      </c>
      <c r="C603" t="s">
        <v>39</v>
      </c>
      <c r="D603" t="s">
        <v>41</v>
      </c>
      <c r="E603">
        <v>2000701106</v>
      </c>
      <c r="F603">
        <v>1530</v>
      </c>
      <c r="G603">
        <v>66</v>
      </c>
      <c r="H603">
        <v>0</v>
      </c>
      <c r="I603" t="s">
        <v>693</v>
      </c>
      <c r="J603" t="s">
        <v>170</v>
      </c>
      <c r="K603" t="s">
        <v>171</v>
      </c>
      <c r="O603">
        <v>0</v>
      </c>
      <c r="U603" t="s">
        <v>81</v>
      </c>
    </row>
    <row r="604" spans="1:21" x14ac:dyDescent="0.25">
      <c r="A604" s="33">
        <v>603</v>
      </c>
      <c r="B604" s="24">
        <v>44208</v>
      </c>
      <c r="C604" t="s">
        <v>39</v>
      </c>
      <c r="D604" t="s">
        <v>41</v>
      </c>
      <c r="E604">
        <v>2000708003</v>
      </c>
      <c r="F604">
        <v>2100</v>
      </c>
      <c r="G604">
        <v>30</v>
      </c>
      <c r="H604">
        <v>0</v>
      </c>
      <c r="I604" t="s">
        <v>185</v>
      </c>
      <c r="J604" t="s">
        <v>169</v>
      </c>
      <c r="K604" t="s">
        <v>179</v>
      </c>
      <c r="O604">
        <v>0</v>
      </c>
      <c r="U604" t="s">
        <v>81</v>
      </c>
    </row>
    <row r="605" spans="1:21" x14ac:dyDescent="0.25">
      <c r="A605" s="33">
        <v>604</v>
      </c>
      <c r="B605" s="24">
        <v>44208</v>
      </c>
      <c r="C605" t="s">
        <v>39</v>
      </c>
      <c r="D605" t="s">
        <v>41</v>
      </c>
      <c r="E605">
        <v>2000708373</v>
      </c>
      <c r="F605">
        <v>860</v>
      </c>
      <c r="G605">
        <v>96</v>
      </c>
      <c r="H605">
        <v>0</v>
      </c>
      <c r="I605" t="s">
        <v>185</v>
      </c>
      <c r="J605" t="s">
        <v>169</v>
      </c>
      <c r="K605" t="s">
        <v>190</v>
      </c>
      <c r="O605">
        <v>0</v>
      </c>
      <c r="U605" t="s">
        <v>81</v>
      </c>
    </row>
    <row r="606" spans="1:21" x14ac:dyDescent="0.25">
      <c r="A606" s="33">
        <v>605</v>
      </c>
      <c r="B606" s="24">
        <v>44208</v>
      </c>
      <c r="C606" t="s">
        <v>39</v>
      </c>
      <c r="D606" t="s">
        <v>41</v>
      </c>
      <c r="E606">
        <v>2000707972</v>
      </c>
      <c r="F606">
        <v>360</v>
      </c>
      <c r="G606">
        <v>40</v>
      </c>
      <c r="H606">
        <v>1</v>
      </c>
      <c r="I606" t="s">
        <v>185</v>
      </c>
      <c r="J606" t="s">
        <v>195</v>
      </c>
      <c r="K606" t="s">
        <v>812</v>
      </c>
      <c r="L606" t="s">
        <v>141</v>
      </c>
      <c r="M606" t="s">
        <v>822</v>
      </c>
      <c r="N606" t="s">
        <v>823</v>
      </c>
      <c r="O606">
        <v>1</v>
      </c>
      <c r="P606" t="s">
        <v>824</v>
      </c>
      <c r="Q606" t="s">
        <v>825</v>
      </c>
      <c r="R606">
        <v>1140007667</v>
      </c>
      <c r="S606" s="36">
        <v>0.4375</v>
      </c>
      <c r="U606" t="s">
        <v>81</v>
      </c>
    </row>
    <row r="607" spans="1:21" x14ac:dyDescent="0.25">
      <c r="A607" s="33">
        <v>606</v>
      </c>
      <c r="B607" s="24">
        <v>44208</v>
      </c>
      <c r="C607" t="s">
        <v>39</v>
      </c>
      <c r="D607" t="s">
        <v>41</v>
      </c>
      <c r="E607">
        <v>2000708685</v>
      </c>
      <c r="F607">
        <v>700</v>
      </c>
      <c r="G607">
        <v>40</v>
      </c>
      <c r="H607">
        <v>0</v>
      </c>
      <c r="I607" t="s">
        <v>185</v>
      </c>
      <c r="J607" t="s">
        <v>169</v>
      </c>
      <c r="K607" t="s">
        <v>663</v>
      </c>
      <c r="O607">
        <v>0</v>
      </c>
      <c r="U607" t="s">
        <v>81</v>
      </c>
    </row>
    <row r="608" spans="1:21" x14ac:dyDescent="0.25">
      <c r="A608" s="33">
        <v>607</v>
      </c>
      <c r="B608" s="24">
        <v>44208</v>
      </c>
      <c r="C608" t="s">
        <v>39</v>
      </c>
      <c r="D608" t="s">
        <v>41</v>
      </c>
      <c r="E608">
        <v>2000708998</v>
      </c>
      <c r="F608">
        <v>1100</v>
      </c>
      <c r="G608">
        <v>80</v>
      </c>
      <c r="H608">
        <v>0</v>
      </c>
      <c r="I608" t="s">
        <v>185</v>
      </c>
      <c r="J608" t="s">
        <v>645</v>
      </c>
      <c r="K608" t="s">
        <v>694</v>
      </c>
      <c r="O608">
        <v>0</v>
      </c>
      <c r="U608" t="s">
        <v>81</v>
      </c>
    </row>
    <row r="609" spans="1:21" x14ac:dyDescent="0.25">
      <c r="A609" s="33">
        <v>608</v>
      </c>
      <c r="B609" s="24">
        <v>44208</v>
      </c>
      <c r="C609" t="s">
        <v>39</v>
      </c>
      <c r="D609" t="s">
        <v>41</v>
      </c>
      <c r="E609">
        <v>2000708686</v>
      </c>
      <c r="F609">
        <v>150</v>
      </c>
      <c r="G609">
        <v>100</v>
      </c>
      <c r="H609">
        <v>0</v>
      </c>
      <c r="I609" t="s">
        <v>185</v>
      </c>
      <c r="J609" t="s">
        <v>169</v>
      </c>
      <c r="K609" t="s">
        <v>826</v>
      </c>
      <c r="O609">
        <v>0</v>
      </c>
      <c r="U609" t="s">
        <v>81</v>
      </c>
    </row>
    <row r="610" spans="1:21" x14ac:dyDescent="0.25">
      <c r="A610" s="33">
        <v>609</v>
      </c>
      <c r="B610" s="24">
        <v>44208</v>
      </c>
      <c r="C610" t="s">
        <v>39</v>
      </c>
      <c r="D610" t="s">
        <v>41</v>
      </c>
      <c r="E610">
        <v>2000708694</v>
      </c>
      <c r="F610">
        <v>1320</v>
      </c>
      <c r="G610">
        <v>392</v>
      </c>
      <c r="H610">
        <v>0</v>
      </c>
      <c r="I610" t="s">
        <v>198</v>
      </c>
      <c r="J610" t="s">
        <v>174</v>
      </c>
      <c r="K610" t="s">
        <v>805</v>
      </c>
      <c r="O610">
        <v>0</v>
      </c>
      <c r="U610" t="s">
        <v>81</v>
      </c>
    </row>
    <row r="611" spans="1:21" x14ac:dyDescent="0.25">
      <c r="A611" s="33">
        <v>610</v>
      </c>
      <c r="B611" s="24">
        <v>44208</v>
      </c>
      <c r="C611" t="s">
        <v>39</v>
      </c>
      <c r="D611" t="s">
        <v>41</v>
      </c>
      <c r="E611">
        <v>2000708689</v>
      </c>
      <c r="F611">
        <v>360</v>
      </c>
      <c r="G611">
        <v>150</v>
      </c>
      <c r="H611">
        <v>0</v>
      </c>
      <c r="I611" t="s">
        <v>198</v>
      </c>
      <c r="J611" t="s">
        <v>203</v>
      </c>
      <c r="K611" t="s">
        <v>639</v>
      </c>
      <c r="O611">
        <v>0</v>
      </c>
      <c r="U611" t="s">
        <v>81</v>
      </c>
    </row>
    <row r="612" spans="1:21" x14ac:dyDescent="0.25">
      <c r="A612" s="33">
        <v>611</v>
      </c>
      <c r="B612" s="24">
        <v>44208</v>
      </c>
      <c r="C612" t="s">
        <v>39</v>
      </c>
      <c r="D612" t="s">
        <v>41</v>
      </c>
      <c r="E612">
        <v>2000707771</v>
      </c>
      <c r="F612">
        <v>1036</v>
      </c>
      <c r="G612">
        <v>45</v>
      </c>
      <c r="H612">
        <v>0</v>
      </c>
      <c r="I612" t="s">
        <v>696</v>
      </c>
      <c r="J612" t="s">
        <v>170</v>
      </c>
      <c r="K612" t="s">
        <v>732</v>
      </c>
      <c r="O612">
        <v>0</v>
      </c>
      <c r="U612" t="s">
        <v>81</v>
      </c>
    </row>
    <row r="613" spans="1:21" x14ac:dyDescent="0.25">
      <c r="A613" s="33">
        <v>612</v>
      </c>
      <c r="B613" s="24">
        <v>44208</v>
      </c>
      <c r="C613" t="s">
        <v>39</v>
      </c>
      <c r="D613" t="s">
        <v>41</v>
      </c>
      <c r="E613">
        <v>2000703335</v>
      </c>
      <c r="F613">
        <v>3690</v>
      </c>
      <c r="G613">
        <v>126</v>
      </c>
      <c r="H613">
        <v>0</v>
      </c>
      <c r="I613" t="s">
        <v>696</v>
      </c>
      <c r="J613" t="s">
        <v>698</v>
      </c>
      <c r="K613" t="s">
        <v>699</v>
      </c>
      <c r="O613">
        <v>0</v>
      </c>
      <c r="U613" t="s">
        <v>81</v>
      </c>
    </row>
    <row r="614" spans="1:21" x14ac:dyDescent="0.25">
      <c r="A614" s="33">
        <v>613</v>
      </c>
      <c r="B614" s="24">
        <v>44208</v>
      </c>
      <c r="C614" t="s">
        <v>39</v>
      </c>
      <c r="D614" t="s">
        <v>41</v>
      </c>
      <c r="E614">
        <v>2000704807</v>
      </c>
      <c r="F614">
        <v>1936</v>
      </c>
      <c r="G614">
        <v>45</v>
      </c>
      <c r="H614">
        <v>0</v>
      </c>
      <c r="I614" t="s">
        <v>696</v>
      </c>
      <c r="J614" t="s">
        <v>698</v>
      </c>
      <c r="K614" t="s">
        <v>699</v>
      </c>
      <c r="O614">
        <v>0</v>
      </c>
      <c r="U614" t="s">
        <v>81</v>
      </c>
    </row>
    <row r="615" spans="1:21" x14ac:dyDescent="0.25">
      <c r="A615" s="33">
        <v>614</v>
      </c>
      <c r="B615" s="24">
        <v>44208</v>
      </c>
      <c r="C615" t="s">
        <v>39</v>
      </c>
      <c r="D615" t="s">
        <v>41</v>
      </c>
      <c r="E615">
        <v>2000708364</v>
      </c>
      <c r="F615">
        <v>1352</v>
      </c>
      <c r="G615">
        <v>78</v>
      </c>
      <c r="H615">
        <v>0</v>
      </c>
      <c r="I615" t="s">
        <v>696</v>
      </c>
      <c r="J615" t="s">
        <v>174</v>
      </c>
      <c r="K615" t="s">
        <v>205</v>
      </c>
      <c r="O615">
        <v>0</v>
      </c>
      <c r="U615" t="s">
        <v>81</v>
      </c>
    </row>
    <row r="616" spans="1:21" x14ac:dyDescent="0.25">
      <c r="A616" s="33">
        <v>615</v>
      </c>
      <c r="B616" s="24">
        <v>44208</v>
      </c>
      <c r="C616" t="s">
        <v>39</v>
      </c>
      <c r="D616" t="s">
        <v>41</v>
      </c>
      <c r="E616">
        <v>2000708958</v>
      </c>
      <c r="F616">
        <v>1080</v>
      </c>
      <c r="G616">
        <v>90</v>
      </c>
      <c r="H616">
        <v>0</v>
      </c>
      <c r="I616" t="s">
        <v>696</v>
      </c>
      <c r="J616" t="s">
        <v>698</v>
      </c>
      <c r="K616" t="s">
        <v>699</v>
      </c>
      <c r="O616">
        <v>0</v>
      </c>
      <c r="U616" t="s">
        <v>81</v>
      </c>
    </row>
    <row r="617" spans="1:21" x14ac:dyDescent="0.25">
      <c r="A617" s="33">
        <v>616</v>
      </c>
      <c r="B617" s="24">
        <v>44208</v>
      </c>
      <c r="C617" t="s">
        <v>39</v>
      </c>
      <c r="D617" t="s">
        <v>41</v>
      </c>
      <c r="E617">
        <v>2000700021</v>
      </c>
      <c r="F617">
        <v>2600</v>
      </c>
      <c r="G617">
        <v>31</v>
      </c>
      <c r="H617">
        <v>0</v>
      </c>
      <c r="I617" t="s">
        <v>696</v>
      </c>
      <c r="J617" t="s">
        <v>170</v>
      </c>
      <c r="K617" t="s">
        <v>171</v>
      </c>
      <c r="O617">
        <v>0</v>
      </c>
      <c r="U617" t="s">
        <v>81</v>
      </c>
    </row>
    <row r="618" spans="1:21" x14ac:dyDescent="0.25">
      <c r="A618" s="33">
        <v>617</v>
      </c>
      <c r="B618" s="24">
        <v>44208</v>
      </c>
      <c r="C618" t="s">
        <v>39</v>
      </c>
      <c r="D618" t="s">
        <v>51</v>
      </c>
      <c r="E618">
        <v>2000708162</v>
      </c>
      <c r="F618">
        <v>700</v>
      </c>
      <c r="G618">
        <v>140</v>
      </c>
      <c r="H618">
        <v>0</v>
      </c>
      <c r="I618" t="s">
        <v>706</v>
      </c>
      <c r="J618" t="s">
        <v>709</v>
      </c>
      <c r="K618" t="s">
        <v>743</v>
      </c>
      <c r="O618">
        <v>0</v>
      </c>
      <c r="U618" t="s">
        <v>81</v>
      </c>
    </row>
    <row r="619" spans="1:21" x14ac:dyDescent="0.25">
      <c r="A619" s="33">
        <v>618</v>
      </c>
      <c r="B619" s="24">
        <v>44208</v>
      </c>
      <c r="C619" t="s">
        <v>39</v>
      </c>
      <c r="D619" t="s">
        <v>51</v>
      </c>
      <c r="E619">
        <v>2000708157</v>
      </c>
      <c r="F619">
        <v>210</v>
      </c>
      <c r="G619">
        <v>60</v>
      </c>
      <c r="H619">
        <v>0</v>
      </c>
      <c r="I619" t="s">
        <v>706</v>
      </c>
      <c r="J619" t="s">
        <v>673</v>
      </c>
      <c r="K619" t="s">
        <v>760</v>
      </c>
      <c r="O619">
        <v>0</v>
      </c>
      <c r="U619" t="s">
        <v>81</v>
      </c>
    </row>
    <row r="620" spans="1:21" x14ac:dyDescent="0.25">
      <c r="A620" s="33">
        <v>619</v>
      </c>
      <c r="B620" s="24">
        <v>44208</v>
      </c>
      <c r="C620" t="s">
        <v>39</v>
      </c>
      <c r="D620" t="s">
        <v>51</v>
      </c>
      <c r="E620">
        <v>2000708154</v>
      </c>
      <c r="F620">
        <v>220</v>
      </c>
      <c r="G620">
        <v>70</v>
      </c>
      <c r="H620">
        <v>0</v>
      </c>
      <c r="I620" t="s">
        <v>706</v>
      </c>
      <c r="J620" t="s">
        <v>779</v>
      </c>
      <c r="K620" t="s">
        <v>809</v>
      </c>
      <c r="O620">
        <v>0</v>
      </c>
      <c r="U620" t="s">
        <v>81</v>
      </c>
    </row>
    <row r="621" spans="1:21" x14ac:dyDescent="0.25">
      <c r="A621" s="33">
        <v>620</v>
      </c>
      <c r="B621" s="24">
        <v>44208</v>
      </c>
      <c r="C621" t="s">
        <v>39</v>
      </c>
      <c r="D621" t="s">
        <v>51</v>
      </c>
      <c r="E621">
        <v>2000708163</v>
      </c>
      <c r="F621">
        <v>1020</v>
      </c>
      <c r="G621">
        <v>120</v>
      </c>
      <c r="H621">
        <v>0</v>
      </c>
      <c r="I621" t="s">
        <v>706</v>
      </c>
      <c r="J621" t="s">
        <v>667</v>
      </c>
      <c r="K621" t="s">
        <v>668</v>
      </c>
      <c r="O621">
        <v>0</v>
      </c>
      <c r="U621" t="s">
        <v>81</v>
      </c>
    </row>
    <row r="622" spans="1:21" x14ac:dyDescent="0.25">
      <c r="A622" s="33">
        <v>621</v>
      </c>
      <c r="B622" s="24">
        <v>44208</v>
      </c>
      <c r="C622" t="s">
        <v>39</v>
      </c>
      <c r="D622" t="s">
        <v>51</v>
      </c>
      <c r="E622">
        <v>2000707676</v>
      </c>
      <c r="F622">
        <v>400</v>
      </c>
      <c r="G622">
        <v>10</v>
      </c>
      <c r="H622">
        <v>0</v>
      </c>
      <c r="I622" t="s">
        <v>706</v>
      </c>
      <c r="J622" t="s">
        <v>669</v>
      </c>
      <c r="K622" t="s">
        <v>707</v>
      </c>
      <c r="O622">
        <v>0</v>
      </c>
      <c r="U622" t="s">
        <v>81</v>
      </c>
    </row>
    <row r="623" spans="1:21" x14ac:dyDescent="0.25">
      <c r="A623" s="33">
        <v>622</v>
      </c>
      <c r="B623" s="24">
        <v>44208</v>
      </c>
      <c r="C623" t="s">
        <v>39</v>
      </c>
      <c r="D623" t="s">
        <v>51</v>
      </c>
      <c r="E623">
        <v>2000708752</v>
      </c>
      <c r="F623">
        <v>200</v>
      </c>
      <c r="G623">
        <v>190</v>
      </c>
      <c r="H623">
        <v>0</v>
      </c>
      <c r="I623" t="s">
        <v>706</v>
      </c>
      <c r="J623" t="s">
        <v>669</v>
      </c>
      <c r="K623" t="s">
        <v>707</v>
      </c>
      <c r="O623">
        <v>0</v>
      </c>
      <c r="T623" s="62"/>
      <c r="U623" t="s">
        <v>81</v>
      </c>
    </row>
    <row r="624" spans="1:21" x14ac:dyDescent="0.25">
      <c r="A624" s="33">
        <v>623</v>
      </c>
      <c r="B624" s="24">
        <v>44208</v>
      </c>
      <c r="C624" t="s">
        <v>39</v>
      </c>
      <c r="D624" t="s">
        <v>51</v>
      </c>
      <c r="E624">
        <v>2000708164</v>
      </c>
      <c r="F624">
        <v>90</v>
      </c>
      <c r="G624">
        <v>30</v>
      </c>
      <c r="H624">
        <v>0</v>
      </c>
      <c r="I624" t="s">
        <v>706</v>
      </c>
      <c r="J624" t="s">
        <v>667</v>
      </c>
      <c r="K624" t="s">
        <v>827</v>
      </c>
      <c r="O624">
        <v>0</v>
      </c>
      <c r="U624" t="s">
        <v>81</v>
      </c>
    </row>
    <row r="625" spans="1:21" x14ac:dyDescent="0.25">
      <c r="A625" s="33">
        <v>624</v>
      </c>
      <c r="B625" s="24">
        <v>44208</v>
      </c>
      <c r="C625" t="s">
        <v>39</v>
      </c>
      <c r="D625" t="s">
        <v>51</v>
      </c>
      <c r="E625">
        <v>2000707674</v>
      </c>
      <c r="F625">
        <v>150</v>
      </c>
      <c r="G625">
        <v>10</v>
      </c>
      <c r="H625">
        <v>0</v>
      </c>
      <c r="I625" t="s">
        <v>706</v>
      </c>
      <c r="J625" t="s">
        <v>669</v>
      </c>
      <c r="K625" t="s">
        <v>810</v>
      </c>
      <c r="O625">
        <v>0</v>
      </c>
      <c r="U625" t="s">
        <v>81</v>
      </c>
    </row>
    <row r="626" spans="1:21" x14ac:dyDescent="0.25">
      <c r="A626" s="33">
        <v>625</v>
      </c>
      <c r="B626" s="24">
        <v>44208</v>
      </c>
      <c r="C626" t="s">
        <v>39</v>
      </c>
      <c r="D626" t="s">
        <v>51</v>
      </c>
      <c r="E626">
        <v>2000708167</v>
      </c>
      <c r="F626">
        <v>800</v>
      </c>
      <c r="G626">
        <v>150</v>
      </c>
      <c r="H626">
        <v>0</v>
      </c>
      <c r="I626" t="s">
        <v>706</v>
      </c>
      <c r="J626" t="s">
        <v>667</v>
      </c>
      <c r="K626" t="s">
        <v>730</v>
      </c>
      <c r="O626">
        <v>0</v>
      </c>
      <c r="U626" t="s">
        <v>81</v>
      </c>
    </row>
    <row r="627" spans="1:21" x14ac:dyDescent="0.25">
      <c r="A627" s="33">
        <v>626</v>
      </c>
      <c r="B627" s="24">
        <v>44208</v>
      </c>
      <c r="C627" t="s">
        <v>39</v>
      </c>
      <c r="D627" t="s">
        <v>51</v>
      </c>
      <c r="E627">
        <v>2000708749</v>
      </c>
      <c r="F627">
        <v>700</v>
      </c>
      <c r="G627">
        <v>110</v>
      </c>
      <c r="H627">
        <v>0</v>
      </c>
      <c r="I627" t="s">
        <v>706</v>
      </c>
      <c r="J627" t="s">
        <v>673</v>
      </c>
      <c r="K627" t="s">
        <v>672</v>
      </c>
      <c r="O627">
        <v>0</v>
      </c>
      <c r="U627" t="s">
        <v>81</v>
      </c>
    </row>
    <row r="628" spans="1:21" x14ac:dyDescent="0.25">
      <c r="A628" s="33">
        <v>627</v>
      </c>
      <c r="B628" s="24">
        <v>44208</v>
      </c>
      <c r="C628" t="s">
        <v>181</v>
      </c>
      <c r="D628" t="s">
        <v>41</v>
      </c>
      <c r="E628">
        <v>2000708689</v>
      </c>
      <c r="F628">
        <v>360</v>
      </c>
      <c r="G628">
        <v>144</v>
      </c>
      <c r="H628">
        <v>0</v>
      </c>
      <c r="I628" t="s">
        <v>194</v>
      </c>
      <c r="J628" t="s">
        <v>203</v>
      </c>
      <c r="K628" t="s">
        <v>639</v>
      </c>
      <c r="O628">
        <v>0</v>
      </c>
      <c r="U628" t="s">
        <v>81</v>
      </c>
    </row>
    <row r="629" spans="1:21" x14ac:dyDescent="0.25">
      <c r="A629" s="33">
        <v>628</v>
      </c>
      <c r="B629" s="24">
        <v>44208</v>
      </c>
      <c r="C629" t="s">
        <v>181</v>
      </c>
      <c r="D629" t="s">
        <v>41</v>
      </c>
      <c r="E629">
        <v>2000708688</v>
      </c>
      <c r="F629">
        <v>810</v>
      </c>
      <c r="G629">
        <v>59</v>
      </c>
      <c r="H629">
        <v>0</v>
      </c>
      <c r="I629" t="s">
        <v>194</v>
      </c>
      <c r="J629" t="s">
        <v>828</v>
      </c>
      <c r="K629" t="s">
        <v>638</v>
      </c>
      <c r="O629">
        <v>0</v>
      </c>
      <c r="U629" t="s">
        <v>81</v>
      </c>
    </row>
    <row r="630" spans="1:21" x14ac:dyDescent="0.25">
      <c r="A630" s="33">
        <v>629</v>
      </c>
      <c r="B630" s="24">
        <v>44208</v>
      </c>
      <c r="C630" t="s">
        <v>181</v>
      </c>
      <c r="D630" t="s">
        <v>41</v>
      </c>
      <c r="E630">
        <v>2000709017</v>
      </c>
      <c r="F630">
        <v>630</v>
      </c>
      <c r="G630">
        <v>218</v>
      </c>
      <c r="H630">
        <v>0</v>
      </c>
      <c r="I630" t="s">
        <v>194</v>
      </c>
      <c r="J630" t="s">
        <v>203</v>
      </c>
      <c r="K630" t="s">
        <v>768</v>
      </c>
      <c r="O630">
        <v>0</v>
      </c>
      <c r="U630" t="s">
        <v>81</v>
      </c>
    </row>
    <row r="631" spans="1:21" x14ac:dyDescent="0.25">
      <c r="A631" s="33">
        <v>630</v>
      </c>
      <c r="B631" s="24">
        <v>44208</v>
      </c>
      <c r="C631" t="s">
        <v>181</v>
      </c>
      <c r="D631" t="s">
        <v>41</v>
      </c>
      <c r="E631">
        <v>2000708554</v>
      </c>
      <c r="F631">
        <v>48</v>
      </c>
      <c r="G631">
        <v>48</v>
      </c>
      <c r="H631">
        <v>0</v>
      </c>
      <c r="I631" t="s">
        <v>180</v>
      </c>
      <c r="J631" t="s">
        <v>216</v>
      </c>
      <c r="K631" t="s">
        <v>784</v>
      </c>
      <c r="O631">
        <v>0</v>
      </c>
      <c r="U631" t="s">
        <v>81</v>
      </c>
    </row>
    <row r="632" spans="1:21" x14ac:dyDescent="0.25">
      <c r="A632" s="33">
        <v>631</v>
      </c>
      <c r="B632" s="24">
        <v>44208</v>
      </c>
      <c r="C632" t="s">
        <v>181</v>
      </c>
      <c r="D632" t="s">
        <v>41</v>
      </c>
      <c r="E632">
        <v>2000708555</v>
      </c>
      <c r="F632">
        <v>48</v>
      </c>
      <c r="G632">
        <v>48</v>
      </c>
      <c r="H632">
        <v>0</v>
      </c>
      <c r="I632" t="s">
        <v>180</v>
      </c>
      <c r="J632" t="s">
        <v>216</v>
      </c>
      <c r="K632" t="s">
        <v>829</v>
      </c>
      <c r="O632">
        <v>0</v>
      </c>
      <c r="U632" t="s">
        <v>81</v>
      </c>
    </row>
    <row r="633" spans="1:21" x14ac:dyDescent="0.25">
      <c r="A633" s="33">
        <v>632</v>
      </c>
      <c r="B633" s="24">
        <v>44208</v>
      </c>
      <c r="C633" t="s">
        <v>181</v>
      </c>
      <c r="D633" t="s">
        <v>41</v>
      </c>
      <c r="E633">
        <v>2000708551</v>
      </c>
      <c r="F633">
        <v>56</v>
      </c>
      <c r="G633">
        <v>56</v>
      </c>
      <c r="H633">
        <v>0</v>
      </c>
      <c r="I633" t="s">
        <v>180</v>
      </c>
      <c r="J633" t="s">
        <v>202</v>
      </c>
      <c r="K633" t="s">
        <v>830</v>
      </c>
      <c r="O633">
        <v>0</v>
      </c>
      <c r="U633" t="s">
        <v>81</v>
      </c>
    </row>
    <row r="634" spans="1:21" x14ac:dyDescent="0.25">
      <c r="A634" s="33">
        <v>633</v>
      </c>
      <c r="B634" s="24">
        <v>44208</v>
      </c>
      <c r="C634" t="s">
        <v>181</v>
      </c>
      <c r="D634" t="s">
        <v>41</v>
      </c>
      <c r="E634">
        <v>2000708552</v>
      </c>
      <c r="F634">
        <v>56</v>
      </c>
      <c r="G634">
        <v>56</v>
      </c>
      <c r="H634">
        <v>0</v>
      </c>
      <c r="I634" t="s">
        <v>180</v>
      </c>
      <c r="J634" t="s">
        <v>202</v>
      </c>
      <c r="K634" t="s">
        <v>831</v>
      </c>
      <c r="O634">
        <v>0</v>
      </c>
      <c r="U634" t="s">
        <v>81</v>
      </c>
    </row>
    <row r="635" spans="1:21" x14ac:dyDescent="0.25">
      <c r="A635" s="33">
        <v>634</v>
      </c>
      <c r="B635" s="24">
        <v>44208</v>
      </c>
      <c r="C635" t="s">
        <v>181</v>
      </c>
      <c r="D635" t="s">
        <v>41</v>
      </c>
      <c r="E635">
        <v>2000708553</v>
      </c>
      <c r="F635">
        <v>56</v>
      </c>
      <c r="G635">
        <v>56</v>
      </c>
      <c r="H635">
        <v>0</v>
      </c>
      <c r="I635" t="s">
        <v>180</v>
      </c>
      <c r="J635" t="s">
        <v>202</v>
      </c>
      <c r="K635" t="s">
        <v>832</v>
      </c>
      <c r="O635">
        <v>0</v>
      </c>
      <c r="U635" t="s">
        <v>81</v>
      </c>
    </row>
    <row r="636" spans="1:21" x14ac:dyDescent="0.25">
      <c r="A636" s="33">
        <v>635</v>
      </c>
      <c r="B636" s="24">
        <v>44208</v>
      </c>
      <c r="C636" t="s">
        <v>181</v>
      </c>
      <c r="D636" t="s">
        <v>41</v>
      </c>
      <c r="E636">
        <v>2000708779</v>
      </c>
      <c r="F636">
        <v>1300</v>
      </c>
      <c r="G636">
        <v>30</v>
      </c>
      <c r="H636">
        <v>0</v>
      </c>
      <c r="I636" t="s">
        <v>180</v>
      </c>
      <c r="J636" t="s">
        <v>170</v>
      </c>
      <c r="K636" t="s">
        <v>171</v>
      </c>
      <c r="O636">
        <v>0</v>
      </c>
      <c r="U636" t="s">
        <v>81</v>
      </c>
    </row>
    <row r="637" spans="1:21" x14ac:dyDescent="0.25">
      <c r="A637" s="33">
        <v>636</v>
      </c>
      <c r="B637" s="24">
        <v>44208</v>
      </c>
      <c r="C637" t="s">
        <v>181</v>
      </c>
      <c r="D637" t="s">
        <v>41</v>
      </c>
      <c r="E637">
        <v>2000707770</v>
      </c>
      <c r="F637">
        <v>990</v>
      </c>
      <c r="G637">
        <v>123</v>
      </c>
      <c r="H637">
        <v>0</v>
      </c>
      <c r="I637" t="s">
        <v>661</v>
      </c>
      <c r="J637" t="s">
        <v>170</v>
      </c>
      <c r="K637" t="s">
        <v>171</v>
      </c>
      <c r="O637">
        <v>0</v>
      </c>
      <c r="U637" t="s">
        <v>81</v>
      </c>
    </row>
    <row r="638" spans="1:21" x14ac:dyDescent="0.25">
      <c r="A638" s="33">
        <v>637</v>
      </c>
      <c r="B638" s="24">
        <v>44208</v>
      </c>
      <c r="C638" t="s">
        <v>181</v>
      </c>
      <c r="D638" t="s">
        <v>41</v>
      </c>
      <c r="E638">
        <v>2000708958</v>
      </c>
      <c r="F638">
        <v>1080</v>
      </c>
      <c r="G638">
        <v>225</v>
      </c>
      <c r="H638">
        <v>0</v>
      </c>
      <c r="I638" t="s">
        <v>661</v>
      </c>
      <c r="J638" t="s">
        <v>698</v>
      </c>
      <c r="K638" t="s">
        <v>699</v>
      </c>
      <c r="O638">
        <v>0</v>
      </c>
      <c r="U638" t="s">
        <v>81</v>
      </c>
    </row>
    <row r="639" spans="1:21" x14ac:dyDescent="0.25">
      <c r="A639" s="33">
        <v>638</v>
      </c>
      <c r="B639" s="24">
        <v>44208</v>
      </c>
      <c r="C639" t="s">
        <v>181</v>
      </c>
      <c r="D639" t="s">
        <v>41</v>
      </c>
      <c r="E639">
        <v>2000707771</v>
      </c>
      <c r="F639">
        <v>1036</v>
      </c>
      <c r="G639">
        <v>36</v>
      </c>
      <c r="H639">
        <v>0</v>
      </c>
      <c r="I639" t="s">
        <v>661</v>
      </c>
      <c r="J639" t="s">
        <v>170</v>
      </c>
      <c r="K639" t="s">
        <v>732</v>
      </c>
      <c r="O639">
        <v>0</v>
      </c>
      <c r="U639" t="s">
        <v>81</v>
      </c>
    </row>
    <row r="640" spans="1:21" x14ac:dyDescent="0.25">
      <c r="A640" s="33">
        <v>639</v>
      </c>
      <c r="B640" s="24">
        <v>44208</v>
      </c>
      <c r="C640" t="s">
        <v>181</v>
      </c>
      <c r="D640" t="s">
        <v>41</v>
      </c>
      <c r="E640">
        <v>2000707770</v>
      </c>
      <c r="F640">
        <v>990</v>
      </c>
      <c r="G640">
        <v>90</v>
      </c>
      <c r="H640">
        <v>0</v>
      </c>
      <c r="I640" t="s">
        <v>661</v>
      </c>
      <c r="J640" t="s">
        <v>170</v>
      </c>
      <c r="K640" t="s">
        <v>171</v>
      </c>
      <c r="O640">
        <v>0</v>
      </c>
      <c r="U640" t="s">
        <v>81</v>
      </c>
    </row>
    <row r="641" spans="1:21" x14ac:dyDescent="0.25">
      <c r="A641" s="33">
        <v>641</v>
      </c>
      <c r="B641" s="24">
        <v>44208</v>
      </c>
      <c r="C641" t="s">
        <v>181</v>
      </c>
      <c r="D641" t="s">
        <v>41</v>
      </c>
      <c r="E641">
        <v>2000708779</v>
      </c>
      <c r="F641">
        <v>1300</v>
      </c>
      <c r="G641">
        <v>75</v>
      </c>
      <c r="H641">
        <v>0</v>
      </c>
      <c r="I641" t="s">
        <v>661</v>
      </c>
      <c r="J641" t="s">
        <v>170</v>
      </c>
      <c r="K641" t="s">
        <v>171</v>
      </c>
      <c r="O641">
        <v>0</v>
      </c>
      <c r="U641" t="s">
        <v>81</v>
      </c>
    </row>
    <row r="642" spans="1:21" x14ac:dyDescent="0.25">
      <c r="A642" s="33">
        <v>642</v>
      </c>
      <c r="B642" s="24">
        <v>44208</v>
      </c>
      <c r="C642" t="s">
        <v>181</v>
      </c>
      <c r="D642" t="s">
        <v>41</v>
      </c>
      <c r="E642">
        <v>2000708774</v>
      </c>
      <c r="F642">
        <v>238</v>
      </c>
      <c r="G642">
        <v>105</v>
      </c>
      <c r="H642">
        <v>0</v>
      </c>
      <c r="I642" t="s">
        <v>168</v>
      </c>
      <c r="J642" t="s">
        <v>816</v>
      </c>
      <c r="K642" t="s">
        <v>833</v>
      </c>
      <c r="O642">
        <v>0</v>
      </c>
      <c r="U642" t="s">
        <v>81</v>
      </c>
    </row>
    <row r="643" spans="1:21" x14ac:dyDescent="0.25">
      <c r="A643" s="33">
        <v>643</v>
      </c>
      <c r="B643" s="24">
        <v>44208</v>
      </c>
      <c r="C643" t="s">
        <v>181</v>
      </c>
      <c r="D643" t="s">
        <v>41</v>
      </c>
      <c r="E643">
        <v>2000708562</v>
      </c>
      <c r="F643">
        <v>510</v>
      </c>
      <c r="G643">
        <v>60</v>
      </c>
      <c r="H643">
        <v>0</v>
      </c>
      <c r="I643" t="s">
        <v>168</v>
      </c>
      <c r="J643" t="s">
        <v>203</v>
      </c>
      <c r="K643" t="s">
        <v>768</v>
      </c>
      <c r="O643">
        <v>0</v>
      </c>
      <c r="U643" t="s">
        <v>81</v>
      </c>
    </row>
    <row r="644" spans="1:21" x14ac:dyDescent="0.25">
      <c r="A644" s="33">
        <v>644</v>
      </c>
      <c r="B644" s="24">
        <v>44208</v>
      </c>
      <c r="C644" t="s">
        <v>181</v>
      </c>
      <c r="D644" t="s">
        <v>41</v>
      </c>
      <c r="E644">
        <v>2000708687</v>
      </c>
      <c r="F644">
        <v>380</v>
      </c>
      <c r="G644">
        <v>20</v>
      </c>
      <c r="H644">
        <v>0</v>
      </c>
      <c r="I644" t="s">
        <v>168</v>
      </c>
      <c r="J644" t="s">
        <v>169</v>
      </c>
      <c r="K644" t="s">
        <v>767</v>
      </c>
      <c r="O644">
        <v>0</v>
      </c>
      <c r="U644" t="s">
        <v>81</v>
      </c>
    </row>
    <row r="645" spans="1:21" x14ac:dyDescent="0.25">
      <c r="A645" s="33">
        <v>645</v>
      </c>
      <c r="B645" s="24">
        <v>44208</v>
      </c>
      <c r="C645" t="s">
        <v>181</v>
      </c>
      <c r="D645" t="s">
        <v>41</v>
      </c>
      <c r="E645">
        <v>2000708025</v>
      </c>
      <c r="F645">
        <v>2620</v>
      </c>
      <c r="G645">
        <v>240</v>
      </c>
      <c r="H645">
        <v>0</v>
      </c>
      <c r="I645" t="s">
        <v>201</v>
      </c>
      <c r="J645" t="s">
        <v>203</v>
      </c>
      <c r="K645" t="s">
        <v>640</v>
      </c>
      <c r="O645">
        <v>0</v>
      </c>
      <c r="U645" t="s">
        <v>81</v>
      </c>
    </row>
    <row r="646" spans="1:21" x14ac:dyDescent="0.25">
      <c r="A646" s="33">
        <v>646</v>
      </c>
      <c r="B646" s="24">
        <v>44208</v>
      </c>
      <c r="C646" t="s">
        <v>181</v>
      </c>
      <c r="D646" t="s">
        <v>41</v>
      </c>
      <c r="E646">
        <v>2000708405</v>
      </c>
      <c r="F646">
        <v>3700</v>
      </c>
      <c r="G646">
        <v>200</v>
      </c>
      <c r="H646">
        <v>0</v>
      </c>
      <c r="I646" t="s">
        <v>201</v>
      </c>
      <c r="J646" t="s">
        <v>172</v>
      </c>
      <c r="K646" t="s">
        <v>725</v>
      </c>
      <c r="O646">
        <v>0</v>
      </c>
      <c r="U646" t="s">
        <v>81</v>
      </c>
    </row>
    <row r="647" spans="1:21" x14ac:dyDescent="0.25">
      <c r="A647" s="33">
        <v>647</v>
      </c>
      <c r="B647" s="24">
        <v>44208</v>
      </c>
      <c r="C647" t="s">
        <v>181</v>
      </c>
      <c r="D647" t="s">
        <v>41</v>
      </c>
      <c r="E647">
        <v>2000708026</v>
      </c>
      <c r="F647">
        <v>4230</v>
      </c>
      <c r="G647">
        <v>300</v>
      </c>
      <c r="H647">
        <v>0</v>
      </c>
      <c r="I647" t="s">
        <v>201</v>
      </c>
      <c r="J647" t="s">
        <v>199</v>
      </c>
      <c r="K647" t="s">
        <v>660</v>
      </c>
      <c r="O647">
        <v>0</v>
      </c>
      <c r="U647" t="s">
        <v>81</v>
      </c>
    </row>
    <row r="648" spans="1:21" x14ac:dyDescent="0.25">
      <c r="A648" s="33">
        <v>648</v>
      </c>
      <c r="B648" s="24">
        <v>44208</v>
      </c>
      <c r="C648" t="s">
        <v>181</v>
      </c>
      <c r="D648" t="s">
        <v>41</v>
      </c>
      <c r="E648">
        <v>2000708917</v>
      </c>
      <c r="F648">
        <v>2000</v>
      </c>
      <c r="G648">
        <v>160</v>
      </c>
      <c r="H648">
        <v>0</v>
      </c>
      <c r="I648" t="s">
        <v>201</v>
      </c>
      <c r="J648" t="s">
        <v>193</v>
      </c>
      <c r="K648" t="s">
        <v>686</v>
      </c>
      <c r="O648">
        <v>0</v>
      </c>
      <c r="U648" t="s">
        <v>81</v>
      </c>
    </row>
    <row r="649" spans="1:21" x14ac:dyDescent="0.25">
      <c r="A649" s="33">
        <v>649</v>
      </c>
      <c r="B649" s="24">
        <v>44208</v>
      </c>
      <c r="C649" t="s">
        <v>181</v>
      </c>
      <c r="D649" t="s">
        <v>41</v>
      </c>
      <c r="E649">
        <v>2000708721</v>
      </c>
      <c r="F649">
        <v>1800</v>
      </c>
      <c r="G649">
        <v>150</v>
      </c>
      <c r="H649">
        <v>0</v>
      </c>
      <c r="I649" t="s">
        <v>201</v>
      </c>
      <c r="J649" t="s">
        <v>645</v>
      </c>
      <c r="K649" t="s">
        <v>658</v>
      </c>
      <c r="O649">
        <v>0</v>
      </c>
      <c r="U649" t="s">
        <v>81</v>
      </c>
    </row>
    <row r="650" spans="1:21" x14ac:dyDescent="0.25">
      <c r="A650" s="33">
        <v>650</v>
      </c>
      <c r="B650" s="24">
        <v>44208</v>
      </c>
      <c r="C650" t="s">
        <v>181</v>
      </c>
      <c r="D650" t="s">
        <v>41</v>
      </c>
      <c r="E650">
        <v>2000708914</v>
      </c>
      <c r="F650">
        <v>2000</v>
      </c>
      <c r="G650">
        <v>200</v>
      </c>
      <c r="H650">
        <v>0</v>
      </c>
      <c r="I650" t="s">
        <v>201</v>
      </c>
      <c r="J650" t="s">
        <v>193</v>
      </c>
      <c r="K650" t="s">
        <v>176</v>
      </c>
      <c r="O650">
        <v>0</v>
      </c>
      <c r="U650" t="s">
        <v>81</v>
      </c>
    </row>
    <row r="651" spans="1:21" x14ac:dyDescent="0.25">
      <c r="A651" s="33">
        <v>651</v>
      </c>
      <c r="B651" s="24">
        <v>44208</v>
      </c>
      <c r="C651" t="s">
        <v>181</v>
      </c>
      <c r="D651" t="s">
        <v>41</v>
      </c>
      <c r="E651">
        <v>2000709308</v>
      </c>
      <c r="F651">
        <v>2016</v>
      </c>
      <c r="G651">
        <v>160</v>
      </c>
      <c r="H651">
        <v>0</v>
      </c>
      <c r="I651" t="s">
        <v>201</v>
      </c>
      <c r="J651" t="s">
        <v>655</v>
      </c>
      <c r="K651" t="s">
        <v>656</v>
      </c>
      <c r="O651">
        <v>0</v>
      </c>
      <c r="U651" t="s">
        <v>81</v>
      </c>
    </row>
    <row r="652" spans="1:21" x14ac:dyDescent="0.25">
      <c r="A652" s="33">
        <v>652</v>
      </c>
      <c r="B652" s="24">
        <v>44208</v>
      </c>
      <c r="C652" t="s">
        <v>181</v>
      </c>
      <c r="D652" t="s">
        <v>41</v>
      </c>
      <c r="E652">
        <v>2000709117</v>
      </c>
      <c r="F652">
        <v>7860</v>
      </c>
      <c r="G652">
        <v>300</v>
      </c>
      <c r="H652">
        <v>0</v>
      </c>
      <c r="I652" t="s">
        <v>201</v>
      </c>
      <c r="J652" t="s">
        <v>200</v>
      </c>
      <c r="K652" t="s">
        <v>737</v>
      </c>
      <c r="O652">
        <v>0</v>
      </c>
      <c r="U652" t="s">
        <v>81</v>
      </c>
    </row>
    <row r="653" spans="1:21" ht="45" x14ac:dyDescent="0.25">
      <c r="A653" s="33">
        <v>653</v>
      </c>
      <c r="B653" s="24">
        <v>44208</v>
      </c>
      <c r="C653" t="s">
        <v>181</v>
      </c>
      <c r="D653" t="s">
        <v>41</v>
      </c>
      <c r="E653">
        <v>2000708686</v>
      </c>
      <c r="F653">
        <v>150</v>
      </c>
      <c r="G653">
        <v>50</v>
      </c>
      <c r="H653">
        <v>0</v>
      </c>
      <c r="I653" t="s">
        <v>178</v>
      </c>
      <c r="J653" t="s">
        <v>169</v>
      </c>
      <c r="K653" t="s">
        <v>826</v>
      </c>
      <c r="O653">
        <v>0</v>
      </c>
      <c r="T653" s="62" t="s">
        <v>775</v>
      </c>
      <c r="U653" t="s">
        <v>81</v>
      </c>
    </row>
    <row r="654" spans="1:21" x14ac:dyDescent="0.25">
      <c r="A654" s="33">
        <v>654</v>
      </c>
      <c r="B654" s="24">
        <v>44208</v>
      </c>
      <c r="C654" t="s">
        <v>181</v>
      </c>
      <c r="D654" t="s">
        <v>41</v>
      </c>
      <c r="E654">
        <v>2000708685</v>
      </c>
      <c r="F654">
        <v>700</v>
      </c>
      <c r="G654">
        <v>40</v>
      </c>
      <c r="H654">
        <v>0</v>
      </c>
      <c r="I654" t="s">
        <v>178</v>
      </c>
      <c r="J654" t="s">
        <v>169</v>
      </c>
      <c r="K654" t="s">
        <v>663</v>
      </c>
      <c r="O654">
        <v>0</v>
      </c>
      <c r="U654" t="s">
        <v>81</v>
      </c>
    </row>
    <row r="655" spans="1:21" x14ac:dyDescent="0.25">
      <c r="A655" s="33">
        <v>655</v>
      </c>
      <c r="B655" s="24">
        <v>44208</v>
      </c>
      <c r="C655" t="s">
        <v>181</v>
      </c>
      <c r="D655" t="s">
        <v>41</v>
      </c>
      <c r="E655">
        <v>2000708003</v>
      </c>
      <c r="F655">
        <v>2100</v>
      </c>
      <c r="G655">
        <v>90</v>
      </c>
      <c r="H655">
        <v>0</v>
      </c>
      <c r="I655" t="s">
        <v>178</v>
      </c>
      <c r="J655" t="s">
        <v>169</v>
      </c>
      <c r="K655" t="s">
        <v>179</v>
      </c>
      <c r="O655">
        <v>0</v>
      </c>
      <c r="U655" t="s">
        <v>81</v>
      </c>
    </row>
    <row r="656" spans="1:21" x14ac:dyDescent="0.25">
      <c r="A656" s="33">
        <v>656</v>
      </c>
      <c r="B656" s="24">
        <v>44208</v>
      </c>
      <c r="C656" t="s">
        <v>181</v>
      </c>
      <c r="D656" t="s">
        <v>41</v>
      </c>
      <c r="E656">
        <v>2000708368</v>
      </c>
      <c r="F656">
        <v>3990</v>
      </c>
      <c r="G656">
        <v>240</v>
      </c>
      <c r="H656">
        <v>0</v>
      </c>
      <c r="I656" t="s">
        <v>178</v>
      </c>
      <c r="J656" t="s">
        <v>687</v>
      </c>
      <c r="K656" t="s">
        <v>688</v>
      </c>
      <c r="O656">
        <v>0</v>
      </c>
      <c r="U656" t="s">
        <v>81</v>
      </c>
    </row>
    <row r="657" spans="1:21" x14ac:dyDescent="0.25">
      <c r="A657" s="33">
        <v>657</v>
      </c>
      <c r="B657" s="24">
        <v>44208</v>
      </c>
      <c r="C657" t="s">
        <v>181</v>
      </c>
      <c r="D657" t="s">
        <v>41</v>
      </c>
      <c r="E657">
        <v>2000707770</v>
      </c>
      <c r="F657">
        <v>990</v>
      </c>
      <c r="G657">
        <v>180</v>
      </c>
      <c r="H657">
        <v>0</v>
      </c>
      <c r="I657" t="s">
        <v>178</v>
      </c>
      <c r="J657" t="s">
        <v>170</v>
      </c>
      <c r="K657" t="s">
        <v>171</v>
      </c>
      <c r="O657">
        <v>0</v>
      </c>
      <c r="U657" t="s">
        <v>81</v>
      </c>
    </row>
    <row r="658" spans="1:21" x14ac:dyDescent="0.25">
      <c r="A658" s="33">
        <v>658</v>
      </c>
      <c r="B658" s="24">
        <v>44208</v>
      </c>
      <c r="C658" t="s">
        <v>181</v>
      </c>
      <c r="D658" t="s">
        <v>41</v>
      </c>
      <c r="E658">
        <v>2000707779</v>
      </c>
      <c r="F658">
        <v>1300</v>
      </c>
      <c r="G658">
        <v>45</v>
      </c>
      <c r="H658">
        <v>0</v>
      </c>
      <c r="I658" t="s">
        <v>178</v>
      </c>
      <c r="J658" t="s">
        <v>170</v>
      </c>
      <c r="K658" t="s">
        <v>171</v>
      </c>
      <c r="O658">
        <v>0</v>
      </c>
      <c r="U658" t="s">
        <v>81</v>
      </c>
    </row>
    <row r="659" spans="1:21" x14ac:dyDescent="0.25">
      <c r="A659" s="33">
        <v>659</v>
      </c>
      <c r="B659" s="24">
        <v>44208</v>
      </c>
      <c r="C659" t="s">
        <v>181</v>
      </c>
      <c r="D659" t="s">
        <v>41</v>
      </c>
      <c r="E659">
        <v>2000709307</v>
      </c>
      <c r="F659">
        <v>440</v>
      </c>
      <c r="G659">
        <v>41</v>
      </c>
      <c r="H659">
        <v>0</v>
      </c>
      <c r="I659" t="s">
        <v>666</v>
      </c>
      <c r="J659" t="s">
        <v>174</v>
      </c>
      <c r="K659" t="s">
        <v>735</v>
      </c>
      <c r="O659">
        <v>0</v>
      </c>
      <c r="U659" t="s">
        <v>81</v>
      </c>
    </row>
    <row r="660" spans="1:21" x14ac:dyDescent="0.25">
      <c r="A660" s="33">
        <v>660</v>
      </c>
      <c r="B660" s="24">
        <v>44208</v>
      </c>
      <c r="C660" t="s">
        <v>181</v>
      </c>
      <c r="D660" t="s">
        <v>41</v>
      </c>
      <c r="E660">
        <v>2000708983</v>
      </c>
      <c r="F660">
        <v>280</v>
      </c>
      <c r="G660">
        <v>265</v>
      </c>
      <c r="H660">
        <v>0</v>
      </c>
      <c r="I660" t="s">
        <v>666</v>
      </c>
      <c r="J660" t="s">
        <v>174</v>
      </c>
      <c r="K660" t="s">
        <v>763</v>
      </c>
      <c r="O660">
        <v>0</v>
      </c>
      <c r="U660" t="s">
        <v>81</v>
      </c>
    </row>
    <row r="661" spans="1:21" x14ac:dyDescent="0.25">
      <c r="A661" s="33">
        <v>661</v>
      </c>
      <c r="B661" s="24">
        <v>44208</v>
      </c>
      <c r="C661" t="s">
        <v>181</v>
      </c>
      <c r="D661" t="s">
        <v>41</v>
      </c>
      <c r="E661">
        <v>2000707223</v>
      </c>
      <c r="F661">
        <v>363</v>
      </c>
      <c r="G661">
        <v>3</v>
      </c>
      <c r="H661">
        <v>0</v>
      </c>
      <c r="I661" t="s">
        <v>666</v>
      </c>
      <c r="J661" t="s">
        <v>174</v>
      </c>
      <c r="K661" t="s">
        <v>763</v>
      </c>
      <c r="O661">
        <v>0</v>
      </c>
      <c r="U661" t="s">
        <v>81</v>
      </c>
    </row>
    <row r="662" spans="1:21" x14ac:dyDescent="0.25">
      <c r="A662" s="33">
        <v>662</v>
      </c>
      <c r="B662" s="24">
        <v>44208</v>
      </c>
      <c r="C662" t="s">
        <v>181</v>
      </c>
      <c r="D662" t="s">
        <v>41</v>
      </c>
      <c r="E662">
        <v>2000703089</v>
      </c>
      <c r="F662">
        <v>960</v>
      </c>
      <c r="G662">
        <v>11</v>
      </c>
      <c r="H662">
        <v>0</v>
      </c>
      <c r="I662" t="s">
        <v>666</v>
      </c>
      <c r="J662" t="s">
        <v>174</v>
      </c>
      <c r="K662" t="s">
        <v>763</v>
      </c>
      <c r="O662">
        <v>0</v>
      </c>
      <c r="U662" t="s">
        <v>81</v>
      </c>
    </row>
    <row r="663" spans="1:21" x14ac:dyDescent="0.25">
      <c r="A663" s="33">
        <v>663</v>
      </c>
      <c r="B663" s="24">
        <v>44208</v>
      </c>
      <c r="C663" t="s">
        <v>181</v>
      </c>
      <c r="D663" t="s">
        <v>41</v>
      </c>
      <c r="E663">
        <v>2000708984</v>
      </c>
      <c r="F663">
        <v>120</v>
      </c>
      <c r="G663">
        <v>120</v>
      </c>
      <c r="H663">
        <v>0</v>
      </c>
      <c r="I663" t="s">
        <v>666</v>
      </c>
      <c r="J663" t="s">
        <v>174</v>
      </c>
      <c r="K663" t="s">
        <v>717</v>
      </c>
      <c r="O663">
        <v>0</v>
      </c>
      <c r="U663" t="s">
        <v>81</v>
      </c>
    </row>
    <row r="664" spans="1:21" x14ac:dyDescent="0.25">
      <c r="A664" s="33">
        <v>664</v>
      </c>
      <c r="B664" s="24">
        <v>44208</v>
      </c>
      <c r="C664" t="s">
        <v>181</v>
      </c>
      <c r="D664" t="s">
        <v>41</v>
      </c>
      <c r="E664">
        <v>2000707406</v>
      </c>
      <c r="F664">
        <v>3700</v>
      </c>
      <c r="G664">
        <v>110</v>
      </c>
      <c r="H664">
        <v>0</v>
      </c>
      <c r="I664" t="s">
        <v>642</v>
      </c>
      <c r="J664" t="s">
        <v>172</v>
      </c>
      <c r="K664" t="s">
        <v>173</v>
      </c>
      <c r="O664">
        <v>0</v>
      </c>
      <c r="U664" t="s">
        <v>81</v>
      </c>
    </row>
    <row r="665" spans="1:21" x14ac:dyDescent="0.25">
      <c r="A665" s="33">
        <v>665</v>
      </c>
      <c r="B665" s="24">
        <v>44208</v>
      </c>
      <c r="C665" t="s">
        <v>181</v>
      </c>
      <c r="D665" t="s">
        <v>41</v>
      </c>
      <c r="E665">
        <v>2000708708</v>
      </c>
      <c r="F665">
        <v>300</v>
      </c>
      <c r="G665">
        <v>100</v>
      </c>
      <c r="H665">
        <v>0</v>
      </c>
      <c r="I665" t="s">
        <v>642</v>
      </c>
      <c r="J665" t="s">
        <v>645</v>
      </c>
      <c r="K665" t="s">
        <v>753</v>
      </c>
      <c r="O665">
        <v>0</v>
      </c>
      <c r="U665" t="s">
        <v>81</v>
      </c>
    </row>
    <row r="666" spans="1:21" x14ac:dyDescent="0.25">
      <c r="A666" s="33">
        <v>666</v>
      </c>
      <c r="B666" s="24">
        <v>44208</v>
      </c>
      <c r="C666" t="s">
        <v>181</v>
      </c>
      <c r="D666" t="s">
        <v>41</v>
      </c>
      <c r="E666">
        <v>2000708709</v>
      </c>
      <c r="F666">
        <v>1090</v>
      </c>
      <c r="G666">
        <v>130</v>
      </c>
      <c r="H666">
        <v>0</v>
      </c>
      <c r="I666" t="s">
        <v>642</v>
      </c>
      <c r="J666" t="s">
        <v>645</v>
      </c>
      <c r="K666" t="s">
        <v>790</v>
      </c>
      <c r="O666">
        <v>0</v>
      </c>
      <c r="U666" t="s">
        <v>81</v>
      </c>
    </row>
    <row r="667" spans="1:21" x14ac:dyDescent="0.25">
      <c r="A667" s="33">
        <v>667</v>
      </c>
      <c r="B667" s="24">
        <v>44208</v>
      </c>
      <c r="C667" t="s">
        <v>181</v>
      </c>
      <c r="D667" t="s">
        <v>51</v>
      </c>
      <c r="E667">
        <v>2000708754</v>
      </c>
      <c r="F667">
        <v>560</v>
      </c>
      <c r="G667">
        <v>70</v>
      </c>
      <c r="H667">
        <v>0</v>
      </c>
      <c r="I667" t="s">
        <v>191</v>
      </c>
      <c r="J667" t="s">
        <v>676</v>
      </c>
      <c r="K667" t="s">
        <v>677</v>
      </c>
      <c r="O667">
        <v>0</v>
      </c>
      <c r="U667" t="s">
        <v>81</v>
      </c>
    </row>
    <row r="668" spans="1:21" x14ac:dyDescent="0.25">
      <c r="A668" s="33">
        <v>668</v>
      </c>
      <c r="B668" s="24">
        <v>44208</v>
      </c>
      <c r="C668" t="s">
        <v>181</v>
      </c>
      <c r="D668" t="s">
        <v>51</v>
      </c>
      <c r="E668">
        <v>2000708750</v>
      </c>
      <c r="F668">
        <v>440</v>
      </c>
      <c r="G668">
        <v>40</v>
      </c>
      <c r="H668">
        <v>0</v>
      </c>
      <c r="I668" t="s">
        <v>191</v>
      </c>
      <c r="J668" t="s">
        <v>669</v>
      </c>
      <c r="K668" t="s">
        <v>834</v>
      </c>
      <c r="O668">
        <v>0</v>
      </c>
      <c r="U668" t="s">
        <v>81</v>
      </c>
    </row>
    <row r="669" spans="1:21" x14ac:dyDescent="0.25">
      <c r="A669" s="33">
        <v>669</v>
      </c>
      <c r="B669" s="24">
        <v>44208</v>
      </c>
      <c r="C669" t="s">
        <v>181</v>
      </c>
      <c r="D669" t="s">
        <v>51</v>
      </c>
      <c r="E669">
        <v>2000708755</v>
      </c>
      <c r="F669">
        <v>800</v>
      </c>
      <c r="G669">
        <v>180</v>
      </c>
      <c r="H669">
        <v>0</v>
      </c>
      <c r="I669" t="s">
        <v>191</v>
      </c>
      <c r="J669" t="s">
        <v>667</v>
      </c>
      <c r="K669" t="s">
        <v>730</v>
      </c>
      <c r="O669">
        <v>0</v>
      </c>
      <c r="U669" t="s">
        <v>81</v>
      </c>
    </row>
    <row r="670" spans="1:21" x14ac:dyDescent="0.25">
      <c r="A670" s="33">
        <v>670</v>
      </c>
      <c r="B670" s="24">
        <v>44208</v>
      </c>
      <c r="C670" t="s">
        <v>181</v>
      </c>
      <c r="D670" t="s">
        <v>51</v>
      </c>
      <c r="E670">
        <v>2000708163</v>
      </c>
      <c r="F670">
        <v>1020</v>
      </c>
      <c r="G670">
        <v>90</v>
      </c>
      <c r="H670">
        <v>0</v>
      </c>
      <c r="I670" t="s">
        <v>191</v>
      </c>
      <c r="J670" t="s">
        <v>667</v>
      </c>
      <c r="K670" t="s">
        <v>668</v>
      </c>
      <c r="O670">
        <v>0</v>
      </c>
      <c r="U670" t="s">
        <v>81</v>
      </c>
    </row>
    <row r="671" spans="1:21" x14ac:dyDescent="0.25">
      <c r="A671" s="33">
        <v>671</v>
      </c>
      <c r="B671" s="24">
        <v>44208</v>
      </c>
      <c r="C671" t="s">
        <v>181</v>
      </c>
      <c r="D671" t="s">
        <v>51</v>
      </c>
      <c r="E671">
        <v>2000708748</v>
      </c>
      <c r="F671">
        <v>500</v>
      </c>
      <c r="G671">
        <v>140</v>
      </c>
      <c r="H671">
        <v>0</v>
      </c>
      <c r="I671" t="s">
        <v>191</v>
      </c>
      <c r="J671" t="s">
        <v>673</v>
      </c>
      <c r="K671" t="s">
        <v>674</v>
      </c>
      <c r="O671">
        <v>0</v>
      </c>
      <c r="U671" t="s">
        <v>81</v>
      </c>
    </row>
    <row r="672" spans="1:21" x14ac:dyDescent="0.25">
      <c r="A672" s="33">
        <v>672</v>
      </c>
      <c r="B672" s="24">
        <v>44208</v>
      </c>
      <c r="C672" t="s">
        <v>181</v>
      </c>
      <c r="D672" t="s">
        <v>51</v>
      </c>
      <c r="E672">
        <v>2000708753</v>
      </c>
      <c r="F672">
        <v>490</v>
      </c>
      <c r="G672">
        <v>160</v>
      </c>
      <c r="H672">
        <v>0</v>
      </c>
      <c r="I672" t="s">
        <v>191</v>
      </c>
      <c r="J672" t="s">
        <v>669</v>
      </c>
      <c r="K672" t="s">
        <v>712</v>
      </c>
      <c r="O672">
        <v>0</v>
      </c>
      <c r="U672" t="s">
        <v>81</v>
      </c>
    </row>
    <row r="673" spans="1:21" x14ac:dyDescent="0.25">
      <c r="A673" s="33">
        <v>673</v>
      </c>
      <c r="B673" s="24">
        <v>44208</v>
      </c>
      <c r="C673" t="s">
        <v>181</v>
      </c>
      <c r="D673" t="s">
        <v>51</v>
      </c>
      <c r="E673">
        <v>2000708756</v>
      </c>
      <c r="F673">
        <v>650</v>
      </c>
      <c r="G673">
        <v>210</v>
      </c>
      <c r="H673">
        <v>0</v>
      </c>
      <c r="I673" t="s">
        <v>191</v>
      </c>
      <c r="J673" t="s">
        <v>667</v>
      </c>
      <c r="K673" t="s">
        <v>671</v>
      </c>
      <c r="O673">
        <v>0</v>
      </c>
      <c r="U673" t="s">
        <v>81</v>
      </c>
    </row>
    <row r="674" spans="1:21" x14ac:dyDescent="0.25">
      <c r="A674" s="33">
        <v>674</v>
      </c>
      <c r="B674" s="24">
        <v>44209</v>
      </c>
      <c r="C674" t="s">
        <v>39</v>
      </c>
      <c r="D674" t="s">
        <v>41</v>
      </c>
      <c r="E674">
        <v>2000708774</v>
      </c>
      <c r="F674">
        <v>238</v>
      </c>
      <c r="G674">
        <v>98</v>
      </c>
      <c r="H674">
        <v>0</v>
      </c>
      <c r="I674" t="s">
        <v>184</v>
      </c>
      <c r="J674" t="s">
        <v>816</v>
      </c>
      <c r="K674" t="s">
        <v>833</v>
      </c>
      <c r="O674">
        <v>0</v>
      </c>
      <c r="U674" t="s">
        <v>81</v>
      </c>
    </row>
    <row r="675" spans="1:21" x14ac:dyDescent="0.25">
      <c r="A675" s="33">
        <v>675</v>
      </c>
      <c r="B675" s="24">
        <v>44209</v>
      </c>
      <c r="C675" t="s">
        <v>39</v>
      </c>
      <c r="D675" t="s">
        <v>41</v>
      </c>
      <c r="E675">
        <v>2000708779</v>
      </c>
      <c r="F675">
        <v>1300</v>
      </c>
      <c r="G675">
        <v>75</v>
      </c>
      <c r="H675">
        <v>0</v>
      </c>
      <c r="I675" t="s">
        <v>184</v>
      </c>
      <c r="J675" t="s">
        <v>835</v>
      </c>
      <c r="K675" t="s">
        <v>171</v>
      </c>
      <c r="O675">
        <v>0</v>
      </c>
      <c r="U675" t="s">
        <v>81</v>
      </c>
    </row>
    <row r="676" spans="1:21" x14ac:dyDescent="0.25">
      <c r="A676" s="33">
        <v>676</v>
      </c>
      <c r="B676" s="24">
        <v>44209</v>
      </c>
      <c r="C676" t="s">
        <v>39</v>
      </c>
      <c r="D676" t="s">
        <v>41</v>
      </c>
      <c r="E676">
        <v>2000708733</v>
      </c>
      <c r="F676">
        <v>300</v>
      </c>
      <c r="G676">
        <v>15</v>
      </c>
      <c r="H676">
        <v>0</v>
      </c>
      <c r="I676" t="s">
        <v>184</v>
      </c>
      <c r="J676" t="s">
        <v>745</v>
      </c>
      <c r="K676" t="s">
        <v>836</v>
      </c>
      <c r="O676">
        <v>0</v>
      </c>
      <c r="U676" t="s">
        <v>81</v>
      </c>
    </row>
    <row r="677" spans="1:21" x14ac:dyDescent="0.25">
      <c r="A677" s="33">
        <v>677</v>
      </c>
      <c r="B677" s="24">
        <v>44209</v>
      </c>
      <c r="C677" t="s">
        <v>39</v>
      </c>
      <c r="D677" t="s">
        <v>41</v>
      </c>
      <c r="E677">
        <v>2000709019</v>
      </c>
      <c r="F677">
        <v>630</v>
      </c>
      <c r="G677">
        <v>90</v>
      </c>
      <c r="H677">
        <v>0</v>
      </c>
      <c r="I677" t="s">
        <v>184</v>
      </c>
      <c r="J677" t="s">
        <v>203</v>
      </c>
      <c r="K677" t="s">
        <v>768</v>
      </c>
      <c r="O677">
        <v>0</v>
      </c>
      <c r="U677" t="s">
        <v>81</v>
      </c>
    </row>
    <row r="678" spans="1:21" x14ac:dyDescent="0.25">
      <c r="A678" s="33">
        <v>678</v>
      </c>
      <c r="B678" s="24">
        <v>44209</v>
      </c>
      <c r="C678" t="s">
        <v>39</v>
      </c>
      <c r="D678" t="s">
        <v>41</v>
      </c>
      <c r="E678">
        <v>2000708562</v>
      </c>
      <c r="F678">
        <v>510</v>
      </c>
      <c r="G678">
        <v>40</v>
      </c>
      <c r="H678">
        <v>0</v>
      </c>
      <c r="I678" t="s">
        <v>184</v>
      </c>
      <c r="J678" t="s">
        <v>203</v>
      </c>
      <c r="K678" t="s">
        <v>768</v>
      </c>
      <c r="O678">
        <v>0</v>
      </c>
      <c r="U678" t="s">
        <v>81</v>
      </c>
    </row>
    <row r="679" spans="1:21" x14ac:dyDescent="0.25">
      <c r="A679" s="33">
        <v>679</v>
      </c>
      <c r="B679" s="24">
        <v>44209</v>
      </c>
      <c r="C679" t="s">
        <v>39</v>
      </c>
      <c r="D679" t="s">
        <v>41</v>
      </c>
      <c r="E679">
        <v>2000705510</v>
      </c>
      <c r="F679">
        <v>10</v>
      </c>
      <c r="G679">
        <v>2</v>
      </c>
      <c r="H679">
        <v>0</v>
      </c>
      <c r="I679" t="s">
        <v>184</v>
      </c>
      <c r="J679" t="s">
        <v>215</v>
      </c>
      <c r="K679" t="s">
        <v>837</v>
      </c>
      <c r="O679">
        <v>0</v>
      </c>
      <c r="U679" t="s">
        <v>81</v>
      </c>
    </row>
    <row r="680" spans="1:21" x14ac:dyDescent="0.25">
      <c r="A680" s="33">
        <v>680</v>
      </c>
      <c r="B680" s="24">
        <v>44209</v>
      </c>
      <c r="C680" t="s">
        <v>39</v>
      </c>
      <c r="D680" t="s">
        <v>41</v>
      </c>
      <c r="E680">
        <v>2000705511</v>
      </c>
      <c r="F680">
        <v>10</v>
      </c>
      <c r="G680">
        <v>2</v>
      </c>
      <c r="H680">
        <v>0</v>
      </c>
      <c r="I680" t="s">
        <v>184</v>
      </c>
      <c r="J680" t="s">
        <v>215</v>
      </c>
      <c r="K680" t="s">
        <v>837</v>
      </c>
      <c r="O680">
        <v>0</v>
      </c>
      <c r="U680" t="s">
        <v>81</v>
      </c>
    </row>
    <row r="681" spans="1:21" x14ac:dyDescent="0.25">
      <c r="A681" s="33">
        <v>681</v>
      </c>
      <c r="B681" s="24">
        <v>44209</v>
      </c>
      <c r="C681" t="s">
        <v>39</v>
      </c>
      <c r="D681" t="s">
        <v>41</v>
      </c>
      <c r="E681">
        <v>2000705499</v>
      </c>
      <c r="F681">
        <v>37</v>
      </c>
      <c r="G681">
        <v>3</v>
      </c>
      <c r="H681">
        <v>0</v>
      </c>
      <c r="I681" t="s">
        <v>184</v>
      </c>
      <c r="J681" t="s">
        <v>215</v>
      </c>
      <c r="K681" t="s">
        <v>838</v>
      </c>
      <c r="O681">
        <v>0</v>
      </c>
      <c r="U681" t="s">
        <v>83</v>
      </c>
    </row>
    <row r="682" spans="1:21" x14ac:dyDescent="0.25">
      <c r="A682" s="33">
        <v>682</v>
      </c>
      <c r="B682" s="24">
        <v>44209</v>
      </c>
      <c r="C682" t="s">
        <v>39</v>
      </c>
      <c r="D682" t="s">
        <v>41</v>
      </c>
      <c r="E682">
        <v>2000705498</v>
      </c>
      <c r="F682">
        <v>37</v>
      </c>
      <c r="G682">
        <v>3</v>
      </c>
      <c r="H682">
        <v>0</v>
      </c>
      <c r="I682" t="s">
        <v>184</v>
      </c>
      <c r="J682" t="s">
        <v>215</v>
      </c>
      <c r="K682" t="s">
        <v>838</v>
      </c>
      <c r="O682">
        <v>0</v>
      </c>
      <c r="U682" t="s">
        <v>83</v>
      </c>
    </row>
    <row r="683" spans="1:21" x14ac:dyDescent="0.25">
      <c r="A683" s="33">
        <v>683</v>
      </c>
      <c r="B683" s="24">
        <v>44209</v>
      </c>
      <c r="C683" t="s">
        <v>39</v>
      </c>
      <c r="D683" t="s">
        <v>41</v>
      </c>
      <c r="E683">
        <v>2000705511</v>
      </c>
      <c r="F683">
        <v>10</v>
      </c>
      <c r="G683">
        <v>2</v>
      </c>
      <c r="H683">
        <v>0</v>
      </c>
      <c r="I683" t="s">
        <v>198</v>
      </c>
      <c r="J683" t="s">
        <v>215</v>
      </c>
      <c r="K683" t="s">
        <v>837</v>
      </c>
      <c r="O683">
        <v>0</v>
      </c>
      <c r="U683" t="s">
        <v>83</v>
      </c>
    </row>
    <row r="684" spans="1:21" x14ac:dyDescent="0.25">
      <c r="A684" s="33">
        <v>684</v>
      </c>
      <c r="B684" s="24">
        <v>44209</v>
      </c>
      <c r="C684" t="s">
        <v>39</v>
      </c>
      <c r="D684" t="s">
        <v>41</v>
      </c>
      <c r="E684">
        <v>2000705510</v>
      </c>
      <c r="F684">
        <v>10</v>
      </c>
      <c r="G684">
        <v>2</v>
      </c>
      <c r="H684">
        <v>0</v>
      </c>
      <c r="I684" t="s">
        <v>198</v>
      </c>
      <c r="J684" t="s">
        <v>215</v>
      </c>
      <c r="K684" t="s">
        <v>837</v>
      </c>
      <c r="O684">
        <v>0</v>
      </c>
      <c r="U684" t="s">
        <v>83</v>
      </c>
    </row>
    <row r="685" spans="1:21" x14ac:dyDescent="0.25">
      <c r="A685" s="33">
        <v>685</v>
      </c>
      <c r="B685" s="24">
        <v>44209</v>
      </c>
      <c r="C685" t="s">
        <v>39</v>
      </c>
      <c r="D685" t="s">
        <v>41</v>
      </c>
      <c r="E685">
        <v>2000708779</v>
      </c>
      <c r="F685">
        <v>1300</v>
      </c>
      <c r="G685">
        <v>270</v>
      </c>
      <c r="H685">
        <v>0</v>
      </c>
      <c r="I685" t="s">
        <v>198</v>
      </c>
      <c r="J685" t="s">
        <v>170</v>
      </c>
      <c r="K685" t="s">
        <v>171</v>
      </c>
      <c r="O685">
        <v>0</v>
      </c>
      <c r="U685" t="s">
        <v>81</v>
      </c>
    </row>
    <row r="686" spans="1:21" x14ac:dyDescent="0.25">
      <c r="A686" s="33">
        <v>686</v>
      </c>
      <c r="B686" s="24">
        <v>44209</v>
      </c>
      <c r="C686" t="s">
        <v>39</v>
      </c>
      <c r="D686" t="s">
        <v>41</v>
      </c>
      <c r="E686">
        <v>2000705510</v>
      </c>
      <c r="F686">
        <v>10</v>
      </c>
      <c r="G686">
        <v>6</v>
      </c>
      <c r="H686">
        <v>0</v>
      </c>
      <c r="I686" t="s">
        <v>198</v>
      </c>
      <c r="J686" t="s">
        <v>215</v>
      </c>
      <c r="K686" t="s">
        <v>837</v>
      </c>
      <c r="O686">
        <v>0</v>
      </c>
      <c r="U686" t="s">
        <v>81</v>
      </c>
    </row>
    <row r="687" spans="1:21" x14ac:dyDescent="0.25">
      <c r="A687" s="33">
        <v>687</v>
      </c>
      <c r="B687" s="24">
        <v>44209</v>
      </c>
      <c r="C687" t="s">
        <v>39</v>
      </c>
      <c r="D687" t="s">
        <v>41</v>
      </c>
      <c r="E687">
        <v>2000705511</v>
      </c>
      <c r="F687">
        <v>10</v>
      </c>
      <c r="G687">
        <v>6</v>
      </c>
      <c r="H687">
        <v>0</v>
      </c>
      <c r="I687" t="s">
        <v>198</v>
      </c>
      <c r="J687" t="s">
        <v>215</v>
      </c>
      <c r="K687" t="s">
        <v>837</v>
      </c>
      <c r="O687">
        <v>0</v>
      </c>
      <c r="U687" t="s">
        <v>81</v>
      </c>
    </row>
    <row r="688" spans="1:21" x14ac:dyDescent="0.25">
      <c r="A688" s="33">
        <v>688</v>
      </c>
      <c r="B688" s="24">
        <v>44209</v>
      </c>
      <c r="C688" t="s">
        <v>39</v>
      </c>
      <c r="D688" t="s">
        <v>41</v>
      </c>
      <c r="E688">
        <v>2000709017</v>
      </c>
      <c r="F688">
        <v>630</v>
      </c>
      <c r="G688">
        <v>134</v>
      </c>
      <c r="H688">
        <v>0</v>
      </c>
      <c r="I688" t="s">
        <v>198</v>
      </c>
      <c r="J688" t="s">
        <v>203</v>
      </c>
      <c r="K688" t="s">
        <v>768</v>
      </c>
      <c r="O688">
        <v>0</v>
      </c>
      <c r="U688" t="s">
        <v>81</v>
      </c>
    </row>
    <row r="689" spans="1:21" x14ac:dyDescent="0.25">
      <c r="A689" s="33">
        <v>689</v>
      </c>
      <c r="B689" s="24">
        <v>44209</v>
      </c>
      <c r="C689" t="s">
        <v>39</v>
      </c>
      <c r="D689" t="s">
        <v>41</v>
      </c>
      <c r="E689">
        <v>2000708553</v>
      </c>
      <c r="F689">
        <v>56</v>
      </c>
      <c r="G689">
        <v>56</v>
      </c>
      <c r="H689">
        <v>0</v>
      </c>
      <c r="I689" t="s">
        <v>198</v>
      </c>
      <c r="J689" t="s">
        <v>202</v>
      </c>
      <c r="K689" t="s">
        <v>832</v>
      </c>
      <c r="O689">
        <v>0</v>
      </c>
      <c r="U689" t="s">
        <v>83</v>
      </c>
    </row>
    <row r="690" spans="1:21" x14ac:dyDescent="0.25">
      <c r="A690" s="33">
        <v>690</v>
      </c>
      <c r="B690" s="24">
        <v>44209</v>
      </c>
      <c r="C690" t="s">
        <v>39</v>
      </c>
      <c r="D690" t="s">
        <v>41</v>
      </c>
      <c r="E690">
        <v>2000708552</v>
      </c>
      <c r="F690">
        <v>56</v>
      </c>
      <c r="G690">
        <v>56</v>
      </c>
      <c r="H690">
        <v>0</v>
      </c>
      <c r="I690" t="s">
        <v>198</v>
      </c>
      <c r="J690" t="s">
        <v>202</v>
      </c>
      <c r="K690" t="s">
        <v>831</v>
      </c>
      <c r="O690">
        <v>0</v>
      </c>
      <c r="U690" t="s">
        <v>83</v>
      </c>
    </row>
    <row r="691" spans="1:21" x14ac:dyDescent="0.25">
      <c r="A691" s="33">
        <v>691</v>
      </c>
      <c r="B691" s="24">
        <v>44209</v>
      </c>
      <c r="C691" t="s">
        <v>39</v>
      </c>
      <c r="D691" t="s">
        <v>41</v>
      </c>
      <c r="E691">
        <v>2000708551</v>
      </c>
      <c r="F691">
        <v>56</v>
      </c>
      <c r="G691">
        <v>56</v>
      </c>
      <c r="H691">
        <v>0</v>
      </c>
      <c r="I691" t="s">
        <v>198</v>
      </c>
      <c r="J691" t="s">
        <v>202</v>
      </c>
      <c r="K691" t="s">
        <v>830</v>
      </c>
      <c r="O691">
        <v>0</v>
      </c>
      <c r="U691" t="s">
        <v>83</v>
      </c>
    </row>
    <row r="692" spans="1:21" x14ac:dyDescent="0.25">
      <c r="A692" s="33">
        <v>692</v>
      </c>
      <c r="B692" s="24">
        <v>44209</v>
      </c>
      <c r="C692" t="s">
        <v>39</v>
      </c>
      <c r="D692" t="s">
        <v>41</v>
      </c>
      <c r="E692">
        <v>2000708555</v>
      </c>
      <c r="F692">
        <v>48</v>
      </c>
      <c r="G692">
        <v>48</v>
      </c>
      <c r="H692">
        <v>0</v>
      </c>
      <c r="I692" t="s">
        <v>198</v>
      </c>
      <c r="J692" t="s">
        <v>216</v>
      </c>
      <c r="K692" t="s">
        <v>839</v>
      </c>
      <c r="O692">
        <v>0</v>
      </c>
      <c r="U692" t="s">
        <v>83</v>
      </c>
    </row>
    <row r="693" spans="1:21" x14ac:dyDescent="0.25">
      <c r="A693" s="33">
        <v>693</v>
      </c>
      <c r="B693" s="24">
        <v>44209</v>
      </c>
      <c r="C693" t="s">
        <v>39</v>
      </c>
      <c r="D693" t="s">
        <v>41</v>
      </c>
      <c r="E693">
        <v>2000708554</v>
      </c>
      <c r="F693">
        <v>48</v>
      </c>
      <c r="G693">
        <v>48</v>
      </c>
      <c r="H693">
        <v>0</v>
      </c>
      <c r="I693" t="s">
        <v>198</v>
      </c>
      <c r="J693" t="s">
        <v>216</v>
      </c>
      <c r="K693" t="s">
        <v>784</v>
      </c>
      <c r="O693">
        <v>0</v>
      </c>
      <c r="U693" t="s">
        <v>83</v>
      </c>
    </row>
    <row r="694" spans="1:21" x14ac:dyDescent="0.25">
      <c r="A694" s="33">
        <v>694</v>
      </c>
      <c r="B694" s="24">
        <v>44209</v>
      </c>
      <c r="C694" t="s">
        <v>39</v>
      </c>
      <c r="D694" t="s">
        <v>41</v>
      </c>
      <c r="E694">
        <v>2000708913</v>
      </c>
      <c r="F694">
        <v>48</v>
      </c>
      <c r="G694">
        <v>48</v>
      </c>
      <c r="H694">
        <v>0</v>
      </c>
      <c r="I694" t="s">
        <v>198</v>
      </c>
      <c r="J694" t="s">
        <v>169</v>
      </c>
      <c r="K694" t="s">
        <v>826</v>
      </c>
      <c r="O694">
        <v>0</v>
      </c>
      <c r="U694" t="s">
        <v>83</v>
      </c>
    </row>
    <row r="695" spans="1:21" x14ac:dyDescent="0.25">
      <c r="A695" s="33">
        <v>695</v>
      </c>
      <c r="B695" s="24">
        <v>44209</v>
      </c>
      <c r="C695" t="s">
        <v>39</v>
      </c>
      <c r="D695" t="s">
        <v>41</v>
      </c>
      <c r="E695">
        <v>2000705498</v>
      </c>
      <c r="F695">
        <v>37</v>
      </c>
      <c r="G695">
        <v>3</v>
      </c>
      <c r="H695">
        <v>0</v>
      </c>
      <c r="I695" t="s">
        <v>198</v>
      </c>
      <c r="J695" t="s">
        <v>215</v>
      </c>
      <c r="K695" t="s">
        <v>838</v>
      </c>
      <c r="O695">
        <v>0</v>
      </c>
      <c r="U695" t="s">
        <v>81</v>
      </c>
    </row>
    <row r="696" spans="1:21" x14ac:dyDescent="0.25">
      <c r="A696" s="33">
        <v>696</v>
      </c>
      <c r="B696" s="24">
        <v>44209</v>
      </c>
      <c r="C696" t="s">
        <v>39</v>
      </c>
      <c r="D696" t="s">
        <v>41</v>
      </c>
      <c r="E696">
        <v>2000705499</v>
      </c>
      <c r="F696">
        <v>37</v>
      </c>
      <c r="G696">
        <v>3</v>
      </c>
      <c r="H696">
        <v>0</v>
      </c>
      <c r="I696" t="s">
        <v>198</v>
      </c>
      <c r="J696" t="s">
        <v>215</v>
      </c>
      <c r="K696" t="s">
        <v>838</v>
      </c>
      <c r="O696">
        <v>0</v>
      </c>
      <c r="U696" t="s">
        <v>81</v>
      </c>
    </row>
    <row r="697" spans="1:21" x14ac:dyDescent="0.25">
      <c r="A697" s="33">
        <v>697</v>
      </c>
      <c r="B697" s="24">
        <v>44209</v>
      </c>
      <c r="C697" t="s">
        <v>39</v>
      </c>
      <c r="D697" t="s">
        <v>41</v>
      </c>
      <c r="E697">
        <v>2000709277</v>
      </c>
      <c r="F697">
        <v>100</v>
      </c>
      <c r="G697">
        <v>100</v>
      </c>
      <c r="H697">
        <v>0</v>
      </c>
      <c r="I697" t="s">
        <v>198</v>
      </c>
      <c r="J697" t="s">
        <v>203</v>
      </c>
      <c r="K697" t="s">
        <v>840</v>
      </c>
      <c r="O697">
        <v>0</v>
      </c>
      <c r="U697" t="s">
        <v>81</v>
      </c>
    </row>
    <row r="698" spans="1:21" ht="30" x14ac:dyDescent="0.25">
      <c r="A698" s="33">
        <v>698</v>
      </c>
      <c r="B698" s="24">
        <v>44209</v>
      </c>
      <c r="C698" t="s">
        <v>39</v>
      </c>
      <c r="D698" t="s">
        <v>41</v>
      </c>
      <c r="E698">
        <v>2000709272</v>
      </c>
      <c r="F698">
        <v>100</v>
      </c>
      <c r="G698">
        <v>100</v>
      </c>
      <c r="H698">
        <v>0</v>
      </c>
      <c r="I698" t="s">
        <v>198</v>
      </c>
      <c r="J698" t="s">
        <v>203</v>
      </c>
      <c r="K698" t="s">
        <v>841</v>
      </c>
      <c r="O698">
        <v>0</v>
      </c>
      <c r="T698" s="62" t="s">
        <v>723</v>
      </c>
      <c r="U698" t="s">
        <v>81</v>
      </c>
    </row>
    <row r="699" spans="1:21" ht="30" x14ac:dyDescent="0.25">
      <c r="A699" s="33">
        <v>699</v>
      </c>
      <c r="B699" s="24">
        <v>44209</v>
      </c>
      <c r="C699" t="s">
        <v>39</v>
      </c>
      <c r="D699" t="s">
        <v>41</v>
      </c>
      <c r="E699">
        <v>2000709273</v>
      </c>
      <c r="F699">
        <v>100</v>
      </c>
      <c r="G699">
        <v>100</v>
      </c>
      <c r="H699">
        <v>0</v>
      </c>
      <c r="I699" t="s">
        <v>198</v>
      </c>
      <c r="J699" t="s">
        <v>203</v>
      </c>
      <c r="K699" t="s">
        <v>842</v>
      </c>
      <c r="O699">
        <v>0</v>
      </c>
      <c r="T699" s="62" t="s">
        <v>723</v>
      </c>
      <c r="U699" t="s">
        <v>81</v>
      </c>
    </row>
    <row r="700" spans="1:21" ht="30" x14ac:dyDescent="0.25">
      <c r="A700" s="33">
        <v>700</v>
      </c>
      <c r="B700" s="24">
        <v>44209</v>
      </c>
      <c r="C700" t="s">
        <v>39</v>
      </c>
      <c r="D700" t="s">
        <v>41</v>
      </c>
      <c r="E700">
        <v>2000709274</v>
      </c>
      <c r="F700">
        <v>100</v>
      </c>
      <c r="G700">
        <v>100</v>
      </c>
      <c r="H700">
        <v>0</v>
      </c>
      <c r="I700" t="s">
        <v>198</v>
      </c>
      <c r="J700" t="s">
        <v>203</v>
      </c>
      <c r="K700" t="s">
        <v>843</v>
      </c>
      <c r="O700">
        <v>0</v>
      </c>
      <c r="T700" s="62" t="s">
        <v>723</v>
      </c>
      <c r="U700" t="s">
        <v>81</v>
      </c>
    </row>
    <row r="701" spans="1:21" ht="30" x14ac:dyDescent="0.25">
      <c r="A701" s="33">
        <v>701</v>
      </c>
      <c r="B701" s="24">
        <v>44209</v>
      </c>
      <c r="C701" t="s">
        <v>39</v>
      </c>
      <c r="D701" t="s">
        <v>41</v>
      </c>
      <c r="E701">
        <v>2000709275</v>
      </c>
      <c r="F701">
        <v>100</v>
      </c>
      <c r="G701">
        <v>100</v>
      </c>
      <c r="H701">
        <v>0</v>
      </c>
      <c r="I701" t="s">
        <v>198</v>
      </c>
      <c r="J701" t="s">
        <v>203</v>
      </c>
      <c r="K701" t="s">
        <v>845</v>
      </c>
      <c r="O701">
        <v>0</v>
      </c>
      <c r="T701" s="62" t="s">
        <v>723</v>
      </c>
      <c r="U701" t="s">
        <v>81</v>
      </c>
    </row>
    <row r="702" spans="1:21" ht="30" x14ac:dyDescent="0.25">
      <c r="A702" s="33">
        <v>702</v>
      </c>
      <c r="B702" s="24">
        <v>44209</v>
      </c>
      <c r="C702" t="s">
        <v>39</v>
      </c>
      <c r="D702" t="s">
        <v>41</v>
      </c>
      <c r="E702">
        <v>2000709276</v>
      </c>
      <c r="F702">
        <v>100</v>
      </c>
      <c r="G702">
        <v>100</v>
      </c>
      <c r="H702">
        <v>0</v>
      </c>
      <c r="I702" t="s">
        <v>198</v>
      </c>
      <c r="J702" t="s">
        <v>203</v>
      </c>
      <c r="K702" t="s">
        <v>846</v>
      </c>
      <c r="O702">
        <v>0</v>
      </c>
      <c r="T702" s="62" t="s">
        <v>723</v>
      </c>
      <c r="U702" t="s">
        <v>81</v>
      </c>
    </row>
    <row r="703" spans="1:21" x14ac:dyDescent="0.25">
      <c r="A703" s="33">
        <v>703</v>
      </c>
      <c r="B703" s="24">
        <v>44209</v>
      </c>
      <c r="C703" t="s">
        <v>39</v>
      </c>
      <c r="D703" t="s">
        <v>41</v>
      </c>
      <c r="E703">
        <v>2000708406</v>
      </c>
      <c r="F703">
        <v>3700</v>
      </c>
      <c r="G703">
        <v>40</v>
      </c>
      <c r="H703">
        <v>0</v>
      </c>
      <c r="I703" t="s">
        <v>185</v>
      </c>
      <c r="J703" t="s">
        <v>172</v>
      </c>
      <c r="K703" t="s">
        <v>173</v>
      </c>
      <c r="O703">
        <v>0</v>
      </c>
      <c r="U703" t="s">
        <v>81</v>
      </c>
    </row>
    <row r="704" spans="1:21" x14ac:dyDescent="0.25">
      <c r="A704" s="33">
        <v>704</v>
      </c>
      <c r="B704" s="24">
        <v>44209</v>
      </c>
      <c r="C704" t="s">
        <v>39</v>
      </c>
      <c r="D704" t="s">
        <v>41</v>
      </c>
      <c r="E704">
        <v>2000708913</v>
      </c>
      <c r="F704">
        <v>48</v>
      </c>
      <c r="G704">
        <v>48</v>
      </c>
      <c r="H704">
        <v>0</v>
      </c>
      <c r="I704" t="s">
        <v>185</v>
      </c>
      <c r="J704" t="s">
        <v>169</v>
      </c>
      <c r="K704" t="s">
        <v>826</v>
      </c>
      <c r="O704">
        <v>0</v>
      </c>
      <c r="U704" t="s">
        <v>81</v>
      </c>
    </row>
    <row r="705" spans="1:21" ht="45" x14ac:dyDescent="0.25">
      <c r="A705" s="33">
        <v>705</v>
      </c>
      <c r="B705" s="24">
        <v>44209</v>
      </c>
      <c r="C705" t="s">
        <v>39</v>
      </c>
      <c r="D705" t="s">
        <v>41</v>
      </c>
      <c r="E705">
        <v>2000708371</v>
      </c>
      <c r="F705">
        <v>2100</v>
      </c>
      <c r="G705">
        <v>30</v>
      </c>
      <c r="H705">
        <v>0</v>
      </c>
      <c r="I705" t="s">
        <v>185</v>
      </c>
      <c r="J705" t="s">
        <v>169</v>
      </c>
      <c r="K705" t="s">
        <v>179</v>
      </c>
      <c r="O705">
        <v>0</v>
      </c>
      <c r="T705" s="62" t="s">
        <v>775</v>
      </c>
      <c r="U705" t="s">
        <v>81</v>
      </c>
    </row>
    <row r="706" spans="1:21" x14ac:dyDescent="0.25">
      <c r="A706" s="33">
        <v>706</v>
      </c>
      <c r="B706" s="24">
        <v>44209</v>
      </c>
      <c r="C706" t="s">
        <v>39</v>
      </c>
      <c r="D706" t="s">
        <v>41</v>
      </c>
      <c r="E706">
        <v>2000708022</v>
      </c>
      <c r="F706">
        <v>6000</v>
      </c>
      <c r="G706">
        <v>200</v>
      </c>
      <c r="H706">
        <v>0</v>
      </c>
      <c r="I706" t="s">
        <v>185</v>
      </c>
      <c r="J706" t="s">
        <v>200</v>
      </c>
      <c r="K706" t="s">
        <v>653</v>
      </c>
      <c r="O706">
        <v>0</v>
      </c>
      <c r="U706" t="s">
        <v>81</v>
      </c>
    </row>
    <row r="707" spans="1:21" x14ac:dyDescent="0.25">
      <c r="A707" s="33">
        <v>707</v>
      </c>
      <c r="B707" s="24">
        <v>44209</v>
      </c>
      <c r="C707" t="s">
        <v>39</v>
      </c>
      <c r="D707" t="s">
        <v>41</v>
      </c>
      <c r="E707">
        <v>2000708693</v>
      </c>
      <c r="F707">
        <v>3700</v>
      </c>
      <c r="G707">
        <v>20</v>
      </c>
      <c r="H707">
        <v>0</v>
      </c>
      <c r="I707" t="s">
        <v>185</v>
      </c>
      <c r="J707" t="s">
        <v>172</v>
      </c>
      <c r="K707" t="s">
        <v>173</v>
      </c>
      <c r="O707">
        <v>0</v>
      </c>
      <c r="U707" t="s">
        <v>81</v>
      </c>
    </row>
    <row r="708" spans="1:21" x14ac:dyDescent="0.25">
      <c r="A708" s="33">
        <v>708</v>
      </c>
      <c r="B708" s="24">
        <v>44209</v>
      </c>
      <c r="C708" t="s">
        <v>39</v>
      </c>
      <c r="D708" t="s">
        <v>41</v>
      </c>
      <c r="E708">
        <v>2000708999</v>
      </c>
      <c r="F708">
        <v>420</v>
      </c>
      <c r="G708">
        <v>80</v>
      </c>
      <c r="H708">
        <v>0</v>
      </c>
      <c r="I708" t="s">
        <v>185</v>
      </c>
      <c r="J708" t="s">
        <v>169</v>
      </c>
      <c r="K708" t="s">
        <v>190</v>
      </c>
      <c r="O708">
        <v>0</v>
      </c>
      <c r="U708" t="s">
        <v>81</v>
      </c>
    </row>
    <row r="709" spans="1:21" x14ac:dyDescent="0.25">
      <c r="A709" s="33">
        <v>709</v>
      </c>
      <c r="B709" s="24">
        <v>44209</v>
      </c>
      <c r="C709" t="s">
        <v>39</v>
      </c>
      <c r="D709" t="s">
        <v>41</v>
      </c>
      <c r="E709">
        <v>2000709108</v>
      </c>
      <c r="F709">
        <v>380</v>
      </c>
      <c r="G709">
        <v>70</v>
      </c>
      <c r="H709">
        <v>0</v>
      </c>
      <c r="I709" t="s">
        <v>185</v>
      </c>
      <c r="J709" t="s">
        <v>645</v>
      </c>
      <c r="K709" t="s">
        <v>790</v>
      </c>
      <c r="O709">
        <v>0</v>
      </c>
      <c r="U709" t="s">
        <v>81</v>
      </c>
    </row>
    <row r="710" spans="1:21" x14ac:dyDescent="0.25">
      <c r="A710" s="33">
        <v>710</v>
      </c>
      <c r="B710" s="24">
        <v>44209</v>
      </c>
      <c r="C710" t="s">
        <v>39</v>
      </c>
      <c r="D710" t="s">
        <v>41</v>
      </c>
      <c r="E710">
        <v>2000708958</v>
      </c>
      <c r="F710">
        <v>1080</v>
      </c>
      <c r="G710">
        <v>225</v>
      </c>
      <c r="H710">
        <v>0</v>
      </c>
      <c r="I710" t="s">
        <v>759</v>
      </c>
      <c r="J710" t="s">
        <v>698</v>
      </c>
      <c r="K710" t="s">
        <v>699</v>
      </c>
      <c r="O710">
        <v>0</v>
      </c>
      <c r="U710" t="s">
        <v>81</v>
      </c>
    </row>
    <row r="711" spans="1:21" x14ac:dyDescent="0.25">
      <c r="A711" s="33">
        <v>711</v>
      </c>
      <c r="B711" s="24">
        <v>44209</v>
      </c>
      <c r="C711" t="s">
        <v>39</v>
      </c>
      <c r="D711" t="s">
        <v>41</v>
      </c>
      <c r="E711">
        <v>2000709145</v>
      </c>
      <c r="F711">
        <v>2096</v>
      </c>
      <c r="G711">
        <v>200</v>
      </c>
      <c r="H711">
        <v>0</v>
      </c>
      <c r="I711" t="s">
        <v>789</v>
      </c>
      <c r="J711" t="s">
        <v>203</v>
      </c>
      <c r="K711" t="s">
        <v>788</v>
      </c>
      <c r="O711">
        <v>0</v>
      </c>
      <c r="U711" t="s">
        <v>81</v>
      </c>
    </row>
    <row r="712" spans="1:21" x14ac:dyDescent="0.25">
      <c r="A712" s="33">
        <v>712</v>
      </c>
      <c r="B712" s="24">
        <v>44209</v>
      </c>
      <c r="C712" t="s">
        <v>39</v>
      </c>
      <c r="D712" t="s">
        <v>41</v>
      </c>
      <c r="E712">
        <v>2000708958</v>
      </c>
      <c r="F712">
        <v>1080</v>
      </c>
      <c r="G712">
        <v>128</v>
      </c>
      <c r="H712">
        <v>0</v>
      </c>
      <c r="I712" t="s">
        <v>789</v>
      </c>
      <c r="J712" t="s">
        <v>698</v>
      </c>
      <c r="K712" t="s">
        <v>699</v>
      </c>
      <c r="O712">
        <v>0</v>
      </c>
      <c r="U712" t="s">
        <v>81</v>
      </c>
    </row>
    <row r="713" spans="1:21" x14ac:dyDescent="0.25">
      <c r="A713" s="33">
        <v>713</v>
      </c>
      <c r="B713" s="24">
        <v>44209</v>
      </c>
      <c r="C713" t="s">
        <v>39</v>
      </c>
      <c r="D713" t="s">
        <v>41</v>
      </c>
      <c r="E713">
        <v>2000709307</v>
      </c>
      <c r="F713">
        <v>440</v>
      </c>
      <c r="G713">
        <v>119</v>
      </c>
      <c r="H713">
        <v>0</v>
      </c>
      <c r="I713" t="s">
        <v>183</v>
      </c>
      <c r="J713" t="s">
        <v>174</v>
      </c>
      <c r="K713" t="s">
        <v>735</v>
      </c>
      <c r="O713">
        <v>0</v>
      </c>
      <c r="U713" t="s">
        <v>81</v>
      </c>
    </row>
    <row r="714" spans="1:21" x14ac:dyDescent="0.25">
      <c r="A714" s="33">
        <v>714</v>
      </c>
      <c r="B714" s="24">
        <v>44209</v>
      </c>
      <c r="C714" t="s">
        <v>39</v>
      </c>
      <c r="D714" t="s">
        <v>41</v>
      </c>
      <c r="E714">
        <v>2000706645</v>
      </c>
      <c r="F714">
        <v>1032</v>
      </c>
      <c r="G714">
        <v>2</v>
      </c>
      <c r="H714">
        <v>0</v>
      </c>
      <c r="I714" t="s">
        <v>183</v>
      </c>
      <c r="J714" t="s">
        <v>174</v>
      </c>
      <c r="K714" t="s">
        <v>717</v>
      </c>
      <c r="O714">
        <v>0</v>
      </c>
      <c r="U714" t="s">
        <v>81</v>
      </c>
    </row>
    <row r="715" spans="1:21" x14ac:dyDescent="0.25">
      <c r="A715" s="33">
        <v>715</v>
      </c>
      <c r="B715" s="24">
        <v>44209</v>
      </c>
      <c r="C715" t="s">
        <v>39</v>
      </c>
      <c r="D715" t="s">
        <v>41</v>
      </c>
      <c r="E715">
        <v>2000708695</v>
      </c>
      <c r="F715">
        <v>240</v>
      </c>
      <c r="G715">
        <v>239</v>
      </c>
      <c r="H715">
        <v>0</v>
      </c>
      <c r="I715" t="s">
        <v>183</v>
      </c>
      <c r="J715" t="s">
        <v>174</v>
      </c>
      <c r="K715" t="s">
        <v>695</v>
      </c>
      <c r="O715">
        <v>0</v>
      </c>
      <c r="U715" t="s">
        <v>81</v>
      </c>
    </row>
    <row r="716" spans="1:21" x14ac:dyDescent="0.25">
      <c r="A716" s="33">
        <v>716</v>
      </c>
      <c r="B716" s="24">
        <v>44209</v>
      </c>
      <c r="C716" t="s">
        <v>39</v>
      </c>
      <c r="D716" t="s">
        <v>41</v>
      </c>
      <c r="E716">
        <v>2000709635</v>
      </c>
      <c r="F716">
        <v>646</v>
      </c>
      <c r="G716">
        <v>260</v>
      </c>
      <c r="H716">
        <v>0</v>
      </c>
      <c r="I716" t="s">
        <v>183</v>
      </c>
      <c r="J716" t="s">
        <v>174</v>
      </c>
      <c r="K716" t="s">
        <v>188</v>
      </c>
      <c r="O716">
        <v>0</v>
      </c>
      <c r="U716" t="s">
        <v>81</v>
      </c>
    </row>
    <row r="717" spans="1:21" x14ac:dyDescent="0.25">
      <c r="A717" s="33">
        <v>717</v>
      </c>
      <c r="B717" s="24">
        <v>44209</v>
      </c>
      <c r="C717" t="s">
        <v>39</v>
      </c>
      <c r="D717" t="s">
        <v>41</v>
      </c>
      <c r="E717">
        <v>2000708779</v>
      </c>
      <c r="F717">
        <v>300</v>
      </c>
      <c r="G717">
        <v>675</v>
      </c>
      <c r="H717">
        <v>0</v>
      </c>
      <c r="I717" t="s">
        <v>693</v>
      </c>
      <c r="J717" t="s">
        <v>170</v>
      </c>
      <c r="K717" t="s">
        <v>171</v>
      </c>
      <c r="O717">
        <v>0</v>
      </c>
      <c r="U717" t="s">
        <v>81</v>
      </c>
    </row>
    <row r="718" spans="1:21" x14ac:dyDescent="0.25">
      <c r="A718" s="33">
        <v>718</v>
      </c>
      <c r="B718" s="24">
        <v>44209</v>
      </c>
      <c r="C718" t="s">
        <v>39</v>
      </c>
      <c r="D718" t="s">
        <v>41</v>
      </c>
      <c r="E718">
        <v>2000708958</v>
      </c>
      <c r="F718">
        <v>1080</v>
      </c>
      <c r="G718">
        <v>135</v>
      </c>
      <c r="H718">
        <v>0</v>
      </c>
      <c r="I718" t="s">
        <v>693</v>
      </c>
      <c r="J718" t="s">
        <v>698</v>
      </c>
      <c r="K718" t="s">
        <v>699</v>
      </c>
      <c r="O718">
        <v>0</v>
      </c>
      <c r="U718" t="s">
        <v>81</v>
      </c>
    </row>
    <row r="719" spans="1:21" x14ac:dyDescent="0.25">
      <c r="A719" s="33">
        <v>719</v>
      </c>
      <c r="B719" s="24">
        <v>44209</v>
      </c>
      <c r="C719" t="s">
        <v>39</v>
      </c>
      <c r="D719" t="s">
        <v>41</v>
      </c>
      <c r="E719">
        <v>2000708025</v>
      </c>
      <c r="F719">
        <v>2620</v>
      </c>
      <c r="G719">
        <v>240</v>
      </c>
      <c r="H719">
        <v>0</v>
      </c>
      <c r="I719" t="s">
        <v>680</v>
      </c>
      <c r="J719" t="s">
        <v>203</v>
      </c>
      <c r="K719" t="s">
        <v>844</v>
      </c>
      <c r="O719">
        <v>0</v>
      </c>
      <c r="U719" t="s">
        <v>81</v>
      </c>
    </row>
    <row r="720" spans="1:21" x14ac:dyDescent="0.25">
      <c r="A720" s="33">
        <v>720</v>
      </c>
      <c r="B720" s="24">
        <v>44209</v>
      </c>
      <c r="C720" t="s">
        <v>39</v>
      </c>
      <c r="D720" t="s">
        <v>41</v>
      </c>
      <c r="E720">
        <v>2000708376</v>
      </c>
      <c r="F720">
        <v>2000</v>
      </c>
      <c r="G720">
        <v>200</v>
      </c>
      <c r="H720">
        <v>0</v>
      </c>
      <c r="I720" t="s">
        <v>680</v>
      </c>
      <c r="J720" t="s">
        <v>193</v>
      </c>
      <c r="K720" t="s">
        <v>650</v>
      </c>
      <c r="O720">
        <v>0</v>
      </c>
      <c r="U720" t="s">
        <v>81</v>
      </c>
    </row>
    <row r="721" spans="1:21" x14ac:dyDescent="0.25">
      <c r="A721" s="33">
        <v>721</v>
      </c>
      <c r="B721" s="24">
        <v>44209</v>
      </c>
      <c r="C721" t="s">
        <v>39</v>
      </c>
      <c r="D721" t="s">
        <v>41</v>
      </c>
      <c r="E721">
        <v>2000708453</v>
      </c>
      <c r="F721">
        <v>3600</v>
      </c>
      <c r="G721">
        <v>200</v>
      </c>
      <c r="H721">
        <v>0</v>
      </c>
      <c r="I721" t="s">
        <v>680</v>
      </c>
      <c r="J721" t="s">
        <v>645</v>
      </c>
      <c r="K721" t="s">
        <v>659</v>
      </c>
      <c r="O721">
        <v>0</v>
      </c>
      <c r="U721" t="s">
        <v>81</v>
      </c>
    </row>
    <row r="722" spans="1:21" x14ac:dyDescent="0.25">
      <c r="A722" s="33">
        <v>722</v>
      </c>
      <c r="B722" s="24">
        <v>44209</v>
      </c>
      <c r="C722" t="s">
        <v>39</v>
      </c>
      <c r="D722" t="s">
        <v>41</v>
      </c>
      <c r="E722">
        <v>2000708915</v>
      </c>
      <c r="F722">
        <v>2000</v>
      </c>
      <c r="G722">
        <v>200</v>
      </c>
      <c r="H722">
        <v>0</v>
      </c>
      <c r="I722" t="s">
        <v>680</v>
      </c>
      <c r="J722" t="s">
        <v>193</v>
      </c>
      <c r="K722" t="s">
        <v>683</v>
      </c>
      <c r="O722">
        <v>0</v>
      </c>
      <c r="U722" t="s">
        <v>81</v>
      </c>
    </row>
    <row r="723" spans="1:21" x14ac:dyDescent="0.25">
      <c r="A723" s="33">
        <v>723</v>
      </c>
      <c r="B723" s="24">
        <v>44209</v>
      </c>
      <c r="C723" t="s">
        <v>39</v>
      </c>
      <c r="D723" t="s">
        <v>41</v>
      </c>
      <c r="E723">
        <v>2000709145</v>
      </c>
      <c r="F723">
        <v>2096</v>
      </c>
      <c r="G723">
        <v>400</v>
      </c>
      <c r="H723">
        <v>0</v>
      </c>
      <c r="I723" t="s">
        <v>680</v>
      </c>
      <c r="J723" t="s">
        <v>203</v>
      </c>
      <c r="K723" t="s">
        <v>788</v>
      </c>
      <c r="O723">
        <v>0</v>
      </c>
      <c r="U723" t="s">
        <v>81</v>
      </c>
    </row>
    <row r="724" spans="1:21" x14ac:dyDescent="0.25">
      <c r="A724" s="33">
        <v>724</v>
      </c>
      <c r="B724" s="24">
        <v>44209</v>
      </c>
      <c r="C724" t="s">
        <v>39</v>
      </c>
      <c r="D724" t="s">
        <v>41</v>
      </c>
      <c r="E724">
        <v>2000696619</v>
      </c>
      <c r="F724">
        <v>150</v>
      </c>
      <c r="G724">
        <v>1</v>
      </c>
      <c r="H724">
        <v>0</v>
      </c>
      <c r="I724" t="s">
        <v>680</v>
      </c>
      <c r="J724" t="s">
        <v>169</v>
      </c>
      <c r="K724" t="s">
        <v>847</v>
      </c>
      <c r="O724">
        <v>0</v>
      </c>
      <c r="U724" t="s">
        <v>81</v>
      </c>
    </row>
    <row r="725" spans="1:21" x14ac:dyDescent="0.25">
      <c r="A725" s="33">
        <v>725</v>
      </c>
      <c r="B725" s="24">
        <v>44209</v>
      </c>
      <c r="C725" t="s">
        <v>39</v>
      </c>
      <c r="D725" t="s">
        <v>41</v>
      </c>
      <c r="E725">
        <v>2000709145</v>
      </c>
      <c r="F725">
        <v>2096</v>
      </c>
      <c r="G725">
        <v>200</v>
      </c>
      <c r="H725">
        <v>0</v>
      </c>
      <c r="I725" t="s">
        <v>680</v>
      </c>
      <c r="J725" t="s">
        <v>203</v>
      </c>
      <c r="K725" t="s">
        <v>788</v>
      </c>
      <c r="O725">
        <v>0</v>
      </c>
      <c r="U725" t="s">
        <v>81</v>
      </c>
    </row>
    <row r="726" spans="1:21" x14ac:dyDescent="0.25">
      <c r="A726" s="33">
        <v>726</v>
      </c>
      <c r="B726" s="24">
        <v>44209</v>
      </c>
      <c r="C726" t="s">
        <v>39</v>
      </c>
      <c r="D726" t="s">
        <v>51</v>
      </c>
      <c r="E726">
        <v>2000708750</v>
      </c>
      <c r="F726">
        <v>440</v>
      </c>
      <c r="G726">
        <v>100</v>
      </c>
      <c r="H726">
        <v>0</v>
      </c>
      <c r="I726" t="s">
        <v>706</v>
      </c>
      <c r="J726" t="s">
        <v>669</v>
      </c>
      <c r="K726" t="s">
        <v>834</v>
      </c>
      <c r="O726">
        <v>0</v>
      </c>
      <c r="U726" t="s">
        <v>81</v>
      </c>
    </row>
    <row r="727" spans="1:21" x14ac:dyDescent="0.25">
      <c r="A727" s="33">
        <v>727</v>
      </c>
      <c r="B727" s="24">
        <v>44209</v>
      </c>
      <c r="C727" t="s">
        <v>39</v>
      </c>
      <c r="D727" t="s">
        <v>51</v>
      </c>
      <c r="E727">
        <v>2000708754</v>
      </c>
      <c r="F727">
        <v>560</v>
      </c>
      <c r="G727">
        <v>310</v>
      </c>
      <c r="H727">
        <v>0</v>
      </c>
      <c r="I727" t="s">
        <v>706</v>
      </c>
      <c r="J727" t="s">
        <v>676</v>
      </c>
      <c r="K727" t="s">
        <v>677</v>
      </c>
      <c r="O727">
        <v>0</v>
      </c>
      <c r="U727" t="s">
        <v>81</v>
      </c>
    </row>
    <row r="728" spans="1:21" x14ac:dyDescent="0.25">
      <c r="A728" s="33">
        <v>728</v>
      </c>
      <c r="B728" s="24">
        <v>44209</v>
      </c>
      <c r="C728" t="s">
        <v>39</v>
      </c>
      <c r="D728" t="s">
        <v>51</v>
      </c>
      <c r="E728">
        <v>2000708974</v>
      </c>
      <c r="F728">
        <v>700</v>
      </c>
      <c r="G728">
        <v>160</v>
      </c>
      <c r="H728">
        <v>0</v>
      </c>
      <c r="I728" t="s">
        <v>706</v>
      </c>
      <c r="J728" t="s">
        <v>673</v>
      </c>
      <c r="K728" t="s">
        <v>672</v>
      </c>
      <c r="O728">
        <v>0</v>
      </c>
      <c r="U728" t="s">
        <v>81</v>
      </c>
    </row>
    <row r="729" spans="1:21" x14ac:dyDescent="0.25">
      <c r="A729" s="33">
        <v>729</v>
      </c>
      <c r="B729" s="24">
        <v>44209</v>
      </c>
      <c r="C729" t="s">
        <v>39</v>
      </c>
      <c r="D729" t="s">
        <v>51</v>
      </c>
      <c r="E729">
        <v>2000708976</v>
      </c>
      <c r="F729">
        <v>585</v>
      </c>
      <c r="G729">
        <v>160</v>
      </c>
      <c r="H729">
        <v>0</v>
      </c>
      <c r="I729" t="s">
        <v>706</v>
      </c>
      <c r="J729" t="s">
        <v>673</v>
      </c>
      <c r="K729" t="s">
        <v>742</v>
      </c>
      <c r="O729">
        <v>0</v>
      </c>
      <c r="U729" t="s">
        <v>81</v>
      </c>
    </row>
    <row r="730" spans="1:21" x14ac:dyDescent="0.25">
      <c r="A730" s="33">
        <v>730</v>
      </c>
      <c r="B730" s="24">
        <v>44209</v>
      </c>
      <c r="C730" t="s">
        <v>39</v>
      </c>
      <c r="D730" t="s">
        <v>51</v>
      </c>
      <c r="E730">
        <v>2000708975</v>
      </c>
      <c r="F730">
        <v>300</v>
      </c>
      <c r="G730">
        <v>100</v>
      </c>
      <c r="H730">
        <v>0</v>
      </c>
      <c r="I730" t="s">
        <v>706</v>
      </c>
      <c r="J730" t="s">
        <v>669</v>
      </c>
      <c r="K730" t="s">
        <v>848</v>
      </c>
      <c r="O730">
        <v>0</v>
      </c>
      <c r="U730" t="s">
        <v>81</v>
      </c>
    </row>
    <row r="731" spans="1:21" x14ac:dyDescent="0.25">
      <c r="A731" s="33">
        <v>731</v>
      </c>
      <c r="B731" s="24">
        <v>44209</v>
      </c>
      <c r="C731" t="s">
        <v>39</v>
      </c>
      <c r="D731" t="s">
        <v>51</v>
      </c>
      <c r="E731">
        <v>2000708980</v>
      </c>
      <c r="F731">
        <v>785</v>
      </c>
      <c r="G731">
        <v>60</v>
      </c>
      <c r="H731">
        <v>0</v>
      </c>
      <c r="I731" t="s">
        <v>706</v>
      </c>
      <c r="J731" t="s">
        <v>667</v>
      </c>
      <c r="K731" t="s">
        <v>668</v>
      </c>
      <c r="O731">
        <v>0</v>
      </c>
      <c r="U731" t="s">
        <v>81</v>
      </c>
    </row>
    <row r="732" spans="1:21" x14ac:dyDescent="0.25">
      <c r="A732" s="33">
        <v>732</v>
      </c>
      <c r="B732" s="24">
        <v>44209</v>
      </c>
      <c r="C732" t="s">
        <v>181</v>
      </c>
      <c r="D732" t="s">
        <v>41</v>
      </c>
      <c r="E732">
        <v>2000708779</v>
      </c>
      <c r="F732">
        <v>1300</v>
      </c>
      <c r="G732">
        <v>85</v>
      </c>
      <c r="H732">
        <v>0</v>
      </c>
      <c r="I732" t="s">
        <v>661</v>
      </c>
      <c r="J732" t="s">
        <v>170</v>
      </c>
      <c r="K732" t="s">
        <v>171</v>
      </c>
      <c r="O732">
        <v>0</v>
      </c>
      <c r="U732" t="s">
        <v>81</v>
      </c>
    </row>
    <row r="733" spans="1:21" x14ac:dyDescent="0.25">
      <c r="A733" s="33">
        <v>733</v>
      </c>
      <c r="B733" s="24">
        <v>44209</v>
      </c>
      <c r="C733" t="s">
        <v>181</v>
      </c>
      <c r="D733" t="s">
        <v>41</v>
      </c>
      <c r="E733">
        <v>2000705984</v>
      </c>
      <c r="F733">
        <v>2120</v>
      </c>
      <c r="G733">
        <v>77</v>
      </c>
      <c r="H733">
        <v>0</v>
      </c>
      <c r="I733" t="s">
        <v>661</v>
      </c>
      <c r="J733" t="s">
        <v>641</v>
      </c>
      <c r="K733" t="s">
        <v>774</v>
      </c>
      <c r="O733">
        <v>0</v>
      </c>
      <c r="U733" t="s">
        <v>81</v>
      </c>
    </row>
    <row r="734" spans="1:21" x14ac:dyDescent="0.25">
      <c r="A734" s="33">
        <v>734</v>
      </c>
      <c r="B734" s="24">
        <v>44209</v>
      </c>
      <c r="C734" t="s">
        <v>181</v>
      </c>
      <c r="D734" t="s">
        <v>41</v>
      </c>
      <c r="E734">
        <v>2000706633</v>
      </c>
      <c r="F734">
        <v>1800</v>
      </c>
      <c r="G734">
        <v>135</v>
      </c>
      <c r="H734">
        <v>0</v>
      </c>
      <c r="I734" t="s">
        <v>661</v>
      </c>
      <c r="J734" t="s">
        <v>174</v>
      </c>
      <c r="K734" t="s">
        <v>774</v>
      </c>
      <c r="O734">
        <v>0</v>
      </c>
      <c r="U734" t="s">
        <v>81</v>
      </c>
    </row>
    <row r="735" spans="1:21" x14ac:dyDescent="0.25">
      <c r="A735" s="33">
        <v>735</v>
      </c>
      <c r="B735" s="24">
        <v>44209</v>
      </c>
      <c r="C735" t="s">
        <v>181</v>
      </c>
      <c r="D735" t="s">
        <v>41</v>
      </c>
      <c r="E735">
        <v>2000708959</v>
      </c>
      <c r="F735">
        <v>1132</v>
      </c>
      <c r="G735">
        <v>270</v>
      </c>
      <c r="H735">
        <v>0</v>
      </c>
      <c r="I735" t="s">
        <v>661</v>
      </c>
      <c r="J735" t="s">
        <v>170</v>
      </c>
      <c r="K735" t="s">
        <v>171</v>
      </c>
      <c r="O735">
        <v>0</v>
      </c>
      <c r="U735" t="s">
        <v>81</v>
      </c>
    </row>
    <row r="736" spans="1:21" x14ac:dyDescent="0.25">
      <c r="A736" s="33">
        <v>736</v>
      </c>
      <c r="B736" s="24">
        <v>44209</v>
      </c>
      <c r="C736" t="s">
        <v>181</v>
      </c>
      <c r="D736" t="s">
        <v>41</v>
      </c>
      <c r="E736">
        <v>2000708960</v>
      </c>
      <c r="F736">
        <v>300</v>
      </c>
      <c r="G736">
        <v>45</v>
      </c>
      <c r="H736">
        <v>0</v>
      </c>
      <c r="I736" t="s">
        <v>661</v>
      </c>
      <c r="J736" t="s">
        <v>170</v>
      </c>
      <c r="K736" t="s">
        <v>732</v>
      </c>
      <c r="O736">
        <v>0</v>
      </c>
      <c r="U736" t="s">
        <v>81</v>
      </c>
    </row>
    <row r="737" spans="1:21" x14ac:dyDescent="0.25">
      <c r="A737" s="33">
        <v>737</v>
      </c>
      <c r="B737" s="24">
        <v>44209</v>
      </c>
      <c r="C737" t="s">
        <v>181</v>
      </c>
      <c r="D737" t="s">
        <v>41</v>
      </c>
      <c r="E737">
        <v>2000708772</v>
      </c>
      <c r="F737">
        <v>4210</v>
      </c>
      <c r="G737">
        <v>300</v>
      </c>
      <c r="H737">
        <v>0</v>
      </c>
      <c r="I737" t="s">
        <v>201</v>
      </c>
      <c r="J737" t="s">
        <v>199</v>
      </c>
      <c r="K737" t="s">
        <v>660</v>
      </c>
      <c r="O737">
        <v>0</v>
      </c>
      <c r="U737" t="s">
        <v>81</v>
      </c>
    </row>
    <row r="738" spans="1:21" x14ac:dyDescent="0.25">
      <c r="A738" s="33">
        <v>738</v>
      </c>
      <c r="B738" s="24">
        <v>44209</v>
      </c>
      <c r="C738" t="s">
        <v>181</v>
      </c>
      <c r="D738" t="s">
        <v>41</v>
      </c>
      <c r="E738">
        <v>2000708455</v>
      </c>
      <c r="F738">
        <v>300</v>
      </c>
      <c r="G738">
        <v>150</v>
      </c>
      <c r="H738">
        <v>0</v>
      </c>
      <c r="I738" t="s">
        <v>201</v>
      </c>
      <c r="J738" t="s">
        <v>651</v>
      </c>
      <c r="K738" t="s">
        <v>847</v>
      </c>
      <c r="O738">
        <v>0</v>
      </c>
      <c r="U738" t="s">
        <v>81</v>
      </c>
    </row>
    <row r="739" spans="1:21" x14ac:dyDescent="0.25">
      <c r="A739" s="33">
        <v>739</v>
      </c>
      <c r="B739" s="24">
        <v>44209</v>
      </c>
      <c r="C739" t="s">
        <v>181</v>
      </c>
      <c r="D739" t="s">
        <v>41</v>
      </c>
      <c r="E739">
        <v>2000709588</v>
      </c>
      <c r="F739">
        <v>2032</v>
      </c>
      <c r="G739">
        <v>160</v>
      </c>
      <c r="H739">
        <v>0</v>
      </c>
      <c r="I739" t="s">
        <v>201</v>
      </c>
      <c r="J739" t="s">
        <v>655</v>
      </c>
      <c r="K739" t="s">
        <v>656</v>
      </c>
      <c r="O739">
        <v>0</v>
      </c>
      <c r="U739" t="s">
        <v>81</v>
      </c>
    </row>
    <row r="740" spans="1:21" x14ac:dyDescent="0.25">
      <c r="A740" s="33">
        <v>740</v>
      </c>
      <c r="B740" s="24">
        <v>44209</v>
      </c>
      <c r="C740" t="s">
        <v>181</v>
      </c>
      <c r="D740" t="s">
        <v>41</v>
      </c>
      <c r="E740">
        <v>2000708623</v>
      </c>
      <c r="F740">
        <v>1808</v>
      </c>
      <c r="G740">
        <v>160</v>
      </c>
      <c r="H740">
        <v>0</v>
      </c>
      <c r="I740" t="s">
        <v>201</v>
      </c>
      <c r="J740" t="s">
        <v>200</v>
      </c>
      <c r="K740" t="s">
        <v>653</v>
      </c>
      <c r="O740">
        <v>0</v>
      </c>
      <c r="U740" t="s">
        <v>81</v>
      </c>
    </row>
    <row r="741" spans="1:21" x14ac:dyDescent="0.25">
      <c r="A741" s="33">
        <v>741</v>
      </c>
      <c r="B741" s="24">
        <v>44209</v>
      </c>
      <c r="C741" t="s">
        <v>181</v>
      </c>
      <c r="D741" t="s">
        <v>41</v>
      </c>
      <c r="E741">
        <v>2000708692</v>
      </c>
      <c r="F741">
        <v>3700</v>
      </c>
      <c r="G741">
        <v>300</v>
      </c>
      <c r="H741">
        <v>0</v>
      </c>
      <c r="I741" t="s">
        <v>201</v>
      </c>
      <c r="J741" t="s">
        <v>172</v>
      </c>
      <c r="K741" t="s">
        <v>725</v>
      </c>
      <c r="O741">
        <v>0</v>
      </c>
      <c r="U741" t="s">
        <v>81</v>
      </c>
    </row>
    <row r="742" spans="1:21" x14ac:dyDescent="0.25">
      <c r="A742" s="33">
        <v>742</v>
      </c>
      <c r="B742" s="24">
        <v>44209</v>
      </c>
      <c r="C742" t="s">
        <v>181</v>
      </c>
      <c r="D742" t="s">
        <v>41</v>
      </c>
      <c r="E742">
        <v>2000709005</v>
      </c>
      <c r="F742">
        <v>600</v>
      </c>
      <c r="G742">
        <v>100</v>
      </c>
      <c r="H742">
        <v>0</v>
      </c>
      <c r="I742" t="s">
        <v>201</v>
      </c>
      <c r="J742" t="s">
        <v>193</v>
      </c>
      <c r="K742" t="s">
        <v>683</v>
      </c>
      <c r="O742">
        <v>0</v>
      </c>
      <c r="U742" t="s">
        <v>81</v>
      </c>
    </row>
    <row r="743" spans="1:21" x14ac:dyDescent="0.25">
      <c r="A743" s="33">
        <v>743</v>
      </c>
      <c r="B743" s="24">
        <v>44209</v>
      </c>
      <c r="C743" t="s">
        <v>181</v>
      </c>
      <c r="D743" t="s">
        <v>41</v>
      </c>
      <c r="E743">
        <v>2000709007</v>
      </c>
      <c r="F743">
        <v>600</v>
      </c>
      <c r="G743">
        <v>120</v>
      </c>
      <c r="H743">
        <v>0</v>
      </c>
      <c r="I743" t="s">
        <v>201</v>
      </c>
      <c r="J743" t="s">
        <v>193</v>
      </c>
      <c r="K743" t="s">
        <v>686</v>
      </c>
      <c r="O743">
        <v>0</v>
      </c>
      <c r="U743" t="s">
        <v>81</v>
      </c>
    </row>
    <row r="744" spans="1:21" x14ac:dyDescent="0.25">
      <c r="A744" s="33">
        <v>744</v>
      </c>
      <c r="B744" s="24">
        <v>44209</v>
      </c>
      <c r="C744" t="s">
        <v>181</v>
      </c>
      <c r="D744" t="s">
        <v>41</v>
      </c>
      <c r="E744">
        <v>2000708773</v>
      </c>
      <c r="F744">
        <v>990</v>
      </c>
      <c r="G744">
        <v>330</v>
      </c>
      <c r="H744">
        <v>0</v>
      </c>
      <c r="I744" t="s">
        <v>201</v>
      </c>
      <c r="J744" t="s">
        <v>745</v>
      </c>
      <c r="K744" t="s">
        <v>849</v>
      </c>
      <c r="O744">
        <v>0</v>
      </c>
      <c r="U744" t="s">
        <v>81</v>
      </c>
    </row>
    <row r="745" spans="1:21" x14ac:dyDescent="0.25">
      <c r="A745" s="33">
        <v>745</v>
      </c>
      <c r="B745" s="24">
        <v>44209</v>
      </c>
      <c r="C745" t="s">
        <v>181</v>
      </c>
      <c r="D745" t="s">
        <v>41</v>
      </c>
      <c r="E745">
        <v>2000709635</v>
      </c>
      <c r="F745">
        <v>646</v>
      </c>
      <c r="G745">
        <v>382</v>
      </c>
      <c r="H745">
        <v>0</v>
      </c>
      <c r="I745" t="s">
        <v>666</v>
      </c>
      <c r="J745" t="s">
        <v>174</v>
      </c>
      <c r="K745" t="s">
        <v>188</v>
      </c>
      <c r="O745">
        <v>0</v>
      </c>
      <c r="U745" t="s">
        <v>81</v>
      </c>
    </row>
    <row r="746" spans="1:21" x14ac:dyDescent="0.25">
      <c r="A746" s="33">
        <v>746</v>
      </c>
      <c r="B746" s="24">
        <v>44209</v>
      </c>
      <c r="C746" t="s">
        <v>181</v>
      </c>
      <c r="D746" t="s">
        <v>41</v>
      </c>
      <c r="E746">
        <v>2000708672</v>
      </c>
      <c r="F746">
        <v>2001</v>
      </c>
      <c r="G746">
        <v>120</v>
      </c>
      <c r="H746">
        <v>0</v>
      </c>
      <c r="I746" t="s">
        <v>666</v>
      </c>
      <c r="J746" t="s">
        <v>687</v>
      </c>
      <c r="K746" t="s">
        <v>688</v>
      </c>
      <c r="O746">
        <v>0</v>
      </c>
      <c r="U746" t="s">
        <v>81</v>
      </c>
    </row>
    <row r="747" spans="1:21" x14ac:dyDescent="0.25">
      <c r="A747" s="33">
        <v>747</v>
      </c>
      <c r="B747" s="24">
        <v>44209</v>
      </c>
      <c r="C747" t="s">
        <v>181</v>
      </c>
      <c r="D747" t="s">
        <v>41</v>
      </c>
      <c r="E747">
        <v>2000709636</v>
      </c>
      <c r="F747">
        <v>126</v>
      </c>
      <c r="G747">
        <v>20</v>
      </c>
      <c r="H747">
        <v>0</v>
      </c>
      <c r="I747" t="s">
        <v>666</v>
      </c>
      <c r="J747" t="s">
        <v>174</v>
      </c>
      <c r="K747" t="s">
        <v>722</v>
      </c>
      <c r="O747">
        <v>0</v>
      </c>
      <c r="U747" t="s">
        <v>81</v>
      </c>
    </row>
    <row r="748" spans="1:21" x14ac:dyDescent="0.25">
      <c r="A748" s="33">
        <v>748</v>
      </c>
      <c r="B748" s="24">
        <v>44209</v>
      </c>
      <c r="C748" t="s">
        <v>181</v>
      </c>
      <c r="D748" t="s">
        <v>41</v>
      </c>
      <c r="E748">
        <v>2000708779</v>
      </c>
      <c r="F748">
        <v>1300</v>
      </c>
      <c r="G748">
        <v>45</v>
      </c>
      <c r="H748">
        <v>0</v>
      </c>
      <c r="I748" t="s">
        <v>178</v>
      </c>
      <c r="J748" t="s">
        <v>170</v>
      </c>
      <c r="K748" t="s">
        <v>171</v>
      </c>
      <c r="O748">
        <v>0</v>
      </c>
      <c r="U748" t="s">
        <v>81</v>
      </c>
    </row>
    <row r="749" spans="1:21" x14ac:dyDescent="0.25">
      <c r="A749" s="33">
        <v>749</v>
      </c>
      <c r="B749" s="24">
        <v>44209</v>
      </c>
      <c r="C749" t="s">
        <v>181</v>
      </c>
      <c r="D749" t="s">
        <v>41</v>
      </c>
      <c r="E749">
        <v>2000708959</v>
      </c>
      <c r="F749">
        <v>1132</v>
      </c>
      <c r="G749">
        <v>84</v>
      </c>
      <c r="H749">
        <v>0</v>
      </c>
      <c r="I749" t="s">
        <v>178</v>
      </c>
      <c r="J749" t="s">
        <v>170</v>
      </c>
      <c r="K749" t="s">
        <v>171</v>
      </c>
      <c r="O749">
        <v>0</v>
      </c>
      <c r="U749" t="s">
        <v>81</v>
      </c>
    </row>
    <row r="750" spans="1:21" x14ac:dyDescent="0.25">
      <c r="A750" s="33">
        <v>750</v>
      </c>
      <c r="B750" s="24">
        <v>44209</v>
      </c>
      <c r="C750" t="s">
        <v>181</v>
      </c>
      <c r="D750" t="s">
        <v>41</v>
      </c>
      <c r="E750">
        <v>2000708960</v>
      </c>
      <c r="F750">
        <v>1300</v>
      </c>
      <c r="G750">
        <v>135</v>
      </c>
      <c r="H750">
        <v>0</v>
      </c>
      <c r="I750" t="s">
        <v>178</v>
      </c>
      <c r="J750" t="s">
        <v>170</v>
      </c>
      <c r="K750" t="s">
        <v>732</v>
      </c>
      <c r="O750">
        <v>0</v>
      </c>
      <c r="U750" t="s">
        <v>81</v>
      </c>
    </row>
    <row r="751" spans="1:21" x14ac:dyDescent="0.25">
      <c r="A751" s="33">
        <v>751</v>
      </c>
      <c r="B751" s="24">
        <v>44209</v>
      </c>
      <c r="C751" t="s">
        <v>181</v>
      </c>
      <c r="D751" t="s">
        <v>41</v>
      </c>
      <c r="E751">
        <v>2000708371</v>
      </c>
      <c r="F751">
        <v>2100</v>
      </c>
      <c r="G751">
        <v>35</v>
      </c>
      <c r="H751">
        <v>0</v>
      </c>
      <c r="I751" t="s">
        <v>178</v>
      </c>
      <c r="J751" t="s">
        <v>169</v>
      </c>
      <c r="K751" t="s">
        <v>179</v>
      </c>
      <c r="O751">
        <v>0</v>
      </c>
      <c r="U751" t="s">
        <v>81</v>
      </c>
    </row>
    <row r="752" spans="1:21" x14ac:dyDescent="0.25">
      <c r="A752" s="33">
        <v>752</v>
      </c>
      <c r="B752" s="24">
        <v>44209</v>
      </c>
      <c r="C752" t="s">
        <v>181</v>
      </c>
      <c r="D752" t="s">
        <v>41</v>
      </c>
      <c r="E752">
        <v>2000709636</v>
      </c>
      <c r="F752">
        <v>126</v>
      </c>
      <c r="G752">
        <v>105</v>
      </c>
      <c r="H752">
        <v>0</v>
      </c>
      <c r="I752" t="s">
        <v>180</v>
      </c>
      <c r="J752" t="s">
        <v>174</v>
      </c>
      <c r="K752" t="s">
        <v>722</v>
      </c>
      <c r="O752">
        <v>0</v>
      </c>
      <c r="U752" t="s">
        <v>81</v>
      </c>
    </row>
    <row r="753" spans="1:21" x14ac:dyDescent="0.25">
      <c r="A753" s="33">
        <v>753</v>
      </c>
      <c r="B753" s="24">
        <v>44209</v>
      </c>
      <c r="C753" t="s">
        <v>181</v>
      </c>
      <c r="D753" t="s">
        <v>41</v>
      </c>
      <c r="E753">
        <v>2000709637</v>
      </c>
      <c r="F753">
        <v>280</v>
      </c>
      <c r="G753">
        <v>1</v>
      </c>
      <c r="H753">
        <v>0</v>
      </c>
      <c r="I753" t="s">
        <v>180</v>
      </c>
      <c r="J753" t="s">
        <v>174</v>
      </c>
      <c r="K753" t="s">
        <v>204</v>
      </c>
      <c r="O753">
        <v>0</v>
      </c>
      <c r="U753" t="s">
        <v>81</v>
      </c>
    </row>
    <row r="754" spans="1:21" x14ac:dyDescent="0.25">
      <c r="A754" s="33">
        <v>754</v>
      </c>
      <c r="B754" s="24">
        <v>44209</v>
      </c>
      <c r="C754" t="s">
        <v>181</v>
      </c>
      <c r="D754" t="s">
        <v>41</v>
      </c>
      <c r="E754">
        <v>2000708959</v>
      </c>
      <c r="F754">
        <v>1132</v>
      </c>
      <c r="G754">
        <v>90</v>
      </c>
      <c r="H754">
        <v>0</v>
      </c>
      <c r="I754" t="s">
        <v>180</v>
      </c>
      <c r="J754" t="s">
        <v>170</v>
      </c>
      <c r="K754" t="s">
        <v>171</v>
      </c>
      <c r="O754">
        <v>0</v>
      </c>
      <c r="U754" t="s">
        <v>81</v>
      </c>
    </row>
    <row r="755" spans="1:21" x14ac:dyDescent="0.25">
      <c r="A755" s="33">
        <v>755</v>
      </c>
      <c r="B755" s="24">
        <v>44209</v>
      </c>
      <c r="C755" t="s">
        <v>181</v>
      </c>
      <c r="D755" t="s">
        <v>41</v>
      </c>
      <c r="E755">
        <v>2000709017</v>
      </c>
      <c r="F755">
        <v>630</v>
      </c>
      <c r="G755">
        <v>188</v>
      </c>
      <c r="H755">
        <v>0</v>
      </c>
      <c r="I755" t="s">
        <v>194</v>
      </c>
      <c r="J755" t="s">
        <v>203</v>
      </c>
      <c r="K755" t="s">
        <v>768</v>
      </c>
      <c r="O755">
        <v>0</v>
      </c>
      <c r="U755" t="s">
        <v>81</v>
      </c>
    </row>
    <row r="756" spans="1:21" x14ac:dyDescent="0.25">
      <c r="A756" s="33">
        <v>756</v>
      </c>
      <c r="B756" s="24">
        <v>44209</v>
      </c>
      <c r="C756" t="s">
        <v>181</v>
      </c>
      <c r="D756" t="s">
        <v>41</v>
      </c>
      <c r="E756">
        <v>2000708562</v>
      </c>
      <c r="F756">
        <v>510</v>
      </c>
      <c r="G756">
        <v>19</v>
      </c>
      <c r="H756">
        <v>0</v>
      </c>
      <c r="I756" t="s">
        <v>194</v>
      </c>
      <c r="J756" t="s">
        <v>203</v>
      </c>
      <c r="K756" t="s">
        <v>768</v>
      </c>
      <c r="O756">
        <v>0</v>
      </c>
      <c r="U756" t="s">
        <v>81</v>
      </c>
    </row>
    <row r="757" spans="1:21" x14ac:dyDescent="0.25">
      <c r="A757" s="33">
        <v>757</v>
      </c>
      <c r="B757" s="24">
        <v>44209</v>
      </c>
      <c r="C757" t="s">
        <v>181</v>
      </c>
      <c r="D757" t="s">
        <v>41</v>
      </c>
      <c r="E757">
        <v>2000710125</v>
      </c>
      <c r="F757">
        <v>1300</v>
      </c>
      <c r="G757">
        <v>100</v>
      </c>
      <c r="H757">
        <v>0</v>
      </c>
      <c r="I757" t="s">
        <v>194</v>
      </c>
      <c r="J757" t="s">
        <v>169</v>
      </c>
      <c r="K757" t="s">
        <v>663</v>
      </c>
      <c r="O757">
        <v>0</v>
      </c>
      <c r="U757" t="s">
        <v>81</v>
      </c>
    </row>
    <row r="758" spans="1:21" x14ac:dyDescent="0.25">
      <c r="A758" s="33">
        <v>758</v>
      </c>
      <c r="B758" s="24">
        <v>44209</v>
      </c>
      <c r="C758" t="s">
        <v>181</v>
      </c>
      <c r="D758" t="s">
        <v>41</v>
      </c>
      <c r="E758">
        <v>2000709017</v>
      </c>
      <c r="F758">
        <v>630</v>
      </c>
      <c r="G758">
        <v>30</v>
      </c>
      <c r="H758">
        <v>0</v>
      </c>
      <c r="I758" t="s">
        <v>194</v>
      </c>
      <c r="J758" t="s">
        <v>203</v>
      </c>
      <c r="K758" t="s">
        <v>768</v>
      </c>
      <c r="O758">
        <v>0</v>
      </c>
      <c r="U758" t="s">
        <v>81</v>
      </c>
    </row>
    <row r="759" spans="1:21" x14ac:dyDescent="0.25">
      <c r="A759" s="33">
        <v>759</v>
      </c>
      <c r="B759" s="24">
        <v>44209</v>
      </c>
      <c r="C759" t="s">
        <v>181</v>
      </c>
      <c r="D759" t="s">
        <v>41</v>
      </c>
      <c r="E759">
        <v>2000708960</v>
      </c>
      <c r="F759">
        <v>1300</v>
      </c>
      <c r="G759">
        <v>90</v>
      </c>
      <c r="H759">
        <v>0</v>
      </c>
      <c r="I759" t="s">
        <v>194</v>
      </c>
      <c r="J759" t="s">
        <v>170</v>
      </c>
      <c r="K759" t="s">
        <v>732</v>
      </c>
      <c r="O759">
        <v>0</v>
      </c>
      <c r="U759" t="s">
        <v>81</v>
      </c>
    </row>
    <row r="760" spans="1:21" x14ac:dyDescent="0.25">
      <c r="A760" s="33">
        <v>760</v>
      </c>
      <c r="B760" s="24">
        <v>44209</v>
      </c>
      <c r="C760" t="s">
        <v>181</v>
      </c>
      <c r="D760" t="s">
        <v>41</v>
      </c>
      <c r="E760">
        <v>2000708959</v>
      </c>
      <c r="F760">
        <v>1132</v>
      </c>
      <c r="G760">
        <v>15</v>
      </c>
      <c r="H760">
        <v>0</v>
      </c>
      <c r="I760" t="s">
        <v>194</v>
      </c>
      <c r="J760" t="s">
        <v>170</v>
      </c>
      <c r="K760" t="s">
        <v>171</v>
      </c>
      <c r="O760">
        <v>0</v>
      </c>
      <c r="U760" t="s">
        <v>81</v>
      </c>
    </row>
    <row r="761" spans="1:21" x14ac:dyDescent="0.25">
      <c r="A761" s="33">
        <v>761</v>
      </c>
      <c r="B761" s="24">
        <v>44209</v>
      </c>
      <c r="C761" t="s">
        <v>181</v>
      </c>
      <c r="D761" t="s">
        <v>41</v>
      </c>
      <c r="E761">
        <v>2000705510</v>
      </c>
      <c r="F761">
        <v>10</v>
      </c>
      <c r="G761">
        <v>6</v>
      </c>
      <c r="H761">
        <v>0</v>
      </c>
      <c r="I761" t="s">
        <v>168</v>
      </c>
      <c r="J761" t="s">
        <v>215</v>
      </c>
      <c r="K761" t="s">
        <v>837</v>
      </c>
      <c r="O761">
        <v>0</v>
      </c>
      <c r="U761" t="s">
        <v>83</v>
      </c>
    </row>
    <row r="762" spans="1:21" x14ac:dyDescent="0.25">
      <c r="A762" s="33">
        <v>762</v>
      </c>
      <c r="B762" s="24">
        <v>44209</v>
      </c>
      <c r="C762" t="s">
        <v>181</v>
      </c>
      <c r="D762" t="s">
        <v>41</v>
      </c>
      <c r="E762">
        <v>2000705511</v>
      </c>
      <c r="F762">
        <v>10</v>
      </c>
      <c r="G762">
        <v>6</v>
      </c>
      <c r="H762">
        <v>0</v>
      </c>
      <c r="I762" t="s">
        <v>168</v>
      </c>
      <c r="J762" t="s">
        <v>215</v>
      </c>
      <c r="K762" t="s">
        <v>837</v>
      </c>
      <c r="O762">
        <v>0</v>
      </c>
      <c r="U762" t="s">
        <v>83</v>
      </c>
    </row>
    <row r="763" spans="1:21" x14ac:dyDescent="0.25">
      <c r="A763" s="33">
        <v>763</v>
      </c>
      <c r="B763" s="24">
        <v>44209</v>
      </c>
      <c r="C763" t="s">
        <v>181</v>
      </c>
      <c r="D763" t="s">
        <v>41</v>
      </c>
      <c r="E763">
        <v>2000708733</v>
      </c>
      <c r="F763">
        <v>300</v>
      </c>
      <c r="G763">
        <v>90</v>
      </c>
      <c r="H763">
        <v>0</v>
      </c>
      <c r="I763" t="s">
        <v>168</v>
      </c>
      <c r="J763" t="s">
        <v>745</v>
      </c>
      <c r="K763" t="s">
        <v>836</v>
      </c>
      <c r="O763">
        <v>0</v>
      </c>
      <c r="U763" t="s">
        <v>81</v>
      </c>
    </row>
    <row r="764" spans="1:21" x14ac:dyDescent="0.25">
      <c r="A764" s="33">
        <v>764</v>
      </c>
      <c r="B764" s="24">
        <v>44209</v>
      </c>
      <c r="C764" t="s">
        <v>181</v>
      </c>
      <c r="D764" t="s">
        <v>41</v>
      </c>
      <c r="E764">
        <v>2000708706</v>
      </c>
      <c r="F764">
        <v>600</v>
      </c>
      <c r="G764">
        <v>80</v>
      </c>
      <c r="H764">
        <v>1</v>
      </c>
      <c r="I764" t="s">
        <v>168</v>
      </c>
      <c r="J764" t="s">
        <v>645</v>
      </c>
      <c r="K764" t="s">
        <v>690</v>
      </c>
      <c r="L764" t="s">
        <v>116</v>
      </c>
      <c r="N764" t="s">
        <v>850</v>
      </c>
      <c r="O764">
        <v>1</v>
      </c>
      <c r="P764" t="s">
        <v>851</v>
      </c>
      <c r="R764">
        <v>5140379052</v>
      </c>
      <c r="S764" s="36">
        <v>0.20138888888888887</v>
      </c>
      <c r="U764" t="s">
        <v>81</v>
      </c>
    </row>
    <row r="765" spans="1:21" x14ac:dyDescent="0.25">
      <c r="A765" s="33">
        <v>765</v>
      </c>
      <c r="B765" s="24">
        <v>44209</v>
      </c>
      <c r="C765" t="s">
        <v>181</v>
      </c>
      <c r="D765" t="s">
        <v>41</v>
      </c>
      <c r="E765">
        <v>2000709321</v>
      </c>
      <c r="F765">
        <v>90</v>
      </c>
      <c r="G765">
        <v>90</v>
      </c>
      <c r="H765">
        <v>0</v>
      </c>
      <c r="I765" t="s">
        <v>168</v>
      </c>
      <c r="J765" t="s">
        <v>169</v>
      </c>
      <c r="K765" t="s">
        <v>852</v>
      </c>
      <c r="O765">
        <v>0</v>
      </c>
      <c r="U765" t="s">
        <v>81</v>
      </c>
    </row>
    <row r="766" spans="1:21" x14ac:dyDescent="0.25">
      <c r="A766" s="33">
        <v>766</v>
      </c>
      <c r="B766" s="24">
        <v>44209</v>
      </c>
      <c r="C766" t="s">
        <v>181</v>
      </c>
      <c r="D766" t="s">
        <v>41</v>
      </c>
      <c r="E766">
        <v>2000709100</v>
      </c>
      <c r="F766">
        <v>20</v>
      </c>
      <c r="G766">
        <v>18</v>
      </c>
      <c r="H766">
        <v>0</v>
      </c>
      <c r="I766" t="s">
        <v>168</v>
      </c>
      <c r="J766" t="s">
        <v>645</v>
      </c>
      <c r="K766" t="s">
        <v>853</v>
      </c>
      <c r="O766">
        <v>0</v>
      </c>
      <c r="U766" t="s">
        <v>81</v>
      </c>
    </row>
    <row r="767" spans="1:21" x14ac:dyDescent="0.25">
      <c r="A767" s="33">
        <v>767</v>
      </c>
      <c r="B767" s="24">
        <v>44209</v>
      </c>
      <c r="C767" t="s">
        <v>181</v>
      </c>
      <c r="D767" t="s">
        <v>41</v>
      </c>
      <c r="E767">
        <v>2000708960</v>
      </c>
      <c r="F767">
        <v>1300</v>
      </c>
      <c r="G767">
        <v>90</v>
      </c>
      <c r="H767">
        <v>0</v>
      </c>
      <c r="I767" t="s">
        <v>168</v>
      </c>
      <c r="J767" t="s">
        <v>170</v>
      </c>
      <c r="K767" t="s">
        <v>732</v>
      </c>
      <c r="O767">
        <v>0</v>
      </c>
      <c r="U767" t="s">
        <v>81</v>
      </c>
    </row>
    <row r="768" spans="1:21" x14ac:dyDescent="0.25">
      <c r="A768" s="33">
        <v>768</v>
      </c>
      <c r="B768" s="24">
        <v>44209</v>
      </c>
      <c r="C768" t="s">
        <v>181</v>
      </c>
      <c r="D768" t="s">
        <v>41</v>
      </c>
      <c r="E768">
        <v>2000709108</v>
      </c>
      <c r="F768">
        <v>380</v>
      </c>
      <c r="G768">
        <v>10</v>
      </c>
      <c r="H768">
        <v>0</v>
      </c>
      <c r="I768" t="s">
        <v>642</v>
      </c>
      <c r="J768" t="s">
        <v>645</v>
      </c>
      <c r="K768" t="s">
        <v>790</v>
      </c>
      <c r="O768">
        <v>0</v>
      </c>
      <c r="U768" t="s">
        <v>81</v>
      </c>
    </row>
    <row r="769" spans="1:21" x14ac:dyDescent="0.25">
      <c r="A769" s="33">
        <v>769</v>
      </c>
      <c r="B769" s="24">
        <v>44209</v>
      </c>
      <c r="C769" t="s">
        <v>181</v>
      </c>
      <c r="D769" t="s">
        <v>41</v>
      </c>
      <c r="E769">
        <v>2000709107</v>
      </c>
      <c r="F769">
        <v>340</v>
      </c>
      <c r="G769">
        <v>80</v>
      </c>
      <c r="H769">
        <v>0</v>
      </c>
      <c r="I769" t="s">
        <v>642</v>
      </c>
      <c r="J769" t="s">
        <v>645</v>
      </c>
      <c r="K769" t="s">
        <v>646</v>
      </c>
      <c r="O769">
        <v>0</v>
      </c>
      <c r="U769" t="s">
        <v>81</v>
      </c>
    </row>
    <row r="770" spans="1:21" x14ac:dyDescent="0.25">
      <c r="A770" s="33">
        <v>770</v>
      </c>
      <c r="B770" s="24">
        <v>44209</v>
      </c>
      <c r="C770" t="s">
        <v>181</v>
      </c>
      <c r="D770" t="s">
        <v>41</v>
      </c>
      <c r="E770">
        <v>2000709008</v>
      </c>
      <c r="F770">
        <v>600</v>
      </c>
      <c r="G770">
        <v>80</v>
      </c>
      <c r="H770">
        <v>0</v>
      </c>
      <c r="I770" t="s">
        <v>642</v>
      </c>
      <c r="J770" t="s">
        <v>193</v>
      </c>
      <c r="K770" t="s">
        <v>647</v>
      </c>
      <c r="O770">
        <v>0</v>
      </c>
      <c r="U770" t="s">
        <v>81</v>
      </c>
    </row>
    <row r="771" spans="1:21" x14ac:dyDescent="0.25">
      <c r="A771" s="33">
        <v>771</v>
      </c>
      <c r="B771" s="24">
        <v>44209</v>
      </c>
      <c r="C771" t="s">
        <v>181</v>
      </c>
      <c r="D771" t="s">
        <v>41</v>
      </c>
      <c r="E771">
        <v>2000708693</v>
      </c>
      <c r="F771">
        <v>3700</v>
      </c>
      <c r="G771">
        <v>100</v>
      </c>
      <c r="H771">
        <v>0</v>
      </c>
      <c r="I771" t="s">
        <v>642</v>
      </c>
      <c r="J771" t="s">
        <v>172</v>
      </c>
      <c r="K771" t="s">
        <v>173</v>
      </c>
      <c r="O771">
        <v>0</v>
      </c>
      <c r="U771" t="s">
        <v>81</v>
      </c>
    </row>
    <row r="772" spans="1:21" x14ac:dyDescent="0.25">
      <c r="A772" s="33">
        <v>772</v>
      </c>
      <c r="B772" s="24">
        <v>44209</v>
      </c>
      <c r="C772" t="s">
        <v>181</v>
      </c>
      <c r="D772" t="s">
        <v>41</v>
      </c>
      <c r="E772">
        <v>2000709099</v>
      </c>
      <c r="F772">
        <v>220</v>
      </c>
      <c r="G772">
        <v>20</v>
      </c>
      <c r="H772">
        <v>0</v>
      </c>
      <c r="I772" t="s">
        <v>642</v>
      </c>
      <c r="J772" t="s">
        <v>645</v>
      </c>
      <c r="K772" t="s">
        <v>719</v>
      </c>
      <c r="O772">
        <v>0</v>
      </c>
      <c r="U772" t="s">
        <v>81</v>
      </c>
    </row>
    <row r="773" spans="1:21" x14ac:dyDescent="0.25">
      <c r="A773" s="33">
        <v>773</v>
      </c>
      <c r="B773" s="24">
        <v>44209</v>
      </c>
      <c r="C773" t="s">
        <v>181</v>
      </c>
      <c r="D773" t="s">
        <v>41</v>
      </c>
      <c r="E773">
        <v>2000709016</v>
      </c>
      <c r="F773">
        <v>1120</v>
      </c>
      <c r="G773">
        <v>90</v>
      </c>
      <c r="H773">
        <v>0</v>
      </c>
      <c r="I773" t="s">
        <v>642</v>
      </c>
      <c r="J773" t="s">
        <v>172</v>
      </c>
      <c r="K773" t="s">
        <v>854</v>
      </c>
      <c r="O773">
        <v>0</v>
      </c>
      <c r="U773" t="s">
        <v>81</v>
      </c>
    </row>
    <row r="774" spans="1:21" x14ac:dyDescent="0.25">
      <c r="A774" s="33">
        <v>774</v>
      </c>
      <c r="B774" s="24">
        <v>44209</v>
      </c>
      <c r="C774" t="s">
        <v>181</v>
      </c>
      <c r="D774" t="s">
        <v>41</v>
      </c>
      <c r="E774">
        <v>2000709101</v>
      </c>
      <c r="F774">
        <v>40</v>
      </c>
      <c r="G774">
        <v>20</v>
      </c>
      <c r="H774">
        <v>0</v>
      </c>
      <c r="I774" t="s">
        <v>642</v>
      </c>
      <c r="J774" t="s">
        <v>645</v>
      </c>
      <c r="K774" t="s">
        <v>752</v>
      </c>
      <c r="O774">
        <v>0</v>
      </c>
      <c r="U774" t="s">
        <v>81</v>
      </c>
    </row>
    <row r="775" spans="1:21" x14ac:dyDescent="0.25">
      <c r="A775" s="33">
        <v>775</v>
      </c>
      <c r="B775" s="24">
        <v>44209</v>
      </c>
      <c r="C775" t="s">
        <v>181</v>
      </c>
      <c r="D775" t="s">
        <v>41</v>
      </c>
      <c r="E775">
        <v>2000708998</v>
      </c>
      <c r="F775">
        <v>1100</v>
      </c>
      <c r="G775">
        <v>120</v>
      </c>
      <c r="H775">
        <v>0</v>
      </c>
      <c r="I775" t="s">
        <v>642</v>
      </c>
      <c r="J775" t="s">
        <v>645</v>
      </c>
      <c r="K775" t="s">
        <v>721</v>
      </c>
      <c r="O775">
        <v>0</v>
      </c>
      <c r="U775" t="s">
        <v>81</v>
      </c>
    </row>
    <row r="776" spans="1:21" x14ac:dyDescent="0.25">
      <c r="A776" s="33">
        <v>776</v>
      </c>
      <c r="B776" s="24">
        <v>44209</v>
      </c>
      <c r="C776" t="s">
        <v>181</v>
      </c>
      <c r="D776" t="s">
        <v>51</v>
      </c>
      <c r="E776">
        <v>2000708754</v>
      </c>
      <c r="F776">
        <v>560</v>
      </c>
      <c r="G776">
        <v>50</v>
      </c>
      <c r="H776">
        <v>0</v>
      </c>
      <c r="I776" t="s">
        <v>191</v>
      </c>
      <c r="J776" t="s">
        <v>676</v>
      </c>
      <c r="K776" t="s">
        <v>677</v>
      </c>
      <c r="O776">
        <v>0</v>
      </c>
      <c r="U776" t="s">
        <v>81</v>
      </c>
    </row>
    <row r="777" spans="1:21" x14ac:dyDescent="0.25">
      <c r="A777" s="33">
        <v>777</v>
      </c>
      <c r="B777" s="24">
        <v>44209</v>
      </c>
      <c r="C777" t="s">
        <v>181</v>
      </c>
      <c r="D777" t="s">
        <v>51</v>
      </c>
      <c r="E777">
        <v>2000706937</v>
      </c>
      <c r="F777">
        <v>152</v>
      </c>
      <c r="G777">
        <v>30</v>
      </c>
      <c r="H777">
        <v>0</v>
      </c>
      <c r="I777" t="s">
        <v>191</v>
      </c>
      <c r="J777" t="s">
        <v>855</v>
      </c>
      <c r="K777" t="s">
        <v>782</v>
      </c>
      <c r="O777">
        <v>0</v>
      </c>
      <c r="U777" t="s">
        <v>81</v>
      </c>
    </row>
    <row r="778" spans="1:21" x14ac:dyDescent="0.25">
      <c r="A778" s="33">
        <v>778</v>
      </c>
      <c r="B778" s="24">
        <v>44209</v>
      </c>
      <c r="C778" t="s">
        <v>181</v>
      </c>
      <c r="D778" t="s">
        <v>51</v>
      </c>
      <c r="E778">
        <v>2000708976</v>
      </c>
      <c r="F778">
        <v>585</v>
      </c>
      <c r="G778">
        <v>100</v>
      </c>
      <c r="H778">
        <v>0</v>
      </c>
      <c r="I778" t="s">
        <v>191</v>
      </c>
      <c r="J778" t="s">
        <v>673</v>
      </c>
      <c r="K778" t="s">
        <v>742</v>
      </c>
      <c r="O778">
        <v>0</v>
      </c>
      <c r="U778" t="s">
        <v>81</v>
      </c>
    </row>
    <row r="779" spans="1:21" x14ac:dyDescent="0.25">
      <c r="A779" s="33">
        <v>779</v>
      </c>
      <c r="B779" s="24">
        <v>44209</v>
      </c>
      <c r="C779" t="s">
        <v>181</v>
      </c>
      <c r="D779" t="s">
        <v>51</v>
      </c>
      <c r="E779">
        <v>2000708977</v>
      </c>
      <c r="F779">
        <v>266</v>
      </c>
      <c r="G779">
        <v>45</v>
      </c>
      <c r="H779">
        <v>0</v>
      </c>
      <c r="I779" t="s">
        <v>191</v>
      </c>
      <c r="J779" t="s">
        <v>669</v>
      </c>
      <c r="K779" t="s">
        <v>802</v>
      </c>
      <c r="O779">
        <v>0</v>
      </c>
      <c r="U779" t="s">
        <v>81</v>
      </c>
    </row>
    <row r="780" spans="1:21" x14ac:dyDescent="0.25">
      <c r="A780" s="33">
        <v>780</v>
      </c>
      <c r="B780" s="24">
        <v>44209</v>
      </c>
      <c r="C780" t="s">
        <v>181</v>
      </c>
      <c r="D780" t="s">
        <v>51</v>
      </c>
      <c r="E780">
        <v>2000709152</v>
      </c>
      <c r="F780">
        <v>500</v>
      </c>
      <c r="G780">
        <v>90</v>
      </c>
      <c r="H780">
        <v>0</v>
      </c>
      <c r="I780" t="s">
        <v>191</v>
      </c>
      <c r="J780" t="s">
        <v>673</v>
      </c>
      <c r="K780" t="s">
        <v>674</v>
      </c>
      <c r="O780">
        <v>0</v>
      </c>
      <c r="U780" t="s">
        <v>81</v>
      </c>
    </row>
    <row r="781" spans="1:21" x14ac:dyDescent="0.25">
      <c r="A781" s="33">
        <v>781</v>
      </c>
      <c r="B781" s="24">
        <v>44209</v>
      </c>
      <c r="C781" t="s">
        <v>181</v>
      </c>
      <c r="D781" t="s">
        <v>51</v>
      </c>
      <c r="E781">
        <v>2000709498</v>
      </c>
      <c r="F781">
        <v>879</v>
      </c>
      <c r="G781">
        <v>150</v>
      </c>
      <c r="H781">
        <v>0</v>
      </c>
      <c r="I781" t="s">
        <v>191</v>
      </c>
      <c r="J781" t="s">
        <v>667</v>
      </c>
      <c r="K781" t="s">
        <v>668</v>
      </c>
      <c r="O781">
        <v>0</v>
      </c>
      <c r="U781" t="s">
        <v>81</v>
      </c>
    </row>
    <row r="782" spans="1:21" x14ac:dyDescent="0.25">
      <c r="A782" s="33">
        <v>782</v>
      </c>
      <c r="B782" s="24">
        <v>44209</v>
      </c>
      <c r="C782" t="s">
        <v>181</v>
      </c>
      <c r="D782" t="s">
        <v>51</v>
      </c>
      <c r="E782">
        <v>2000708980</v>
      </c>
      <c r="F782">
        <v>785</v>
      </c>
      <c r="G782">
        <v>150</v>
      </c>
      <c r="H782">
        <v>0</v>
      </c>
      <c r="I782" t="s">
        <v>191</v>
      </c>
      <c r="J782" t="s">
        <v>667</v>
      </c>
      <c r="K782" t="s">
        <v>668</v>
      </c>
      <c r="O782">
        <v>0</v>
      </c>
      <c r="U782" t="s">
        <v>81</v>
      </c>
    </row>
    <row r="783" spans="1:21" x14ac:dyDescent="0.25">
      <c r="A783" s="33">
        <v>783</v>
      </c>
      <c r="B783" s="24">
        <v>44209</v>
      </c>
      <c r="C783" t="s">
        <v>181</v>
      </c>
      <c r="D783" t="s">
        <v>51</v>
      </c>
      <c r="E783">
        <v>2000706942</v>
      </c>
      <c r="F783">
        <v>420</v>
      </c>
      <c r="G783">
        <v>60</v>
      </c>
      <c r="H783">
        <v>0</v>
      </c>
      <c r="I783" t="s">
        <v>191</v>
      </c>
      <c r="J783" t="s">
        <v>667</v>
      </c>
      <c r="K783" t="s">
        <v>769</v>
      </c>
      <c r="O783">
        <v>0</v>
      </c>
      <c r="U783" t="s">
        <v>81</v>
      </c>
    </row>
    <row r="784" spans="1:21" x14ac:dyDescent="0.25">
      <c r="A784" s="33">
        <v>784</v>
      </c>
      <c r="B784" s="24">
        <v>44209</v>
      </c>
      <c r="C784" t="s">
        <v>181</v>
      </c>
      <c r="D784" t="s">
        <v>51</v>
      </c>
      <c r="E784">
        <v>2000708981</v>
      </c>
      <c r="F784">
        <v>700</v>
      </c>
      <c r="G784">
        <v>175</v>
      </c>
      <c r="H784">
        <v>0</v>
      </c>
      <c r="I784" t="s">
        <v>191</v>
      </c>
      <c r="J784" t="s">
        <v>667</v>
      </c>
      <c r="K784" t="s">
        <v>856</v>
      </c>
      <c r="O784">
        <v>0</v>
      </c>
      <c r="U784" t="s">
        <v>81</v>
      </c>
    </row>
    <row r="785" spans="1:21" x14ac:dyDescent="0.25">
      <c r="A785" s="33">
        <v>785</v>
      </c>
      <c r="B785" s="24">
        <v>44209</v>
      </c>
      <c r="C785" t="s">
        <v>181</v>
      </c>
      <c r="D785" t="s">
        <v>51</v>
      </c>
      <c r="E785">
        <v>2000709346</v>
      </c>
      <c r="F785">
        <v>192</v>
      </c>
      <c r="G785">
        <v>96</v>
      </c>
      <c r="H785">
        <v>0</v>
      </c>
      <c r="I785" t="s">
        <v>191</v>
      </c>
      <c r="J785" t="s">
        <v>667</v>
      </c>
      <c r="K785" t="s">
        <v>711</v>
      </c>
      <c r="O785">
        <v>0</v>
      </c>
      <c r="U785" t="s">
        <v>81</v>
      </c>
    </row>
    <row r="786" spans="1:21" x14ac:dyDescent="0.25">
      <c r="A786" s="33">
        <v>786</v>
      </c>
      <c r="B786" s="24">
        <v>44210</v>
      </c>
      <c r="C786" t="s">
        <v>39</v>
      </c>
      <c r="D786" t="s">
        <v>41</v>
      </c>
      <c r="E786">
        <v>2000708959</v>
      </c>
      <c r="F786">
        <v>1132</v>
      </c>
      <c r="G786">
        <v>45</v>
      </c>
      <c r="H786">
        <v>0</v>
      </c>
      <c r="I786" t="s">
        <v>696</v>
      </c>
      <c r="J786" t="s">
        <v>170</v>
      </c>
      <c r="K786" t="s">
        <v>171</v>
      </c>
      <c r="O786">
        <v>0</v>
      </c>
      <c r="U786" t="s">
        <v>81</v>
      </c>
    </row>
    <row r="787" spans="1:21" x14ac:dyDescent="0.25">
      <c r="A787" s="33">
        <v>787</v>
      </c>
      <c r="B787" s="24">
        <v>44210</v>
      </c>
      <c r="C787" t="s">
        <v>39</v>
      </c>
      <c r="D787" t="s">
        <v>41</v>
      </c>
      <c r="E787">
        <v>2000708960</v>
      </c>
      <c r="F787">
        <v>1300</v>
      </c>
      <c r="G787">
        <v>495</v>
      </c>
      <c r="H787">
        <v>0</v>
      </c>
      <c r="I787" t="s">
        <v>696</v>
      </c>
      <c r="J787" t="s">
        <v>170</v>
      </c>
      <c r="K787" t="s">
        <v>732</v>
      </c>
      <c r="O787">
        <v>0</v>
      </c>
      <c r="U787" t="s">
        <v>81</v>
      </c>
    </row>
    <row r="788" spans="1:21" x14ac:dyDescent="0.25">
      <c r="A788" s="33">
        <v>788</v>
      </c>
      <c r="B788" s="24">
        <v>44210</v>
      </c>
      <c r="C788" t="s">
        <v>39</v>
      </c>
      <c r="D788" t="s">
        <v>41</v>
      </c>
      <c r="E788">
        <v>2000708364</v>
      </c>
      <c r="F788">
        <v>1352</v>
      </c>
      <c r="G788">
        <v>47</v>
      </c>
      <c r="H788">
        <v>0</v>
      </c>
      <c r="I788" t="s">
        <v>696</v>
      </c>
      <c r="J788" t="s">
        <v>174</v>
      </c>
      <c r="K788" t="s">
        <v>205</v>
      </c>
      <c r="O788">
        <v>0</v>
      </c>
      <c r="U788" t="s">
        <v>81</v>
      </c>
    </row>
    <row r="789" spans="1:21" x14ac:dyDescent="0.25">
      <c r="A789" s="33">
        <v>789</v>
      </c>
      <c r="B789" s="24">
        <v>44210</v>
      </c>
      <c r="C789" t="s">
        <v>39</v>
      </c>
      <c r="D789" t="s">
        <v>41</v>
      </c>
      <c r="E789">
        <v>2000706264</v>
      </c>
      <c r="F789">
        <v>544</v>
      </c>
      <c r="G789">
        <v>4</v>
      </c>
      <c r="H789">
        <v>0</v>
      </c>
      <c r="I789" t="s">
        <v>696</v>
      </c>
      <c r="J789" t="s">
        <v>174</v>
      </c>
      <c r="K789" t="s">
        <v>205</v>
      </c>
      <c r="O789">
        <v>0</v>
      </c>
      <c r="U789" t="s">
        <v>81</v>
      </c>
    </row>
    <row r="790" spans="1:21" x14ac:dyDescent="0.25">
      <c r="A790" s="33">
        <v>790</v>
      </c>
      <c r="B790" s="24">
        <v>44210</v>
      </c>
      <c r="C790" t="s">
        <v>39</v>
      </c>
      <c r="D790" t="s">
        <v>41</v>
      </c>
      <c r="E790">
        <v>2000708733</v>
      </c>
      <c r="F790">
        <v>300</v>
      </c>
      <c r="G790">
        <v>145</v>
      </c>
      <c r="H790">
        <v>0</v>
      </c>
      <c r="I790" t="s">
        <v>184</v>
      </c>
      <c r="J790" t="s">
        <v>745</v>
      </c>
      <c r="K790" t="s">
        <v>836</v>
      </c>
      <c r="O790">
        <v>0</v>
      </c>
      <c r="U790" t="s">
        <v>81</v>
      </c>
    </row>
    <row r="791" spans="1:21" x14ac:dyDescent="0.25">
      <c r="A791" s="33">
        <v>791</v>
      </c>
      <c r="B791" s="24">
        <v>44210</v>
      </c>
      <c r="C791" t="s">
        <v>39</v>
      </c>
      <c r="D791" t="s">
        <v>41</v>
      </c>
      <c r="E791">
        <v>2000709018</v>
      </c>
      <c r="F791">
        <v>150</v>
      </c>
      <c r="G791">
        <v>53</v>
      </c>
      <c r="H791">
        <v>0</v>
      </c>
      <c r="I791" t="s">
        <v>184</v>
      </c>
      <c r="J791" t="s">
        <v>203</v>
      </c>
      <c r="K791" t="s">
        <v>768</v>
      </c>
      <c r="O791">
        <v>0</v>
      </c>
      <c r="U791" t="s">
        <v>81</v>
      </c>
    </row>
    <row r="792" spans="1:21" x14ac:dyDescent="0.25">
      <c r="A792" s="33">
        <v>792</v>
      </c>
      <c r="B792" s="24">
        <v>44210</v>
      </c>
      <c r="C792" t="s">
        <v>39</v>
      </c>
      <c r="D792" t="s">
        <v>41</v>
      </c>
      <c r="E792">
        <v>2000708798</v>
      </c>
      <c r="F792">
        <v>1183</v>
      </c>
      <c r="G792">
        <v>997</v>
      </c>
      <c r="H792">
        <v>0</v>
      </c>
      <c r="I792" t="s">
        <v>759</v>
      </c>
      <c r="J792" t="s">
        <v>745</v>
      </c>
      <c r="K792" t="s">
        <v>857</v>
      </c>
      <c r="O792">
        <v>0</v>
      </c>
      <c r="U792" t="s">
        <v>81</v>
      </c>
    </row>
    <row r="793" spans="1:21" x14ac:dyDescent="0.25">
      <c r="A793" s="33">
        <v>793</v>
      </c>
      <c r="B793" s="24">
        <v>44210</v>
      </c>
      <c r="C793" t="s">
        <v>39</v>
      </c>
      <c r="D793" t="s">
        <v>41</v>
      </c>
      <c r="E793">
        <v>2000709145</v>
      </c>
      <c r="F793">
        <v>2096</v>
      </c>
      <c r="G793">
        <v>400</v>
      </c>
      <c r="H793">
        <v>0</v>
      </c>
      <c r="I793" t="s">
        <v>789</v>
      </c>
      <c r="J793" t="s">
        <v>203</v>
      </c>
      <c r="K793" t="s">
        <v>788</v>
      </c>
      <c r="O793">
        <v>0</v>
      </c>
      <c r="U793" t="s">
        <v>81</v>
      </c>
    </row>
    <row r="794" spans="1:21" x14ac:dyDescent="0.25">
      <c r="A794" s="33">
        <v>794</v>
      </c>
      <c r="B794" s="24">
        <v>44210</v>
      </c>
      <c r="C794" t="s">
        <v>39</v>
      </c>
      <c r="D794" t="s">
        <v>41</v>
      </c>
      <c r="E794">
        <v>2000709594</v>
      </c>
      <c r="F794">
        <v>2004</v>
      </c>
      <c r="G794">
        <v>200</v>
      </c>
      <c r="H794">
        <v>0</v>
      </c>
      <c r="I794" t="s">
        <v>789</v>
      </c>
      <c r="J794" t="s">
        <v>172</v>
      </c>
      <c r="K794" t="s">
        <v>729</v>
      </c>
      <c r="O794">
        <v>0</v>
      </c>
      <c r="U794" t="s">
        <v>81</v>
      </c>
    </row>
    <row r="795" spans="1:21" x14ac:dyDescent="0.25">
      <c r="A795" s="33">
        <v>795</v>
      </c>
      <c r="B795" s="24">
        <v>44210</v>
      </c>
      <c r="C795" t="s">
        <v>39</v>
      </c>
      <c r="D795" t="s">
        <v>41</v>
      </c>
      <c r="E795">
        <v>2000709116</v>
      </c>
      <c r="F795">
        <v>4220</v>
      </c>
      <c r="G795">
        <v>240</v>
      </c>
      <c r="H795">
        <v>0</v>
      </c>
      <c r="I795" t="s">
        <v>789</v>
      </c>
      <c r="J795" t="s">
        <v>199</v>
      </c>
      <c r="K795" t="s">
        <v>660</v>
      </c>
      <c r="O795">
        <v>0</v>
      </c>
      <c r="U795" t="s">
        <v>81</v>
      </c>
    </row>
    <row r="796" spans="1:21" x14ac:dyDescent="0.25">
      <c r="A796" s="33">
        <v>796</v>
      </c>
      <c r="B796" s="24">
        <v>44210</v>
      </c>
      <c r="C796" t="s">
        <v>39</v>
      </c>
      <c r="D796" t="s">
        <v>41</v>
      </c>
      <c r="E796">
        <v>2000708687</v>
      </c>
      <c r="F796">
        <v>380</v>
      </c>
      <c r="G796">
        <v>360</v>
      </c>
      <c r="H796">
        <v>0</v>
      </c>
      <c r="I796" t="s">
        <v>198</v>
      </c>
      <c r="J796" t="s">
        <v>169</v>
      </c>
      <c r="K796" t="s">
        <v>767</v>
      </c>
      <c r="O796">
        <v>0</v>
      </c>
      <c r="U796" t="s">
        <v>81</v>
      </c>
    </row>
    <row r="797" spans="1:21" x14ac:dyDescent="0.25">
      <c r="A797" s="33">
        <v>797</v>
      </c>
      <c r="B797" s="24">
        <v>44210</v>
      </c>
      <c r="C797" t="s">
        <v>39</v>
      </c>
      <c r="D797" t="s">
        <v>41</v>
      </c>
      <c r="E797">
        <v>2000708949</v>
      </c>
      <c r="F797">
        <v>1020</v>
      </c>
      <c r="G797">
        <v>240</v>
      </c>
      <c r="H797">
        <v>0</v>
      </c>
      <c r="I797" t="s">
        <v>198</v>
      </c>
      <c r="J797" t="s">
        <v>169</v>
      </c>
      <c r="K797" t="s">
        <v>637</v>
      </c>
      <c r="O797">
        <v>0</v>
      </c>
      <c r="U797" t="s">
        <v>81</v>
      </c>
    </row>
    <row r="798" spans="1:21" x14ac:dyDescent="0.25">
      <c r="A798" s="33">
        <v>798</v>
      </c>
      <c r="B798" s="24">
        <v>44210</v>
      </c>
      <c r="C798" t="s">
        <v>39</v>
      </c>
      <c r="D798" t="s">
        <v>41</v>
      </c>
      <c r="E798">
        <v>2000708995</v>
      </c>
      <c r="F798">
        <v>1100</v>
      </c>
      <c r="G798">
        <v>100</v>
      </c>
      <c r="H798">
        <v>0</v>
      </c>
      <c r="I798" t="s">
        <v>680</v>
      </c>
      <c r="J798" t="s">
        <v>645</v>
      </c>
      <c r="K798" t="s">
        <v>727</v>
      </c>
      <c r="O798">
        <v>0</v>
      </c>
      <c r="U798" t="s">
        <v>81</v>
      </c>
    </row>
    <row r="799" spans="1:21" x14ac:dyDescent="0.25">
      <c r="A799" s="33">
        <v>799</v>
      </c>
      <c r="B799" s="24">
        <v>44210</v>
      </c>
      <c r="C799" t="s">
        <v>39</v>
      </c>
      <c r="D799" t="s">
        <v>41</v>
      </c>
      <c r="E799">
        <v>2000708996</v>
      </c>
      <c r="F799">
        <v>1100</v>
      </c>
      <c r="G799">
        <v>100</v>
      </c>
      <c r="H799">
        <v>0</v>
      </c>
      <c r="I799" t="s">
        <v>680</v>
      </c>
      <c r="J799" t="s">
        <v>645</v>
      </c>
      <c r="K799" t="s">
        <v>726</v>
      </c>
      <c r="O799">
        <v>0</v>
      </c>
      <c r="U799" t="s">
        <v>81</v>
      </c>
    </row>
    <row r="800" spans="1:21" x14ac:dyDescent="0.25">
      <c r="A800" s="33">
        <v>800</v>
      </c>
      <c r="B800" s="24">
        <v>44210</v>
      </c>
      <c r="C800" t="s">
        <v>39</v>
      </c>
      <c r="D800" t="s">
        <v>41</v>
      </c>
      <c r="E800">
        <v>2000709978</v>
      </c>
      <c r="F800">
        <v>6000</v>
      </c>
      <c r="G800">
        <v>300</v>
      </c>
      <c r="H800">
        <v>0</v>
      </c>
      <c r="I800" t="s">
        <v>680</v>
      </c>
      <c r="J800" t="s">
        <v>200</v>
      </c>
      <c r="K800" t="s">
        <v>737</v>
      </c>
      <c r="O800">
        <v>0</v>
      </c>
      <c r="U800" t="s">
        <v>81</v>
      </c>
    </row>
    <row r="801" spans="1:21" x14ac:dyDescent="0.25">
      <c r="A801" s="33">
        <v>801</v>
      </c>
      <c r="B801" s="24">
        <v>44210</v>
      </c>
      <c r="C801" t="s">
        <v>39</v>
      </c>
      <c r="D801" t="s">
        <v>41</v>
      </c>
      <c r="E801">
        <v>2000709004</v>
      </c>
      <c r="F801">
        <v>600</v>
      </c>
      <c r="G801">
        <v>100</v>
      </c>
      <c r="H801">
        <v>0</v>
      </c>
      <c r="I801" t="s">
        <v>680</v>
      </c>
      <c r="J801" t="s">
        <v>193</v>
      </c>
      <c r="K801" t="s">
        <v>176</v>
      </c>
      <c r="O801">
        <v>0</v>
      </c>
      <c r="U801" t="s">
        <v>81</v>
      </c>
    </row>
    <row r="802" spans="1:21" x14ac:dyDescent="0.25">
      <c r="A802" s="33">
        <v>802</v>
      </c>
      <c r="B802" s="24">
        <v>44210</v>
      </c>
      <c r="C802" t="s">
        <v>39</v>
      </c>
      <c r="D802" t="s">
        <v>41</v>
      </c>
      <c r="E802">
        <v>2000709006</v>
      </c>
      <c r="F802">
        <v>600</v>
      </c>
      <c r="G802">
        <v>80</v>
      </c>
      <c r="H802">
        <v>0</v>
      </c>
      <c r="I802" t="s">
        <v>680</v>
      </c>
      <c r="J802" t="s">
        <v>193</v>
      </c>
      <c r="K802" t="s">
        <v>650</v>
      </c>
      <c r="O802">
        <v>0</v>
      </c>
      <c r="U802" t="s">
        <v>81</v>
      </c>
    </row>
    <row r="803" spans="1:21" x14ac:dyDescent="0.25">
      <c r="A803" s="33">
        <v>803</v>
      </c>
      <c r="B803" s="24">
        <v>44210</v>
      </c>
      <c r="C803" t="s">
        <v>39</v>
      </c>
      <c r="D803" t="s">
        <v>41</v>
      </c>
      <c r="E803">
        <v>2000709558</v>
      </c>
      <c r="F803">
        <v>1600</v>
      </c>
      <c r="G803">
        <v>200</v>
      </c>
      <c r="H803">
        <v>0</v>
      </c>
      <c r="I803" t="s">
        <v>680</v>
      </c>
      <c r="J803" t="s">
        <v>193</v>
      </c>
      <c r="K803" t="s">
        <v>686</v>
      </c>
      <c r="O803">
        <v>0</v>
      </c>
      <c r="U803" t="s">
        <v>81</v>
      </c>
    </row>
    <row r="804" spans="1:21" x14ac:dyDescent="0.25">
      <c r="A804" s="33">
        <v>804</v>
      </c>
      <c r="B804" s="24">
        <v>44210</v>
      </c>
      <c r="C804" t="s">
        <v>39</v>
      </c>
      <c r="D804" t="s">
        <v>41</v>
      </c>
      <c r="E804">
        <v>2000709557</v>
      </c>
      <c r="F804">
        <v>1600</v>
      </c>
      <c r="G804">
        <v>160</v>
      </c>
      <c r="H804">
        <v>0</v>
      </c>
      <c r="I804" t="s">
        <v>680</v>
      </c>
      <c r="J804" t="s">
        <v>193</v>
      </c>
      <c r="K804" t="s">
        <v>650</v>
      </c>
      <c r="O804">
        <v>0</v>
      </c>
      <c r="U804" t="s">
        <v>81</v>
      </c>
    </row>
    <row r="805" spans="1:21" x14ac:dyDescent="0.25">
      <c r="A805" s="33">
        <v>805</v>
      </c>
      <c r="B805" s="24">
        <v>44210</v>
      </c>
      <c r="C805" t="s">
        <v>39</v>
      </c>
      <c r="D805" t="s">
        <v>41</v>
      </c>
      <c r="E805">
        <v>2000709145</v>
      </c>
      <c r="F805">
        <v>2096</v>
      </c>
      <c r="G805">
        <v>400</v>
      </c>
      <c r="H805">
        <v>0</v>
      </c>
      <c r="I805" t="s">
        <v>680</v>
      </c>
      <c r="J805" t="s">
        <v>203</v>
      </c>
      <c r="K805" t="s">
        <v>788</v>
      </c>
      <c r="O805">
        <v>0</v>
      </c>
      <c r="U805" t="s">
        <v>81</v>
      </c>
    </row>
    <row r="806" spans="1:21" x14ac:dyDescent="0.25">
      <c r="A806" s="33">
        <v>806</v>
      </c>
      <c r="B806" s="24">
        <v>44210</v>
      </c>
      <c r="C806" t="s">
        <v>39</v>
      </c>
      <c r="D806" t="s">
        <v>41</v>
      </c>
      <c r="E806">
        <v>2000709830</v>
      </c>
      <c r="F806">
        <v>896</v>
      </c>
      <c r="G806">
        <v>100</v>
      </c>
      <c r="H806">
        <v>0</v>
      </c>
      <c r="I806" t="s">
        <v>680</v>
      </c>
      <c r="J806" t="s">
        <v>202</v>
      </c>
      <c r="K806" t="s">
        <v>858</v>
      </c>
      <c r="O806">
        <v>0</v>
      </c>
      <c r="U806" t="s">
        <v>81</v>
      </c>
    </row>
    <row r="807" spans="1:21" x14ac:dyDescent="0.25">
      <c r="A807" s="33">
        <v>807</v>
      </c>
      <c r="B807" s="24">
        <v>44210</v>
      </c>
      <c r="C807" t="s">
        <v>39</v>
      </c>
      <c r="D807" t="s">
        <v>41</v>
      </c>
      <c r="E807">
        <v>2000709555</v>
      </c>
      <c r="F807">
        <v>1600</v>
      </c>
      <c r="G807">
        <v>150</v>
      </c>
      <c r="H807">
        <v>0</v>
      </c>
      <c r="I807" t="s">
        <v>680</v>
      </c>
      <c r="J807" t="s">
        <v>193</v>
      </c>
      <c r="K807" t="s">
        <v>176</v>
      </c>
      <c r="O807">
        <v>0</v>
      </c>
      <c r="U807" t="s">
        <v>81</v>
      </c>
    </row>
    <row r="808" spans="1:21" x14ac:dyDescent="0.25">
      <c r="A808" s="33">
        <v>808</v>
      </c>
      <c r="B808" s="24">
        <v>44210</v>
      </c>
      <c r="C808" t="s">
        <v>39</v>
      </c>
      <c r="D808" t="s">
        <v>41</v>
      </c>
      <c r="E808">
        <v>2000708954</v>
      </c>
      <c r="F808">
        <v>3000</v>
      </c>
      <c r="G808">
        <v>120</v>
      </c>
      <c r="H808">
        <v>0</v>
      </c>
      <c r="I808" t="s">
        <v>185</v>
      </c>
      <c r="J808" t="s">
        <v>687</v>
      </c>
      <c r="K808" t="s">
        <v>688</v>
      </c>
      <c r="O808">
        <v>0</v>
      </c>
      <c r="U808" t="s">
        <v>81</v>
      </c>
    </row>
    <row r="809" spans="1:21" x14ac:dyDescent="0.25">
      <c r="A809" s="33">
        <v>809</v>
      </c>
      <c r="B809" s="24">
        <v>44210</v>
      </c>
      <c r="C809" t="s">
        <v>39</v>
      </c>
      <c r="D809" t="s">
        <v>41</v>
      </c>
      <c r="E809">
        <v>2000709845</v>
      </c>
      <c r="F809">
        <v>440</v>
      </c>
      <c r="G809">
        <v>80</v>
      </c>
      <c r="H809">
        <v>0</v>
      </c>
      <c r="I809" t="s">
        <v>185</v>
      </c>
      <c r="J809" t="s">
        <v>645</v>
      </c>
      <c r="K809" t="s">
        <v>649</v>
      </c>
      <c r="O809">
        <v>0</v>
      </c>
      <c r="U809" t="s">
        <v>81</v>
      </c>
    </row>
    <row r="810" spans="1:21" x14ac:dyDescent="0.25">
      <c r="A810" s="33">
        <v>810</v>
      </c>
      <c r="B810" s="24">
        <v>44210</v>
      </c>
      <c r="C810" t="s">
        <v>39</v>
      </c>
      <c r="D810" t="s">
        <v>41</v>
      </c>
      <c r="E810">
        <v>2000709559</v>
      </c>
      <c r="F810">
        <v>1600</v>
      </c>
      <c r="G810">
        <v>120</v>
      </c>
      <c r="H810">
        <v>0</v>
      </c>
      <c r="I810" t="s">
        <v>185</v>
      </c>
      <c r="J810" t="s">
        <v>193</v>
      </c>
      <c r="K810" t="s">
        <v>647</v>
      </c>
      <c r="O810">
        <v>0</v>
      </c>
      <c r="U810" t="s">
        <v>81</v>
      </c>
    </row>
    <row r="811" spans="1:21" x14ac:dyDescent="0.25">
      <c r="A811" s="33">
        <v>811</v>
      </c>
      <c r="B811" s="24">
        <v>44210</v>
      </c>
      <c r="C811" t="s">
        <v>39</v>
      </c>
      <c r="D811" t="s">
        <v>41</v>
      </c>
      <c r="E811">
        <v>2000710125</v>
      </c>
      <c r="F811">
        <v>1300</v>
      </c>
      <c r="G811">
        <v>20</v>
      </c>
      <c r="H811">
        <v>0</v>
      </c>
      <c r="I811" t="s">
        <v>185</v>
      </c>
      <c r="J811" t="s">
        <v>169</v>
      </c>
      <c r="K811" t="s">
        <v>663</v>
      </c>
      <c r="O811">
        <v>0</v>
      </c>
      <c r="U811" t="s">
        <v>81</v>
      </c>
    </row>
    <row r="812" spans="1:21" x14ac:dyDescent="0.25">
      <c r="A812" s="33">
        <v>812</v>
      </c>
      <c r="B812" s="24">
        <v>44210</v>
      </c>
      <c r="C812" t="s">
        <v>39</v>
      </c>
      <c r="D812" t="s">
        <v>41</v>
      </c>
      <c r="E812">
        <v>2000708726</v>
      </c>
      <c r="F812">
        <v>800</v>
      </c>
      <c r="G812">
        <v>80</v>
      </c>
      <c r="H812">
        <v>0</v>
      </c>
      <c r="I812" t="s">
        <v>185</v>
      </c>
      <c r="J812" t="s">
        <v>645</v>
      </c>
      <c r="K812" t="s">
        <v>721</v>
      </c>
      <c r="O812">
        <v>0</v>
      </c>
      <c r="U812" t="s">
        <v>81</v>
      </c>
    </row>
    <row r="813" spans="1:21" x14ac:dyDescent="0.25">
      <c r="A813" s="33">
        <v>813</v>
      </c>
      <c r="B813" s="24">
        <v>44210</v>
      </c>
      <c r="C813" t="s">
        <v>39</v>
      </c>
      <c r="D813" t="s">
        <v>41</v>
      </c>
      <c r="E813">
        <v>2000708959</v>
      </c>
      <c r="F813">
        <v>1132</v>
      </c>
      <c r="G813">
        <v>45</v>
      </c>
      <c r="H813">
        <v>0</v>
      </c>
      <c r="I813" t="s">
        <v>859</v>
      </c>
      <c r="J813" t="s">
        <v>170</v>
      </c>
      <c r="K813" t="s">
        <v>171</v>
      </c>
      <c r="O813">
        <v>0</v>
      </c>
      <c r="U813" t="s">
        <v>81</v>
      </c>
    </row>
    <row r="814" spans="1:21" x14ac:dyDescent="0.25">
      <c r="A814" s="33">
        <v>814</v>
      </c>
      <c r="B814" s="24">
        <v>44210</v>
      </c>
      <c r="C814" t="s">
        <v>39</v>
      </c>
      <c r="D814" t="s">
        <v>41</v>
      </c>
      <c r="E814">
        <v>2000708960</v>
      </c>
      <c r="F814">
        <v>1300</v>
      </c>
      <c r="G814">
        <v>270</v>
      </c>
      <c r="H814">
        <v>0</v>
      </c>
      <c r="I814" t="s">
        <v>859</v>
      </c>
      <c r="J814" t="s">
        <v>170</v>
      </c>
      <c r="K814" t="s">
        <v>732</v>
      </c>
      <c r="O814">
        <v>0</v>
      </c>
      <c r="U814" t="s">
        <v>81</v>
      </c>
    </row>
    <row r="815" spans="1:21" x14ac:dyDescent="0.25">
      <c r="A815" s="33">
        <v>815</v>
      </c>
      <c r="B815" s="24">
        <v>44210</v>
      </c>
      <c r="C815" t="s">
        <v>39</v>
      </c>
      <c r="D815" t="s">
        <v>41</v>
      </c>
      <c r="E815">
        <v>2000705984</v>
      </c>
      <c r="F815">
        <v>2120</v>
      </c>
      <c r="G815">
        <v>81</v>
      </c>
      <c r="H815">
        <v>0</v>
      </c>
      <c r="I815" t="s">
        <v>859</v>
      </c>
      <c r="J815" t="s">
        <v>174</v>
      </c>
      <c r="K815" t="s">
        <v>774</v>
      </c>
      <c r="O815">
        <v>0</v>
      </c>
      <c r="U815" t="s">
        <v>81</v>
      </c>
    </row>
    <row r="816" spans="1:21" x14ac:dyDescent="0.25">
      <c r="A816" s="33">
        <v>816</v>
      </c>
      <c r="B816" s="24">
        <v>44210</v>
      </c>
      <c r="C816" t="s">
        <v>39</v>
      </c>
      <c r="D816" t="s">
        <v>41</v>
      </c>
      <c r="E816">
        <v>2000704810</v>
      </c>
      <c r="F816">
        <v>1350</v>
      </c>
      <c r="G816">
        <v>17</v>
      </c>
      <c r="H816">
        <v>0</v>
      </c>
      <c r="I816" t="s">
        <v>859</v>
      </c>
      <c r="J816" t="s">
        <v>698</v>
      </c>
      <c r="K816" t="s">
        <v>786</v>
      </c>
      <c r="O816">
        <v>0</v>
      </c>
      <c r="U816" t="s">
        <v>81</v>
      </c>
    </row>
    <row r="817" spans="1:21" x14ac:dyDescent="0.25">
      <c r="A817" s="33">
        <v>817</v>
      </c>
      <c r="B817" s="24">
        <v>44210</v>
      </c>
      <c r="C817" t="s">
        <v>39</v>
      </c>
      <c r="D817" t="s">
        <v>41</v>
      </c>
      <c r="E817">
        <v>2000708959</v>
      </c>
      <c r="F817">
        <v>1132</v>
      </c>
      <c r="G817">
        <v>30</v>
      </c>
      <c r="H817">
        <v>0</v>
      </c>
      <c r="I817" t="s">
        <v>183</v>
      </c>
      <c r="J817" t="s">
        <v>170</v>
      </c>
      <c r="K817" t="s">
        <v>171</v>
      </c>
      <c r="O817">
        <v>0</v>
      </c>
      <c r="U817" t="s">
        <v>81</v>
      </c>
    </row>
    <row r="818" spans="1:21" x14ac:dyDescent="0.25">
      <c r="A818" s="33">
        <v>818</v>
      </c>
      <c r="B818" s="24">
        <v>44210</v>
      </c>
      <c r="C818" t="s">
        <v>39</v>
      </c>
      <c r="D818" t="s">
        <v>41</v>
      </c>
      <c r="E818">
        <v>2000709637</v>
      </c>
      <c r="F818">
        <v>280</v>
      </c>
      <c r="G818">
        <v>278</v>
      </c>
      <c r="H818">
        <v>0</v>
      </c>
      <c r="I818" t="s">
        <v>183</v>
      </c>
      <c r="J818" t="s">
        <v>174</v>
      </c>
      <c r="K818" t="s">
        <v>204</v>
      </c>
      <c r="O818">
        <v>0</v>
      </c>
      <c r="U818" t="s">
        <v>81</v>
      </c>
    </row>
    <row r="819" spans="1:21" x14ac:dyDescent="0.25">
      <c r="A819" s="33">
        <v>819</v>
      </c>
      <c r="B819" s="24">
        <v>44210</v>
      </c>
      <c r="C819" t="s">
        <v>39</v>
      </c>
      <c r="D819" t="s">
        <v>41</v>
      </c>
      <c r="E819">
        <v>2000710122</v>
      </c>
      <c r="F819">
        <v>640</v>
      </c>
      <c r="G819">
        <v>240</v>
      </c>
      <c r="H819">
        <v>0</v>
      </c>
      <c r="I819" t="s">
        <v>183</v>
      </c>
      <c r="J819" t="s">
        <v>174</v>
      </c>
      <c r="K819" t="s">
        <v>805</v>
      </c>
      <c r="O819">
        <v>0</v>
      </c>
      <c r="U819" t="s">
        <v>81</v>
      </c>
    </row>
    <row r="820" spans="1:21" x14ac:dyDescent="0.25">
      <c r="A820" s="33">
        <v>820</v>
      </c>
      <c r="B820" s="24">
        <v>44210</v>
      </c>
      <c r="C820" t="s">
        <v>39</v>
      </c>
      <c r="D820" t="s">
        <v>41</v>
      </c>
      <c r="E820">
        <v>2000708694</v>
      </c>
      <c r="F820">
        <v>1320</v>
      </c>
      <c r="G820">
        <v>8</v>
      </c>
      <c r="H820">
        <v>0</v>
      </c>
      <c r="I820" t="s">
        <v>183</v>
      </c>
      <c r="J820" t="s">
        <v>174</v>
      </c>
      <c r="K820" t="s">
        <v>805</v>
      </c>
      <c r="O820">
        <v>0</v>
      </c>
      <c r="U820" t="s">
        <v>81</v>
      </c>
    </row>
    <row r="821" spans="1:21" x14ac:dyDescent="0.25">
      <c r="A821" s="33">
        <v>821</v>
      </c>
      <c r="B821" s="24">
        <v>44210</v>
      </c>
      <c r="C821" t="s">
        <v>39</v>
      </c>
      <c r="D821" t="s">
        <v>41</v>
      </c>
      <c r="E821">
        <v>2000708949</v>
      </c>
      <c r="F821">
        <v>1020</v>
      </c>
      <c r="G821">
        <v>135</v>
      </c>
      <c r="H821">
        <v>0</v>
      </c>
      <c r="I821" t="s">
        <v>183</v>
      </c>
      <c r="J821" t="s">
        <v>169</v>
      </c>
      <c r="K821" t="s">
        <v>637</v>
      </c>
      <c r="O821">
        <v>0</v>
      </c>
      <c r="U821" t="s">
        <v>81</v>
      </c>
    </row>
    <row r="822" spans="1:21" x14ac:dyDescent="0.25">
      <c r="A822" s="33">
        <v>822</v>
      </c>
      <c r="B822" s="24">
        <v>44210</v>
      </c>
      <c r="C822" t="s">
        <v>39</v>
      </c>
      <c r="D822" t="s">
        <v>51</v>
      </c>
      <c r="E822">
        <v>2000708754</v>
      </c>
      <c r="F822">
        <v>560</v>
      </c>
      <c r="G822">
        <v>130</v>
      </c>
      <c r="H822">
        <v>0</v>
      </c>
      <c r="I822" t="s">
        <v>706</v>
      </c>
      <c r="J822" t="s">
        <v>676</v>
      </c>
      <c r="K822" t="s">
        <v>677</v>
      </c>
      <c r="O822">
        <v>0</v>
      </c>
      <c r="U822" t="s">
        <v>81</v>
      </c>
    </row>
    <row r="823" spans="1:21" x14ac:dyDescent="0.25">
      <c r="A823" s="33">
        <v>823</v>
      </c>
      <c r="B823" s="24">
        <v>44210</v>
      </c>
      <c r="C823" t="s">
        <v>39</v>
      </c>
      <c r="D823" t="s">
        <v>51</v>
      </c>
      <c r="E823">
        <v>2000709358</v>
      </c>
      <c r="F823">
        <v>360</v>
      </c>
      <c r="G823">
        <v>357</v>
      </c>
      <c r="H823">
        <v>0</v>
      </c>
      <c r="I823" t="s">
        <v>706</v>
      </c>
      <c r="J823" t="s">
        <v>770</v>
      </c>
      <c r="K823" t="s">
        <v>777</v>
      </c>
      <c r="O823">
        <v>0</v>
      </c>
      <c r="U823" t="s">
        <v>81</v>
      </c>
    </row>
    <row r="824" spans="1:21" x14ac:dyDescent="0.25">
      <c r="A824" s="33">
        <v>824</v>
      </c>
      <c r="B824" s="24">
        <v>44210</v>
      </c>
      <c r="C824" t="s">
        <v>39</v>
      </c>
      <c r="D824" t="s">
        <v>51</v>
      </c>
      <c r="E824">
        <v>2000709498</v>
      </c>
      <c r="F824">
        <v>879</v>
      </c>
      <c r="G824">
        <v>60</v>
      </c>
      <c r="H824">
        <v>0</v>
      </c>
      <c r="I824" t="s">
        <v>706</v>
      </c>
      <c r="J824" t="s">
        <v>667</v>
      </c>
      <c r="K824" t="s">
        <v>668</v>
      </c>
      <c r="O824">
        <v>0</v>
      </c>
      <c r="U824" t="s">
        <v>81</v>
      </c>
    </row>
    <row r="825" spans="1:21" x14ac:dyDescent="0.25">
      <c r="A825" s="33">
        <v>825</v>
      </c>
      <c r="B825" s="24">
        <v>44210</v>
      </c>
      <c r="C825" t="s">
        <v>39</v>
      </c>
      <c r="D825" t="s">
        <v>51</v>
      </c>
      <c r="E825">
        <v>2000709348</v>
      </c>
      <c r="F825">
        <v>700</v>
      </c>
      <c r="G825">
        <v>100</v>
      </c>
      <c r="H825">
        <v>0</v>
      </c>
      <c r="I825" t="s">
        <v>706</v>
      </c>
      <c r="J825" t="s">
        <v>673</v>
      </c>
      <c r="K825" t="s">
        <v>672</v>
      </c>
      <c r="O825">
        <v>0</v>
      </c>
      <c r="U825" t="s">
        <v>81</v>
      </c>
    </row>
    <row r="826" spans="1:21" x14ac:dyDescent="0.25">
      <c r="A826" s="33">
        <v>826</v>
      </c>
      <c r="B826" s="24">
        <v>44210</v>
      </c>
      <c r="C826" t="s">
        <v>39</v>
      </c>
      <c r="D826" t="s">
        <v>51</v>
      </c>
      <c r="E826">
        <v>2000709347</v>
      </c>
      <c r="F826">
        <v>500</v>
      </c>
      <c r="G826">
        <v>80</v>
      </c>
      <c r="H826">
        <v>0</v>
      </c>
      <c r="I826" t="s">
        <v>706</v>
      </c>
      <c r="J826" t="s">
        <v>673</v>
      </c>
      <c r="K826" t="s">
        <v>674</v>
      </c>
      <c r="O826">
        <v>0</v>
      </c>
      <c r="U826" t="s">
        <v>81</v>
      </c>
    </row>
    <row r="827" spans="1:21" x14ac:dyDescent="0.25">
      <c r="A827" s="33">
        <v>827</v>
      </c>
      <c r="B827" s="24">
        <v>44210</v>
      </c>
      <c r="C827" t="s">
        <v>39</v>
      </c>
      <c r="D827" t="s">
        <v>51</v>
      </c>
      <c r="E827">
        <v>2000709357</v>
      </c>
      <c r="F827">
        <v>450</v>
      </c>
      <c r="G827">
        <v>180</v>
      </c>
      <c r="H827">
        <v>0</v>
      </c>
      <c r="I827" t="s">
        <v>706</v>
      </c>
      <c r="J827" t="s">
        <v>770</v>
      </c>
      <c r="K827" t="s">
        <v>771</v>
      </c>
      <c r="O827">
        <v>0</v>
      </c>
      <c r="U827" t="s">
        <v>81</v>
      </c>
    </row>
    <row r="828" spans="1:21" x14ac:dyDescent="0.25">
      <c r="A828" s="33">
        <v>828</v>
      </c>
      <c r="B828" s="24">
        <v>44210</v>
      </c>
      <c r="C828" t="s">
        <v>39</v>
      </c>
      <c r="D828" t="s">
        <v>51</v>
      </c>
      <c r="E828">
        <v>2000708970</v>
      </c>
      <c r="F828">
        <v>160</v>
      </c>
      <c r="G828">
        <v>60</v>
      </c>
      <c r="H828">
        <v>0</v>
      </c>
      <c r="I828" t="s">
        <v>706</v>
      </c>
      <c r="J828" t="s">
        <v>676</v>
      </c>
      <c r="K828" t="s">
        <v>677</v>
      </c>
      <c r="O828">
        <v>0</v>
      </c>
      <c r="U828" t="s">
        <v>81</v>
      </c>
    </row>
    <row r="829" spans="1:21" x14ac:dyDescent="0.25">
      <c r="A829" s="33">
        <v>829</v>
      </c>
      <c r="B829" s="24">
        <v>44210</v>
      </c>
      <c r="C829" t="s">
        <v>39</v>
      </c>
      <c r="D829" t="s">
        <v>51</v>
      </c>
      <c r="E829">
        <v>2000708752</v>
      </c>
      <c r="F829">
        <v>200</v>
      </c>
      <c r="G829">
        <v>10</v>
      </c>
      <c r="H829">
        <v>0</v>
      </c>
      <c r="I829" t="s">
        <v>706</v>
      </c>
      <c r="J829" t="s">
        <v>669</v>
      </c>
      <c r="K829" t="s">
        <v>707</v>
      </c>
      <c r="O829">
        <v>0</v>
      </c>
      <c r="U829" t="s">
        <v>81</v>
      </c>
    </row>
    <row r="830" spans="1:21" x14ac:dyDescent="0.25">
      <c r="A830" s="33">
        <v>830</v>
      </c>
      <c r="B830" s="24">
        <v>44210</v>
      </c>
      <c r="C830" t="s">
        <v>39</v>
      </c>
      <c r="D830" t="s">
        <v>51</v>
      </c>
      <c r="E830">
        <v>2000709361</v>
      </c>
      <c r="F830">
        <v>600</v>
      </c>
      <c r="G830">
        <v>140</v>
      </c>
      <c r="H830">
        <v>0</v>
      </c>
      <c r="I830" t="s">
        <v>706</v>
      </c>
      <c r="J830" t="s">
        <v>669</v>
      </c>
      <c r="K830" t="s">
        <v>707</v>
      </c>
      <c r="O830">
        <v>0</v>
      </c>
      <c r="U830" t="s">
        <v>81</v>
      </c>
    </row>
    <row r="831" spans="1:21" x14ac:dyDescent="0.25">
      <c r="A831" s="33">
        <v>831</v>
      </c>
      <c r="B831" s="24">
        <v>44210</v>
      </c>
      <c r="C831" t="s">
        <v>181</v>
      </c>
      <c r="D831" t="s">
        <v>41</v>
      </c>
      <c r="E831">
        <v>2000708960</v>
      </c>
      <c r="F831">
        <v>1300</v>
      </c>
      <c r="G831">
        <v>175</v>
      </c>
      <c r="H831">
        <v>1</v>
      </c>
      <c r="I831" t="s">
        <v>661</v>
      </c>
      <c r="J831" t="s">
        <v>170</v>
      </c>
      <c r="K831" t="s">
        <v>732</v>
      </c>
      <c r="L831" t="s">
        <v>88</v>
      </c>
      <c r="N831" t="s">
        <v>860</v>
      </c>
      <c r="O831">
        <v>1</v>
      </c>
      <c r="P831" t="s">
        <v>861</v>
      </c>
      <c r="Q831" t="s">
        <v>862</v>
      </c>
      <c r="R831">
        <v>674003908</v>
      </c>
      <c r="S831" s="36">
        <v>0.85763888888888884</v>
      </c>
      <c r="U831" t="s">
        <v>81</v>
      </c>
    </row>
    <row r="832" spans="1:21" x14ac:dyDescent="0.25">
      <c r="A832" s="33">
        <v>832</v>
      </c>
      <c r="B832" s="24">
        <v>44210</v>
      </c>
      <c r="C832" t="s">
        <v>181</v>
      </c>
      <c r="D832" t="s">
        <v>41</v>
      </c>
      <c r="E832">
        <v>2000706583</v>
      </c>
      <c r="F832">
        <v>3050</v>
      </c>
      <c r="G832">
        <v>30</v>
      </c>
      <c r="H832">
        <v>0</v>
      </c>
      <c r="I832" t="s">
        <v>661</v>
      </c>
      <c r="J832" t="s">
        <v>863</v>
      </c>
      <c r="K832" t="s">
        <v>697</v>
      </c>
      <c r="O832">
        <v>0</v>
      </c>
      <c r="U832" t="s">
        <v>81</v>
      </c>
    </row>
    <row r="833" spans="1:21" x14ac:dyDescent="0.25">
      <c r="A833" s="33">
        <v>833</v>
      </c>
      <c r="B833" s="24">
        <v>44210</v>
      </c>
      <c r="C833" t="s">
        <v>181</v>
      </c>
      <c r="D833" t="s">
        <v>41</v>
      </c>
      <c r="E833">
        <v>2000703496</v>
      </c>
      <c r="F833">
        <v>1080</v>
      </c>
      <c r="G833">
        <v>7</v>
      </c>
      <c r="H833">
        <v>0</v>
      </c>
      <c r="I833" t="s">
        <v>661</v>
      </c>
      <c r="J833" t="s">
        <v>170</v>
      </c>
      <c r="K833" t="s">
        <v>732</v>
      </c>
      <c r="O833">
        <v>0</v>
      </c>
      <c r="U833" t="s">
        <v>81</v>
      </c>
    </row>
    <row r="834" spans="1:21" x14ac:dyDescent="0.25">
      <c r="A834" s="33">
        <v>834</v>
      </c>
      <c r="B834" s="24">
        <v>44210</v>
      </c>
      <c r="C834" t="s">
        <v>181</v>
      </c>
      <c r="D834" t="s">
        <v>41</v>
      </c>
      <c r="E834">
        <v>2000709566</v>
      </c>
      <c r="F834">
        <v>816</v>
      </c>
      <c r="G834">
        <v>503</v>
      </c>
      <c r="H834">
        <v>0</v>
      </c>
      <c r="I834" t="s">
        <v>661</v>
      </c>
      <c r="J834" t="s">
        <v>170</v>
      </c>
      <c r="K834" t="s">
        <v>732</v>
      </c>
      <c r="O834">
        <v>0</v>
      </c>
      <c r="T834">
        <v>0</v>
      </c>
      <c r="U834" t="s">
        <v>81</v>
      </c>
    </row>
    <row r="835" spans="1:21" x14ac:dyDescent="0.25">
      <c r="A835" s="33">
        <v>835</v>
      </c>
      <c r="B835" s="24">
        <v>44210</v>
      </c>
      <c r="C835" t="s">
        <v>181</v>
      </c>
      <c r="D835" t="s">
        <v>41</v>
      </c>
      <c r="E835">
        <v>2000707771</v>
      </c>
      <c r="F835">
        <v>1036</v>
      </c>
      <c r="G835">
        <v>18</v>
      </c>
      <c r="H835">
        <v>0</v>
      </c>
      <c r="I835" t="s">
        <v>661</v>
      </c>
      <c r="J835" t="s">
        <v>170</v>
      </c>
      <c r="K835" t="s">
        <v>732</v>
      </c>
      <c r="O835">
        <v>0</v>
      </c>
      <c r="U835" t="s">
        <v>81</v>
      </c>
    </row>
    <row r="836" spans="1:21" x14ac:dyDescent="0.25">
      <c r="A836" s="33">
        <v>836</v>
      </c>
      <c r="B836" s="24">
        <v>44210</v>
      </c>
      <c r="C836" t="s">
        <v>181</v>
      </c>
      <c r="D836" t="s">
        <v>41</v>
      </c>
      <c r="E836">
        <v>2000709662</v>
      </c>
      <c r="F836">
        <v>1306</v>
      </c>
      <c r="G836">
        <v>105</v>
      </c>
      <c r="H836">
        <v>1</v>
      </c>
      <c r="I836" t="s">
        <v>661</v>
      </c>
      <c r="J836" t="s">
        <v>698</v>
      </c>
      <c r="K836" t="s">
        <v>786</v>
      </c>
      <c r="L836" t="s">
        <v>104</v>
      </c>
      <c r="N836" t="s">
        <v>864</v>
      </c>
      <c r="O836">
        <v>1</v>
      </c>
      <c r="P836" t="s">
        <v>865</v>
      </c>
      <c r="Q836" t="s">
        <v>866</v>
      </c>
      <c r="R836">
        <v>6200795488</v>
      </c>
      <c r="S836" s="36">
        <v>0.32291666666666669</v>
      </c>
      <c r="U836" t="s">
        <v>81</v>
      </c>
    </row>
    <row r="837" spans="1:21" x14ac:dyDescent="0.25">
      <c r="A837" s="33">
        <v>837</v>
      </c>
      <c r="B837" s="24">
        <v>44210</v>
      </c>
      <c r="C837" t="s">
        <v>181</v>
      </c>
      <c r="D837" t="s">
        <v>41</v>
      </c>
      <c r="E837">
        <v>2000704810</v>
      </c>
      <c r="F837">
        <v>1350</v>
      </c>
      <c r="G837">
        <v>45</v>
      </c>
      <c r="H837">
        <v>0</v>
      </c>
      <c r="I837" t="s">
        <v>661</v>
      </c>
      <c r="J837" t="s">
        <v>698</v>
      </c>
      <c r="K837" t="s">
        <v>786</v>
      </c>
      <c r="O837">
        <v>0</v>
      </c>
      <c r="U837" t="s">
        <v>81</v>
      </c>
    </row>
    <row r="838" spans="1:21" x14ac:dyDescent="0.25">
      <c r="A838" s="33">
        <v>838</v>
      </c>
      <c r="B838" s="24">
        <v>44210</v>
      </c>
      <c r="C838" t="s">
        <v>181</v>
      </c>
      <c r="D838" t="s">
        <v>41</v>
      </c>
      <c r="E838">
        <v>2000709831</v>
      </c>
      <c r="F838">
        <v>3825</v>
      </c>
      <c r="G838">
        <v>300</v>
      </c>
      <c r="H838">
        <v>0</v>
      </c>
      <c r="I838" t="s">
        <v>201</v>
      </c>
      <c r="J838" t="s">
        <v>169</v>
      </c>
      <c r="K838" t="s">
        <v>652</v>
      </c>
      <c r="O838">
        <v>0</v>
      </c>
      <c r="U838" t="s">
        <v>81</v>
      </c>
    </row>
    <row r="839" spans="1:21" x14ac:dyDescent="0.25">
      <c r="A839" s="33">
        <v>839</v>
      </c>
      <c r="B839" s="24">
        <v>44210</v>
      </c>
      <c r="C839" t="s">
        <v>181</v>
      </c>
      <c r="D839" t="s">
        <v>41</v>
      </c>
      <c r="E839">
        <v>2000708456</v>
      </c>
      <c r="F839">
        <v>300</v>
      </c>
      <c r="G839">
        <v>150</v>
      </c>
      <c r="H839">
        <v>0</v>
      </c>
      <c r="I839" t="s">
        <v>201</v>
      </c>
      <c r="J839" t="s">
        <v>169</v>
      </c>
      <c r="K839" t="s">
        <v>867</v>
      </c>
      <c r="O839">
        <v>0</v>
      </c>
      <c r="U839" t="s">
        <v>81</v>
      </c>
    </row>
    <row r="840" spans="1:21" x14ac:dyDescent="0.25">
      <c r="A840" s="33">
        <v>840</v>
      </c>
      <c r="B840" s="24">
        <v>44210</v>
      </c>
      <c r="C840" t="s">
        <v>181</v>
      </c>
      <c r="D840" t="s">
        <v>41</v>
      </c>
      <c r="E840">
        <v>2000708798</v>
      </c>
      <c r="F840">
        <v>1183</v>
      </c>
      <c r="G840">
        <v>185</v>
      </c>
      <c r="H840">
        <v>0</v>
      </c>
      <c r="I840" t="s">
        <v>201</v>
      </c>
      <c r="J840" t="s">
        <v>745</v>
      </c>
      <c r="K840" t="s">
        <v>868</v>
      </c>
      <c r="O840">
        <v>0</v>
      </c>
      <c r="U840" t="s">
        <v>81</v>
      </c>
    </row>
    <row r="841" spans="1:21" x14ac:dyDescent="0.25">
      <c r="A841" s="33">
        <v>841</v>
      </c>
      <c r="B841" s="24">
        <v>44210</v>
      </c>
      <c r="C841" t="s">
        <v>181</v>
      </c>
      <c r="D841" t="s">
        <v>41</v>
      </c>
      <c r="E841">
        <v>2000710284</v>
      </c>
      <c r="F841">
        <v>6030</v>
      </c>
      <c r="G841">
        <v>300</v>
      </c>
      <c r="H841">
        <v>0</v>
      </c>
      <c r="I841" t="s">
        <v>201</v>
      </c>
      <c r="J841" t="s">
        <v>200</v>
      </c>
      <c r="K841" t="s">
        <v>737</v>
      </c>
      <c r="O841">
        <v>0</v>
      </c>
      <c r="U841" t="s">
        <v>81</v>
      </c>
    </row>
    <row r="842" spans="1:21" x14ac:dyDescent="0.25">
      <c r="A842" s="33">
        <v>842</v>
      </c>
      <c r="B842" s="24">
        <v>44210</v>
      </c>
      <c r="C842" t="s">
        <v>181</v>
      </c>
      <c r="D842" t="s">
        <v>41</v>
      </c>
      <c r="E842">
        <v>2000708724</v>
      </c>
      <c r="F842">
        <v>800</v>
      </c>
      <c r="G842">
        <v>150</v>
      </c>
      <c r="H842">
        <v>0</v>
      </c>
      <c r="I842" t="s">
        <v>201</v>
      </c>
      <c r="J842" t="s">
        <v>645</v>
      </c>
      <c r="K842" t="s">
        <v>739</v>
      </c>
      <c r="O842">
        <v>0</v>
      </c>
      <c r="U842" t="s">
        <v>81</v>
      </c>
    </row>
    <row r="843" spans="1:21" x14ac:dyDescent="0.25">
      <c r="A843" s="33">
        <v>843</v>
      </c>
      <c r="B843" s="24">
        <v>44210</v>
      </c>
      <c r="C843" t="s">
        <v>181</v>
      </c>
      <c r="D843" t="s">
        <v>41</v>
      </c>
      <c r="E843">
        <v>2000709879</v>
      </c>
      <c r="F843">
        <v>2048</v>
      </c>
      <c r="G843">
        <v>125</v>
      </c>
      <c r="H843">
        <v>0</v>
      </c>
      <c r="I843" t="s">
        <v>201</v>
      </c>
      <c r="J843" t="s">
        <v>655</v>
      </c>
      <c r="K843" t="s">
        <v>656</v>
      </c>
      <c r="O843">
        <v>0</v>
      </c>
      <c r="U843" t="s">
        <v>81</v>
      </c>
    </row>
    <row r="844" spans="1:21" x14ac:dyDescent="0.25">
      <c r="A844" s="33">
        <v>844</v>
      </c>
      <c r="B844" s="24">
        <v>44210</v>
      </c>
      <c r="C844" t="s">
        <v>181</v>
      </c>
      <c r="D844" t="s">
        <v>41</v>
      </c>
      <c r="E844">
        <v>2000708625</v>
      </c>
      <c r="F844">
        <v>4208</v>
      </c>
      <c r="G844">
        <v>200</v>
      </c>
      <c r="H844">
        <v>0</v>
      </c>
      <c r="I844" t="s">
        <v>201</v>
      </c>
      <c r="J844" t="s">
        <v>200</v>
      </c>
      <c r="K844" t="s">
        <v>869</v>
      </c>
      <c r="O844">
        <v>0</v>
      </c>
      <c r="U844" t="s">
        <v>81</v>
      </c>
    </row>
    <row r="845" spans="1:21" x14ac:dyDescent="0.25">
      <c r="A845" s="33">
        <v>845</v>
      </c>
      <c r="B845" s="24">
        <v>44210</v>
      </c>
      <c r="C845" t="s">
        <v>181</v>
      </c>
      <c r="D845" t="s">
        <v>41</v>
      </c>
      <c r="E845">
        <v>2000709556</v>
      </c>
      <c r="F845">
        <v>1600</v>
      </c>
      <c r="G845">
        <v>150</v>
      </c>
      <c r="H845">
        <v>0</v>
      </c>
      <c r="I845" t="s">
        <v>201</v>
      </c>
      <c r="J845" t="s">
        <v>193</v>
      </c>
      <c r="K845" t="s">
        <v>683</v>
      </c>
      <c r="O845">
        <v>0</v>
      </c>
      <c r="U845" t="s">
        <v>81</v>
      </c>
    </row>
    <row r="846" spans="1:21" x14ac:dyDescent="0.25">
      <c r="A846" s="33">
        <v>846</v>
      </c>
      <c r="B846" s="24">
        <v>44210</v>
      </c>
      <c r="C846" t="s">
        <v>181</v>
      </c>
      <c r="D846" t="s">
        <v>41</v>
      </c>
      <c r="E846">
        <v>2000709013</v>
      </c>
      <c r="F846">
        <v>1120</v>
      </c>
      <c r="G846">
        <v>200</v>
      </c>
      <c r="H846">
        <v>0</v>
      </c>
      <c r="I846" t="s">
        <v>201</v>
      </c>
      <c r="J846" t="s">
        <v>172</v>
      </c>
      <c r="K846" t="s">
        <v>725</v>
      </c>
      <c r="O846">
        <v>0</v>
      </c>
      <c r="U846" t="s">
        <v>81</v>
      </c>
    </row>
    <row r="847" spans="1:21" x14ac:dyDescent="0.25">
      <c r="A847" s="33">
        <v>847</v>
      </c>
      <c r="B847" s="24">
        <v>44210</v>
      </c>
      <c r="C847" t="s">
        <v>181</v>
      </c>
      <c r="D847" t="s">
        <v>41</v>
      </c>
      <c r="E847">
        <v>2000708456</v>
      </c>
      <c r="F847">
        <v>300</v>
      </c>
      <c r="G847">
        <v>150</v>
      </c>
      <c r="H847">
        <v>0</v>
      </c>
      <c r="I847" t="s">
        <v>201</v>
      </c>
      <c r="J847" t="s">
        <v>169</v>
      </c>
      <c r="K847" t="s">
        <v>867</v>
      </c>
      <c r="O847">
        <v>0</v>
      </c>
      <c r="U847" t="s">
        <v>81</v>
      </c>
    </row>
    <row r="848" spans="1:21" x14ac:dyDescent="0.25">
      <c r="A848" s="33">
        <v>848</v>
      </c>
      <c r="B848" s="24">
        <v>44210</v>
      </c>
      <c r="C848" t="s">
        <v>181</v>
      </c>
      <c r="D848" t="s">
        <v>41</v>
      </c>
      <c r="E848">
        <v>2000709120</v>
      </c>
      <c r="F848">
        <v>35</v>
      </c>
      <c r="G848">
        <v>35</v>
      </c>
      <c r="H848">
        <v>0</v>
      </c>
      <c r="I848" t="s">
        <v>201</v>
      </c>
      <c r="J848" t="s">
        <v>745</v>
      </c>
      <c r="K848" t="s">
        <v>857</v>
      </c>
      <c r="O848">
        <v>0</v>
      </c>
      <c r="U848" t="s">
        <v>81</v>
      </c>
    </row>
    <row r="849" spans="1:21" x14ac:dyDescent="0.25">
      <c r="A849" s="33">
        <v>849</v>
      </c>
      <c r="B849" s="24">
        <v>44210</v>
      </c>
      <c r="C849" t="s">
        <v>181</v>
      </c>
      <c r="D849" t="s">
        <v>41</v>
      </c>
      <c r="E849">
        <v>2000708723</v>
      </c>
      <c r="F849">
        <v>800</v>
      </c>
      <c r="G849">
        <v>100</v>
      </c>
      <c r="H849">
        <v>0</v>
      </c>
      <c r="I849" t="s">
        <v>201</v>
      </c>
      <c r="J849" t="s">
        <v>645</v>
      </c>
      <c r="K849" t="s">
        <v>756</v>
      </c>
      <c r="O849">
        <v>0</v>
      </c>
      <c r="U849" t="s">
        <v>81</v>
      </c>
    </row>
    <row r="850" spans="1:21" x14ac:dyDescent="0.25">
      <c r="A850" s="33">
        <v>850</v>
      </c>
      <c r="B850" s="24">
        <v>44210</v>
      </c>
      <c r="C850" t="s">
        <v>181</v>
      </c>
      <c r="D850" t="s">
        <v>41</v>
      </c>
      <c r="E850">
        <v>2000708726</v>
      </c>
      <c r="F850">
        <v>800</v>
      </c>
      <c r="G850">
        <v>150</v>
      </c>
      <c r="H850">
        <v>0</v>
      </c>
      <c r="I850" t="s">
        <v>201</v>
      </c>
      <c r="J850" t="s">
        <v>645</v>
      </c>
      <c r="K850" t="s">
        <v>658</v>
      </c>
      <c r="O850">
        <v>0</v>
      </c>
      <c r="U850" t="s">
        <v>81</v>
      </c>
    </row>
    <row r="851" spans="1:21" x14ac:dyDescent="0.25">
      <c r="A851" s="33">
        <v>851</v>
      </c>
      <c r="B851" s="24">
        <v>44210</v>
      </c>
      <c r="C851" t="s">
        <v>181</v>
      </c>
      <c r="D851" t="s">
        <v>41</v>
      </c>
      <c r="E851">
        <v>2000709662</v>
      </c>
      <c r="F851">
        <v>1306</v>
      </c>
      <c r="G851">
        <v>180</v>
      </c>
      <c r="H851">
        <v>0</v>
      </c>
      <c r="I851" t="s">
        <v>180</v>
      </c>
      <c r="J851" t="s">
        <v>698</v>
      </c>
      <c r="K851" t="s">
        <v>786</v>
      </c>
      <c r="O851">
        <v>0</v>
      </c>
      <c r="U851" t="s">
        <v>81</v>
      </c>
    </row>
    <row r="852" spans="1:21" x14ac:dyDescent="0.25">
      <c r="A852" s="33">
        <v>852</v>
      </c>
      <c r="B852" s="24">
        <v>44210</v>
      </c>
      <c r="C852" t="s">
        <v>181</v>
      </c>
      <c r="D852" t="s">
        <v>41</v>
      </c>
      <c r="E852">
        <v>2000708693</v>
      </c>
      <c r="F852">
        <v>3700</v>
      </c>
      <c r="G852">
        <v>100</v>
      </c>
      <c r="H852">
        <v>0</v>
      </c>
      <c r="I852" t="s">
        <v>642</v>
      </c>
      <c r="J852" t="s">
        <v>172</v>
      </c>
      <c r="K852" t="s">
        <v>173</v>
      </c>
      <c r="O852">
        <v>0</v>
      </c>
      <c r="U852" t="s">
        <v>81</v>
      </c>
    </row>
    <row r="853" spans="1:21" x14ac:dyDescent="0.25">
      <c r="A853" s="33">
        <v>853</v>
      </c>
      <c r="B853" s="24">
        <v>44210</v>
      </c>
      <c r="C853" t="s">
        <v>181</v>
      </c>
      <c r="D853" t="s">
        <v>41</v>
      </c>
      <c r="E853">
        <v>2000709015</v>
      </c>
      <c r="F853">
        <v>900</v>
      </c>
      <c r="G853">
        <v>80</v>
      </c>
      <c r="H853">
        <v>0</v>
      </c>
      <c r="I853" t="s">
        <v>642</v>
      </c>
      <c r="J853" t="s">
        <v>172</v>
      </c>
      <c r="K853" t="s">
        <v>724</v>
      </c>
      <c r="O853">
        <v>0</v>
      </c>
      <c r="U853" t="s">
        <v>81</v>
      </c>
    </row>
    <row r="854" spans="1:21" x14ac:dyDescent="0.25">
      <c r="A854" s="33">
        <v>854</v>
      </c>
      <c r="B854" s="24">
        <v>44210</v>
      </c>
      <c r="C854" t="s">
        <v>181</v>
      </c>
      <c r="D854" t="s">
        <v>41</v>
      </c>
      <c r="E854">
        <v>2000709738</v>
      </c>
      <c r="F854">
        <v>1480</v>
      </c>
      <c r="G854">
        <v>130</v>
      </c>
      <c r="H854">
        <v>0</v>
      </c>
      <c r="I854" t="s">
        <v>642</v>
      </c>
      <c r="J854" t="s">
        <v>645</v>
      </c>
      <c r="K854" t="s">
        <v>718</v>
      </c>
      <c r="O854">
        <v>0</v>
      </c>
      <c r="U854" t="s">
        <v>81</v>
      </c>
    </row>
    <row r="855" spans="1:21" x14ac:dyDescent="0.25">
      <c r="A855" s="33">
        <v>855</v>
      </c>
      <c r="B855" s="24">
        <v>44210</v>
      </c>
      <c r="C855" t="s">
        <v>181</v>
      </c>
      <c r="D855" t="s">
        <v>41</v>
      </c>
      <c r="E855">
        <v>2000709842</v>
      </c>
      <c r="F855">
        <v>1800</v>
      </c>
      <c r="G855">
        <v>180</v>
      </c>
      <c r="H855">
        <v>0</v>
      </c>
      <c r="I855" t="s">
        <v>642</v>
      </c>
      <c r="J855" t="s">
        <v>193</v>
      </c>
      <c r="K855" t="s">
        <v>647</v>
      </c>
      <c r="O855">
        <v>0</v>
      </c>
      <c r="U855" t="s">
        <v>81</v>
      </c>
    </row>
    <row r="856" spans="1:21" x14ac:dyDescent="0.25">
      <c r="A856" s="33">
        <v>856</v>
      </c>
      <c r="B856" s="24">
        <v>44210</v>
      </c>
      <c r="C856" t="s">
        <v>181</v>
      </c>
      <c r="D856" t="s">
        <v>41</v>
      </c>
      <c r="E856">
        <v>2000709808</v>
      </c>
      <c r="F856">
        <v>900</v>
      </c>
      <c r="G856">
        <v>80</v>
      </c>
      <c r="H856">
        <v>0</v>
      </c>
      <c r="I856" t="s">
        <v>642</v>
      </c>
      <c r="J856" t="s">
        <v>645</v>
      </c>
      <c r="K856" t="s">
        <v>721</v>
      </c>
      <c r="O856">
        <v>0</v>
      </c>
      <c r="U856" t="s">
        <v>81</v>
      </c>
    </row>
    <row r="857" spans="1:21" x14ac:dyDescent="0.25">
      <c r="A857" s="33">
        <v>857</v>
      </c>
      <c r="B857" s="24">
        <v>44210</v>
      </c>
      <c r="C857" t="s">
        <v>181</v>
      </c>
      <c r="D857" t="s">
        <v>41</v>
      </c>
      <c r="E857">
        <v>2000708959</v>
      </c>
      <c r="F857">
        <v>1132</v>
      </c>
      <c r="G857">
        <v>45</v>
      </c>
      <c r="H857">
        <v>0</v>
      </c>
      <c r="I857" t="s">
        <v>178</v>
      </c>
      <c r="J857" t="s">
        <v>170</v>
      </c>
      <c r="K857" t="s">
        <v>171</v>
      </c>
      <c r="O857">
        <v>0</v>
      </c>
      <c r="U857" t="s">
        <v>81</v>
      </c>
    </row>
    <row r="858" spans="1:21" x14ac:dyDescent="0.25">
      <c r="A858" s="33">
        <v>858</v>
      </c>
      <c r="B858" s="24">
        <v>44210</v>
      </c>
      <c r="C858" t="s">
        <v>181</v>
      </c>
      <c r="D858" t="s">
        <v>41</v>
      </c>
      <c r="E858">
        <v>2000708949</v>
      </c>
      <c r="F858">
        <v>1020</v>
      </c>
      <c r="G858">
        <v>90</v>
      </c>
      <c r="H858">
        <v>0</v>
      </c>
      <c r="I858" t="s">
        <v>178</v>
      </c>
      <c r="J858" t="s">
        <v>169</v>
      </c>
      <c r="K858" t="s">
        <v>637</v>
      </c>
      <c r="O858">
        <v>0</v>
      </c>
      <c r="U858" t="s">
        <v>81</v>
      </c>
    </row>
    <row r="859" spans="1:21" x14ac:dyDescent="0.25">
      <c r="A859" s="33">
        <v>859</v>
      </c>
      <c r="B859" s="24">
        <v>44210</v>
      </c>
      <c r="C859" t="s">
        <v>181</v>
      </c>
      <c r="D859" t="s">
        <v>41</v>
      </c>
      <c r="E859">
        <v>2000708371</v>
      </c>
      <c r="F859">
        <v>2100</v>
      </c>
      <c r="G859">
        <v>60</v>
      </c>
      <c r="H859">
        <v>0</v>
      </c>
      <c r="I859" t="s">
        <v>178</v>
      </c>
      <c r="J859" t="s">
        <v>169</v>
      </c>
      <c r="K859" t="s">
        <v>179</v>
      </c>
      <c r="O859">
        <v>0</v>
      </c>
      <c r="U859" t="s">
        <v>81</v>
      </c>
    </row>
    <row r="860" spans="1:21" x14ac:dyDescent="0.25">
      <c r="A860" s="33">
        <v>860</v>
      </c>
      <c r="B860" s="24">
        <v>44210</v>
      </c>
      <c r="C860" t="s">
        <v>181</v>
      </c>
      <c r="D860" t="s">
        <v>41</v>
      </c>
      <c r="E860">
        <v>2000710124</v>
      </c>
      <c r="F860">
        <v>240</v>
      </c>
      <c r="G860">
        <v>2</v>
      </c>
      <c r="H860">
        <v>0</v>
      </c>
      <c r="I860" t="s">
        <v>178</v>
      </c>
      <c r="J860" t="s">
        <v>174</v>
      </c>
      <c r="K860" t="s">
        <v>870</v>
      </c>
      <c r="O860">
        <v>0</v>
      </c>
      <c r="U860" t="s">
        <v>81</v>
      </c>
    </row>
    <row r="861" spans="1:21" x14ac:dyDescent="0.25">
      <c r="A861" s="33">
        <v>861</v>
      </c>
      <c r="B861" s="24">
        <v>44210</v>
      </c>
      <c r="C861" t="s">
        <v>181</v>
      </c>
      <c r="D861" t="s">
        <v>41</v>
      </c>
      <c r="E861">
        <v>2000688217</v>
      </c>
      <c r="F861">
        <v>840</v>
      </c>
      <c r="G861">
        <v>4</v>
      </c>
      <c r="H861">
        <v>0</v>
      </c>
      <c r="I861" t="s">
        <v>178</v>
      </c>
      <c r="J861" t="s">
        <v>174</v>
      </c>
      <c r="K861" t="s">
        <v>870</v>
      </c>
      <c r="O861">
        <v>0</v>
      </c>
      <c r="U861" t="s">
        <v>81</v>
      </c>
    </row>
    <row r="862" spans="1:21" x14ac:dyDescent="0.25">
      <c r="A862" s="33">
        <v>862</v>
      </c>
      <c r="B862" s="24">
        <v>44210</v>
      </c>
      <c r="C862" t="s">
        <v>181</v>
      </c>
      <c r="D862" t="s">
        <v>41</v>
      </c>
      <c r="E862">
        <v>2000710124</v>
      </c>
      <c r="F862">
        <v>240</v>
      </c>
      <c r="G862">
        <v>140</v>
      </c>
      <c r="H862">
        <v>0</v>
      </c>
      <c r="I862" t="s">
        <v>178</v>
      </c>
      <c r="J862" t="s">
        <v>174</v>
      </c>
      <c r="K862" t="s">
        <v>870</v>
      </c>
      <c r="O862">
        <v>0</v>
      </c>
      <c r="U862" t="s">
        <v>81</v>
      </c>
    </row>
    <row r="863" spans="1:21" x14ac:dyDescent="0.25">
      <c r="A863" s="33">
        <v>863</v>
      </c>
      <c r="B863" s="24">
        <v>44210</v>
      </c>
      <c r="C863" t="s">
        <v>181</v>
      </c>
      <c r="D863" t="s">
        <v>41</v>
      </c>
      <c r="E863">
        <v>2000708983</v>
      </c>
      <c r="F863">
        <v>280</v>
      </c>
      <c r="G863">
        <v>4</v>
      </c>
      <c r="H863">
        <v>0</v>
      </c>
      <c r="I863" t="s">
        <v>666</v>
      </c>
      <c r="J863" t="s">
        <v>174</v>
      </c>
      <c r="K863" t="s">
        <v>763</v>
      </c>
      <c r="O863">
        <v>0</v>
      </c>
      <c r="U863" t="s">
        <v>81</v>
      </c>
    </row>
    <row r="864" spans="1:21" x14ac:dyDescent="0.25">
      <c r="A864" s="33">
        <v>864</v>
      </c>
      <c r="B864" s="24">
        <v>44210</v>
      </c>
      <c r="C864" t="s">
        <v>181</v>
      </c>
      <c r="D864" t="s">
        <v>41</v>
      </c>
      <c r="E864">
        <v>2000710122</v>
      </c>
      <c r="F864">
        <v>640</v>
      </c>
      <c r="G864">
        <v>394</v>
      </c>
      <c r="H864">
        <v>0</v>
      </c>
      <c r="I864" t="s">
        <v>666</v>
      </c>
      <c r="J864" t="s">
        <v>174</v>
      </c>
      <c r="K864" t="s">
        <v>805</v>
      </c>
      <c r="O864">
        <v>0</v>
      </c>
      <c r="U864" t="s">
        <v>81</v>
      </c>
    </row>
    <row r="865" spans="1:21" x14ac:dyDescent="0.25">
      <c r="A865" s="33">
        <v>865</v>
      </c>
      <c r="B865" s="24">
        <v>44210</v>
      </c>
      <c r="C865" t="s">
        <v>181</v>
      </c>
      <c r="D865" t="s">
        <v>41</v>
      </c>
      <c r="E865">
        <v>2000708954</v>
      </c>
      <c r="F865">
        <v>3000</v>
      </c>
      <c r="G865">
        <v>120</v>
      </c>
      <c r="H865">
        <v>0</v>
      </c>
      <c r="I865" t="s">
        <v>666</v>
      </c>
      <c r="J865" t="s">
        <v>687</v>
      </c>
      <c r="K865" t="s">
        <v>688</v>
      </c>
      <c r="O865">
        <v>0</v>
      </c>
      <c r="U865" t="s">
        <v>81</v>
      </c>
    </row>
    <row r="866" spans="1:21" x14ac:dyDescent="0.25">
      <c r="A866" s="33">
        <v>866</v>
      </c>
      <c r="B866" s="24">
        <v>44210</v>
      </c>
      <c r="C866" t="s">
        <v>181</v>
      </c>
      <c r="D866" t="s">
        <v>41</v>
      </c>
      <c r="E866">
        <v>2000709659</v>
      </c>
      <c r="F866">
        <v>3000</v>
      </c>
      <c r="G866">
        <v>120</v>
      </c>
      <c r="H866">
        <v>0</v>
      </c>
      <c r="I866" t="s">
        <v>666</v>
      </c>
      <c r="J866" t="s">
        <v>687</v>
      </c>
      <c r="K866" t="s">
        <v>688</v>
      </c>
      <c r="O866">
        <v>0</v>
      </c>
      <c r="U866" t="s">
        <v>81</v>
      </c>
    </row>
    <row r="867" spans="1:21" x14ac:dyDescent="0.25">
      <c r="A867" s="33">
        <v>867</v>
      </c>
      <c r="B867" s="24">
        <v>44210</v>
      </c>
      <c r="C867" t="s">
        <v>181</v>
      </c>
      <c r="D867" t="s">
        <v>41</v>
      </c>
      <c r="E867">
        <v>2000708949</v>
      </c>
      <c r="F867">
        <v>1020</v>
      </c>
      <c r="G867">
        <v>195</v>
      </c>
      <c r="H867">
        <v>0</v>
      </c>
      <c r="I867" t="s">
        <v>194</v>
      </c>
      <c r="J867" t="s">
        <v>169</v>
      </c>
      <c r="K867" t="s">
        <v>637</v>
      </c>
      <c r="O867">
        <v>0</v>
      </c>
      <c r="U867" t="s">
        <v>81</v>
      </c>
    </row>
    <row r="868" spans="1:21" x14ac:dyDescent="0.25">
      <c r="A868" s="33">
        <v>868</v>
      </c>
      <c r="B868" s="24">
        <v>44210</v>
      </c>
      <c r="C868" t="s">
        <v>181</v>
      </c>
      <c r="D868" t="s">
        <v>41</v>
      </c>
      <c r="E868">
        <v>2000709587</v>
      </c>
      <c r="F868">
        <v>900</v>
      </c>
      <c r="G868">
        <v>80</v>
      </c>
      <c r="H868">
        <v>0</v>
      </c>
      <c r="I868" t="s">
        <v>194</v>
      </c>
      <c r="J868" t="s">
        <v>169</v>
      </c>
      <c r="K868" t="s">
        <v>179</v>
      </c>
      <c r="O868">
        <v>0</v>
      </c>
      <c r="U868" t="s">
        <v>81</v>
      </c>
    </row>
    <row r="869" spans="1:21" x14ac:dyDescent="0.25">
      <c r="A869" s="33">
        <v>869</v>
      </c>
      <c r="B869" s="24">
        <v>44210</v>
      </c>
      <c r="C869" t="s">
        <v>181</v>
      </c>
      <c r="D869" t="s">
        <v>41</v>
      </c>
      <c r="E869">
        <v>2000709622</v>
      </c>
      <c r="F869">
        <v>1309</v>
      </c>
      <c r="G869">
        <v>90</v>
      </c>
      <c r="H869">
        <v>0</v>
      </c>
      <c r="I869" t="s">
        <v>194</v>
      </c>
      <c r="J869" t="s">
        <v>169</v>
      </c>
      <c r="K869" t="s">
        <v>786</v>
      </c>
      <c r="O869">
        <v>0</v>
      </c>
      <c r="U869" t="s">
        <v>81</v>
      </c>
    </row>
    <row r="870" spans="1:21" x14ac:dyDescent="0.25">
      <c r="A870" s="33">
        <v>870</v>
      </c>
      <c r="B870" s="24">
        <v>44210</v>
      </c>
      <c r="C870" t="s">
        <v>181</v>
      </c>
      <c r="D870" t="s">
        <v>41</v>
      </c>
      <c r="E870">
        <v>2000707785</v>
      </c>
      <c r="F870">
        <v>630</v>
      </c>
      <c r="G870">
        <v>10</v>
      </c>
      <c r="H870">
        <v>0</v>
      </c>
      <c r="I870" t="s">
        <v>194</v>
      </c>
      <c r="J870" t="s">
        <v>203</v>
      </c>
      <c r="K870" t="s">
        <v>638</v>
      </c>
      <c r="O870">
        <v>0</v>
      </c>
      <c r="U870" t="s">
        <v>81</v>
      </c>
    </row>
    <row r="871" spans="1:21" x14ac:dyDescent="0.25">
      <c r="A871" s="33">
        <v>871</v>
      </c>
      <c r="B871" s="24">
        <v>44210</v>
      </c>
      <c r="C871" t="s">
        <v>181</v>
      </c>
      <c r="D871" t="s">
        <v>41</v>
      </c>
      <c r="E871">
        <v>2000710121</v>
      </c>
      <c r="F871">
        <v>510</v>
      </c>
      <c r="G871">
        <v>75</v>
      </c>
      <c r="H871">
        <v>0</v>
      </c>
      <c r="I871" t="s">
        <v>194</v>
      </c>
      <c r="J871" t="s">
        <v>203</v>
      </c>
      <c r="K871" t="s">
        <v>793</v>
      </c>
      <c r="O871">
        <v>0</v>
      </c>
      <c r="U871" t="s">
        <v>81</v>
      </c>
    </row>
    <row r="872" spans="1:21" x14ac:dyDescent="0.25">
      <c r="A872" s="33">
        <v>873</v>
      </c>
      <c r="B872" s="24">
        <v>44210</v>
      </c>
      <c r="C872" t="s">
        <v>181</v>
      </c>
      <c r="D872" t="s">
        <v>41</v>
      </c>
      <c r="E872">
        <v>2000707785</v>
      </c>
      <c r="F872">
        <v>630</v>
      </c>
      <c r="G872">
        <v>39</v>
      </c>
      <c r="H872">
        <v>0</v>
      </c>
      <c r="I872" t="s">
        <v>168</v>
      </c>
      <c r="J872" t="s">
        <v>203</v>
      </c>
      <c r="K872" t="s">
        <v>638</v>
      </c>
      <c r="O872">
        <v>0</v>
      </c>
      <c r="U872" t="s">
        <v>81</v>
      </c>
    </row>
    <row r="873" spans="1:21" x14ac:dyDescent="0.25">
      <c r="A873" s="33">
        <v>874</v>
      </c>
      <c r="B873" s="24">
        <v>44210</v>
      </c>
      <c r="C873" t="s">
        <v>181</v>
      </c>
      <c r="D873" t="s">
        <v>41</v>
      </c>
      <c r="E873">
        <v>2000709566</v>
      </c>
      <c r="F873">
        <v>816</v>
      </c>
      <c r="G873">
        <v>45</v>
      </c>
      <c r="H873">
        <v>0</v>
      </c>
      <c r="I873" t="s">
        <v>168</v>
      </c>
      <c r="J873" t="s">
        <v>170</v>
      </c>
      <c r="K873" t="s">
        <v>872</v>
      </c>
      <c r="O873">
        <v>0</v>
      </c>
      <c r="U873" t="s">
        <v>81</v>
      </c>
    </row>
    <row r="874" spans="1:21" x14ac:dyDescent="0.25">
      <c r="A874" s="33">
        <v>875</v>
      </c>
      <c r="B874" s="24">
        <v>44210</v>
      </c>
      <c r="C874" t="s">
        <v>181</v>
      </c>
      <c r="D874" t="s">
        <v>41</v>
      </c>
      <c r="E874">
        <v>2000708733</v>
      </c>
      <c r="F874">
        <v>300</v>
      </c>
      <c r="G874">
        <v>46</v>
      </c>
      <c r="H874">
        <v>0</v>
      </c>
      <c r="I874" t="s">
        <v>168</v>
      </c>
      <c r="J874" t="s">
        <v>745</v>
      </c>
      <c r="K874" t="s">
        <v>836</v>
      </c>
      <c r="O874">
        <v>0</v>
      </c>
      <c r="U874" t="s">
        <v>81</v>
      </c>
    </row>
    <row r="875" spans="1:21" x14ac:dyDescent="0.25">
      <c r="A875" s="33">
        <v>876</v>
      </c>
      <c r="B875" s="24">
        <v>44210</v>
      </c>
      <c r="C875" t="s">
        <v>181</v>
      </c>
      <c r="D875" t="s">
        <v>41</v>
      </c>
      <c r="E875">
        <v>2000709638</v>
      </c>
      <c r="F875">
        <v>900</v>
      </c>
      <c r="G875">
        <v>80</v>
      </c>
      <c r="H875">
        <v>0</v>
      </c>
      <c r="I875" t="s">
        <v>168</v>
      </c>
      <c r="J875" t="s">
        <v>169</v>
      </c>
      <c r="K875" t="s">
        <v>663</v>
      </c>
      <c r="O875">
        <v>0</v>
      </c>
      <c r="U875" t="s">
        <v>81</v>
      </c>
    </row>
    <row r="876" spans="1:21" x14ac:dyDescent="0.25">
      <c r="A876" s="33">
        <v>877</v>
      </c>
      <c r="B876" s="24">
        <v>44210</v>
      </c>
      <c r="C876" t="s">
        <v>181</v>
      </c>
      <c r="D876" t="s">
        <v>51</v>
      </c>
      <c r="E876">
        <v>2000709361</v>
      </c>
      <c r="F876">
        <v>600</v>
      </c>
      <c r="G876">
        <v>107</v>
      </c>
      <c r="H876">
        <v>0</v>
      </c>
      <c r="I876" t="s">
        <v>168</v>
      </c>
      <c r="J876" t="s">
        <v>669</v>
      </c>
      <c r="K876" t="s">
        <v>707</v>
      </c>
      <c r="O876">
        <v>0</v>
      </c>
      <c r="U876" t="s">
        <v>81</v>
      </c>
    </row>
    <row r="877" spans="1:21" x14ac:dyDescent="0.25">
      <c r="A877" s="33">
        <v>878</v>
      </c>
      <c r="B877" s="24">
        <v>44210</v>
      </c>
      <c r="C877" t="s">
        <v>181</v>
      </c>
      <c r="D877" t="s">
        <v>51</v>
      </c>
      <c r="E877">
        <v>2000709351</v>
      </c>
      <c r="F877">
        <v>190</v>
      </c>
      <c r="G877">
        <v>30</v>
      </c>
      <c r="H877">
        <v>0</v>
      </c>
      <c r="I877" t="s">
        <v>168</v>
      </c>
      <c r="J877" t="s">
        <v>669</v>
      </c>
      <c r="K877" t="s">
        <v>741</v>
      </c>
      <c r="O877">
        <v>0</v>
      </c>
      <c r="U877" t="s">
        <v>81</v>
      </c>
    </row>
    <row r="878" spans="1:21" x14ac:dyDescent="0.25">
      <c r="A878" s="33">
        <v>879</v>
      </c>
      <c r="B878" s="24">
        <v>44210</v>
      </c>
      <c r="C878" t="s">
        <v>181</v>
      </c>
      <c r="D878" t="s">
        <v>51</v>
      </c>
      <c r="E878">
        <v>2000709361</v>
      </c>
      <c r="F878">
        <v>600</v>
      </c>
      <c r="G878">
        <v>210</v>
      </c>
      <c r="H878">
        <v>0</v>
      </c>
      <c r="I878" t="s">
        <v>191</v>
      </c>
      <c r="J878" t="s">
        <v>669</v>
      </c>
      <c r="K878" t="s">
        <v>707</v>
      </c>
      <c r="O878">
        <v>0</v>
      </c>
      <c r="U878" t="s">
        <v>81</v>
      </c>
    </row>
    <row r="879" spans="1:21" x14ac:dyDescent="0.25">
      <c r="A879" s="33">
        <v>880</v>
      </c>
      <c r="B879" s="24">
        <v>44210</v>
      </c>
      <c r="C879" t="s">
        <v>181</v>
      </c>
      <c r="D879" t="s">
        <v>51</v>
      </c>
      <c r="E879">
        <v>2000708979</v>
      </c>
      <c r="F879">
        <v>800</v>
      </c>
      <c r="G879">
        <v>180</v>
      </c>
      <c r="H879">
        <v>0</v>
      </c>
      <c r="I879" t="s">
        <v>191</v>
      </c>
      <c r="J879" t="s">
        <v>667</v>
      </c>
      <c r="K879" t="s">
        <v>730</v>
      </c>
      <c r="O879">
        <v>0</v>
      </c>
      <c r="U879" t="s">
        <v>81</v>
      </c>
    </row>
    <row r="880" spans="1:21" x14ac:dyDescent="0.25">
      <c r="A880" s="33">
        <v>881</v>
      </c>
      <c r="B880" s="24">
        <v>44210</v>
      </c>
      <c r="C880" t="s">
        <v>181</v>
      </c>
      <c r="D880" t="s">
        <v>51</v>
      </c>
      <c r="E880">
        <v>2000709356</v>
      </c>
      <c r="F880">
        <v>800</v>
      </c>
      <c r="G880">
        <v>180</v>
      </c>
      <c r="H880">
        <v>0</v>
      </c>
      <c r="I880" t="s">
        <v>191</v>
      </c>
      <c r="J880" t="s">
        <v>667</v>
      </c>
      <c r="K880" t="s">
        <v>730</v>
      </c>
      <c r="O880">
        <v>0</v>
      </c>
      <c r="U880" t="s">
        <v>81</v>
      </c>
    </row>
    <row r="881" spans="1:21" x14ac:dyDescent="0.25">
      <c r="A881" s="33">
        <v>882</v>
      </c>
      <c r="B881" s="24">
        <v>44210</v>
      </c>
      <c r="C881" t="s">
        <v>181</v>
      </c>
      <c r="D881" t="s">
        <v>51</v>
      </c>
      <c r="E881">
        <v>2000708978</v>
      </c>
      <c r="F881">
        <v>160</v>
      </c>
      <c r="G881">
        <v>80</v>
      </c>
      <c r="H881">
        <v>0</v>
      </c>
      <c r="I881" t="s">
        <v>191</v>
      </c>
      <c r="J881" t="s">
        <v>873</v>
      </c>
      <c r="K881" t="s">
        <v>677</v>
      </c>
      <c r="O881">
        <v>0</v>
      </c>
      <c r="U881" t="s">
        <v>81</v>
      </c>
    </row>
    <row r="882" spans="1:21" x14ac:dyDescent="0.25">
      <c r="A882" s="33">
        <v>883</v>
      </c>
      <c r="B882" s="24">
        <v>44210</v>
      </c>
      <c r="C882" t="s">
        <v>181</v>
      </c>
      <c r="D882" t="s">
        <v>51</v>
      </c>
      <c r="E882">
        <v>2000708161</v>
      </c>
      <c r="F882">
        <v>55</v>
      </c>
      <c r="G882">
        <v>30</v>
      </c>
      <c r="H882">
        <v>0</v>
      </c>
      <c r="I882" t="s">
        <v>191</v>
      </c>
      <c r="J882" t="s">
        <v>676</v>
      </c>
      <c r="K882" t="s">
        <v>874</v>
      </c>
      <c r="O882">
        <v>0</v>
      </c>
      <c r="U882" t="s">
        <v>81</v>
      </c>
    </row>
    <row r="883" spans="1:21" x14ac:dyDescent="0.25">
      <c r="A883" s="33">
        <v>884</v>
      </c>
      <c r="B883" s="24">
        <v>44210</v>
      </c>
      <c r="C883" t="s">
        <v>181</v>
      </c>
      <c r="D883" t="s">
        <v>51</v>
      </c>
      <c r="E883">
        <v>2000709665</v>
      </c>
      <c r="F883">
        <v>650</v>
      </c>
      <c r="G883">
        <v>35</v>
      </c>
      <c r="H883">
        <v>0</v>
      </c>
      <c r="I883" t="s">
        <v>191</v>
      </c>
      <c r="J883" t="s">
        <v>667</v>
      </c>
      <c r="K883" t="s">
        <v>671</v>
      </c>
      <c r="O883">
        <v>0</v>
      </c>
      <c r="U883" t="s">
        <v>81</v>
      </c>
    </row>
    <row r="884" spans="1:21" x14ac:dyDescent="0.25">
      <c r="A884" s="33">
        <v>885</v>
      </c>
      <c r="B884" s="24">
        <v>44210</v>
      </c>
      <c r="C884" t="s">
        <v>181</v>
      </c>
      <c r="D884" t="s">
        <v>51</v>
      </c>
      <c r="E884">
        <v>2000708751</v>
      </c>
      <c r="F884">
        <v>70</v>
      </c>
      <c r="G884">
        <v>25</v>
      </c>
      <c r="H884">
        <v>0</v>
      </c>
      <c r="I884" t="s">
        <v>191</v>
      </c>
      <c r="J884" t="s">
        <v>779</v>
      </c>
      <c r="K884" t="s">
        <v>780</v>
      </c>
      <c r="O884">
        <v>0</v>
      </c>
      <c r="U884" t="s">
        <v>81</v>
      </c>
    </row>
    <row r="885" spans="1:21" x14ac:dyDescent="0.25">
      <c r="A885" s="33">
        <v>886</v>
      </c>
      <c r="B885" s="24">
        <v>44210</v>
      </c>
      <c r="C885" t="s">
        <v>181</v>
      </c>
      <c r="D885" t="s">
        <v>41</v>
      </c>
      <c r="E885">
        <v>2000709018</v>
      </c>
      <c r="F885">
        <v>150</v>
      </c>
      <c r="G885">
        <v>90</v>
      </c>
      <c r="H885">
        <v>0</v>
      </c>
      <c r="I885" t="s">
        <v>168</v>
      </c>
      <c r="J885" t="s">
        <v>828</v>
      </c>
      <c r="K885" t="s">
        <v>785</v>
      </c>
      <c r="N885" t="s">
        <v>871</v>
      </c>
      <c r="O885">
        <v>0</v>
      </c>
      <c r="U885" t="s">
        <v>81</v>
      </c>
    </row>
    <row r="886" spans="1:21" x14ac:dyDescent="0.25">
      <c r="A886" s="33">
        <v>887</v>
      </c>
      <c r="B886" s="24">
        <v>44211</v>
      </c>
      <c r="C886" t="s">
        <v>39</v>
      </c>
      <c r="D886" t="s">
        <v>41</v>
      </c>
      <c r="E886">
        <v>2000704810</v>
      </c>
      <c r="F886">
        <v>1350</v>
      </c>
      <c r="G886">
        <v>36</v>
      </c>
      <c r="H886">
        <v>0</v>
      </c>
      <c r="I886" t="s">
        <v>696</v>
      </c>
      <c r="J886" t="s">
        <v>698</v>
      </c>
      <c r="K886" t="s">
        <v>786</v>
      </c>
      <c r="O886">
        <v>0</v>
      </c>
      <c r="U886" t="s">
        <v>81</v>
      </c>
    </row>
    <row r="887" spans="1:21" x14ac:dyDescent="0.25">
      <c r="A887" s="33">
        <v>889</v>
      </c>
      <c r="B887" s="24">
        <v>44211</v>
      </c>
      <c r="C887" t="s">
        <v>39</v>
      </c>
      <c r="D887" t="s">
        <v>41</v>
      </c>
      <c r="E887">
        <v>2000709662</v>
      </c>
      <c r="F887">
        <v>1306</v>
      </c>
      <c r="G887">
        <v>495</v>
      </c>
      <c r="H887">
        <v>0</v>
      </c>
      <c r="I887" t="s">
        <v>696</v>
      </c>
      <c r="J887" t="s">
        <v>698</v>
      </c>
      <c r="K887" t="s">
        <v>786</v>
      </c>
      <c r="O887">
        <v>0</v>
      </c>
      <c r="U887" t="s">
        <v>81</v>
      </c>
    </row>
    <row r="888" spans="1:21" x14ac:dyDescent="0.25">
      <c r="A888" s="33">
        <v>890</v>
      </c>
      <c r="B888" s="24">
        <v>44211</v>
      </c>
      <c r="C888" t="s">
        <v>39</v>
      </c>
      <c r="D888" t="s">
        <v>41</v>
      </c>
      <c r="E888">
        <v>2000708959</v>
      </c>
      <c r="F888">
        <v>1132</v>
      </c>
      <c r="G888">
        <v>15</v>
      </c>
      <c r="H888">
        <v>0</v>
      </c>
      <c r="I888" t="s">
        <v>696</v>
      </c>
      <c r="J888" t="s">
        <v>170</v>
      </c>
      <c r="K888" t="s">
        <v>171</v>
      </c>
      <c r="O888">
        <v>0</v>
      </c>
      <c r="U888" t="s">
        <v>81</v>
      </c>
    </row>
    <row r="889" spans="1:21" x14ac:dyDescent="0.25">
      <c r="A889" s="33">
        <v>891</v>
      </c>
      <c r="B889" s="24">
        <v>44211</v>
      </c>
      <c r="C889" t="s">
        <v>39</v>
      </c>
      <c r="D889" t="s">
        <v>41</v>
      </c>
      <c r="E889">
        <v>2000695517</v>
      </c>
      <c r="F889">
        <v>1170</v>
      </c>
      <c r="G889">
        <v>5</v>
      </c>
      <c r="H889">
        <v>0</v>
      </c>
      <c r="I889" t="s">
        <v>696</v>
      </c>
      <c r="J889" t="s">
        <v>698</v>
      </c>
      <c r="K889" t="s">
        <v>786</v>
      </c>
      <c r="O889">
        <v>0</v>
      </c>
      <c r="U889" t="s">
        <v>81</v>
      </c>
    </row>
    <row r="890" spans="1:21" x14ac:dyDescent="0.25">
      <c r="A890" s="33">
        <v>892</v>
      </c>
      <c r="B890" s="24">
        <v>44211</v>
      </c>
      <c r="C890" t="s">
        <v>39</v>
      </c>
      <c r="D890" t="s">
        <v>41</v>
      </c>
      <c r="E890">
        <v>2000699212</v>
      </c>
      <c r="F890">
        <v>674</v>
      </c>
      <c r="G890">
        <v>3</v>
      </c>
      <c r="H890">
        <v>0</v>
      </c>
      <c r="I890" t="s">
        <v>696</v>
      </c>
      <c r="J890" t="s">
        <v>698</v>
      </c>
      <c r="K890" t="s">
        <v>786</v>
      </c>
      <c r="O890">
        <v>0</v>
      </c>
      <c r="U890" t="s">
        <v>81</v>
      </c>
    </row>
    <row r="891" spans="1:21" x14ac:dyDescent="0.25">
      <c r="A891" s="33">
        <v>893</v>
      </c>
      <c r="B891" s="24">
        <v>44211</v>
      </c>
      <c r="C891" t="s">
        <v>39</v>
      </c>
      <c r="D891" t="s">
        <v>41</v>
      </c>
      <c r="E891">
        <v>2000702157</v>
      </c>
      <c r="F891">
        <v>2070</v>
      </c>
      <c r="G891">
        <v>4</v>
      </c>
      <c r="H891">
        <v>0</v>
      </c>
      <c r="I891" t="s">
        <v>696</v>
      </c>
      <c r="J891" t="s">
        <v>698</v>
      </c>
      <c r="K891" t="s">
        <v>786</v>
      </c>
      <c r="O891">
        <v>0</v>
      </c>
      <c r="U891" t="s">
        <v>81</v>
      </c>
    </row>
    <row r="892" spans="1:21" x14ac:dyDescent="0.25">
      <c r="A892" s="33">
        <v>894</v>
      </c>
      <c r="B892" s="24">
        <v>44211</v>
      </c>
      <c r="C892" t="s">
        <v>39</v>
      </c>
      <c r="D892" t="s">
        <v>41</v>
      </c>
      <c r="E892">
        <v>2000710138</v>
      </c>
      <c r="F892">
        <v>404</v>
      </c>
      <c r="G892">
        <v>65</v>
      </c>
      <c r="H892">
        <v>0</v>
      </c>
      <c r="I892" t="s">
        <v>696</v>
      </c>
      <c r="J892" t="s">
        <v>174</v>
      </c>
      <c r="K892" t="s">
        <v>774</v>
      </c>
      <c r="O892">
        <v>0</v>
      </c>
      <c r="U892" t="s">
        <v>81</v>
      </c>
    </row>
    <row r="893" spans="1:21" x14ac:dyDescent="0.25">
      <c r="A893" s="33">
        <v>895</v>
      </c>
      <c r="B893" s="24">
        <v>44211</v>
      </c>
      <c r="C893" t="s">
        <v>39</v>
      </c>
      <c r="D893" t="s">
        <v>41</v>
      </c>
      <c r="E893">
        <v>2000708949</v>
      </c>
      <c r="F893">
        <v>1020</v>
      </c>
      <c r="G893">
        <v>75</v>
      </c>
      <c r="H893">
        <v>0</v>
      </c>
      <c r="I893" t="s">
        <v>759</v>
      </c>
      <c r="J893" t="s">
        <v>169</v>
      </c>
      <c r="K893" t="s">
        <v>637</v>
      </c>
      <c r="O893">
        <v>0</v>
      </c>
      <c r="U893" t="s">
        <v>81</v>
      </c>
    </row>
    <row r="894" spans="1:21" x14ac:dyDescent="0.25">
      <c r="A894" s="33">
        <v>896</v>
      </c>
      <c r="B894" s="24">
        <v>44211</v>
      </c>
      <c r="C894" t="s">
        <v>39</v>
      </c>
      <c r="D894" t="s">
        <v>41</v>
      </c>
      <c r="E894">
        <v>2000708455</v>
      </c>
      <c r="F894">
        <v>300</v>
      </c>
      <c r="G894">
        <v>50</v>
      </c>
      <c r="H894">
        <v>0</v>
      </c>
      <c r="I894" t="s">
        <v>198</v>
      </c>
      <c r="J894" t="s">
        <v>169</v>
      </c>
      <c r="K894" t="s">
        <v>847</v>
      </c>
      <c r="O894">
        <v>0</v>
      </c>
      <c r="U894" t="s">
        <v>81</v>
      </c>
    </row>
    <row r="895" spans="1:21" x14ac:dyDescent="0.25">
      <c r="A895" s="33">
        <v>897</v>
      </c>
      <c r="B895" s="24">
        <v>44211</v>
      </c>
      <c r="C895" t="s">
        <v>39</v>
      </c>
      <c r="D895" t="s">
        <v>41</v>
      </c>
      <c r="E895">
        <v>2000708949</v>
      </c>
      <c r="F895">
        <v>1020</v>
      </c>
      <c r="G895">
        <v>30</v>
      </c>
      <c r="H895">
        <v>0</v>
      </c>
      <c r="I895" t="s">
        <v>198</v>
      </c>
      <c r="J895" t="s">
        <v>169</v>
      </c>
      <c r="K895" t="s">
        <v>637</v>
      </c>
      <c r="O895">
        <v>0</v>
      </c>
      <c r="U895" t="s">
        <v>81</v>
      </c>
    </row>
    <row r="896" spans="1:21" x14ac:dyDescent="0.25">
      <c r="A896" s="33">
        <v>898</v>
      </c>
      <c r="B896" s="24">
        <v>44211</v>
      </c>
      <c r="C896" t="s">
        <v>39</v>
      </c>
      <c r="D896" t="s">
        <v>41</v>
      </c>
      <c r="E896">
        <v>2000708773</v>
      </c>
      <c r="F896">
        <v>990</v>
      </c>
      <c r="G896">
        <v>659</v>
      </c>
      <c r="H896">
        <v>0</v>
      </c>
      <c r="I896" t="s">
        <v>198</v>
      </c>
      <c r="J896" t="s">
        <v>745</v>
      </c>
      <c r="K896" t="s">
        <v>849</v>
      </c>
      <c r="O896">
        <v>0</v>
      </c>
      <c r="U896" t="s">
        <v>81</v>
      </c>
    </row>
    <row r="897" spans="1:21" x14ac:dyDescent="0.25">
      <c r="A897" s="33">
        <v>899</v>
      </c>
      <c r="B897" s="24">
        <v>44211</v>
      </c>
      <c r="C897" t="s">
        <v>39</v>
      </c>
      <c r="D897" t="s">
        <v>41</v>
      </c>
      <c r="E897">
        <v>2000708025</v>
      </c>
      <c r="F897">
        <v>2620</v>
      </c>
      <c r="G897">
        <v>240</v>
      </c>
      <c r="H897">
        <v>0</v>
      </c>
      <c r="I897" t="s">
        <v>198</v>
      </c>
      <c r="J897" t="s">
        <v>203</v>
      </c>
      <c r="K897" t="s">
        <v>640</v>
      </c>
      <c r="O897">
        <v>0</v>
      </c>
      <c r="U897" t="s">
        <v>81</v>
      </c>
    </row>
    <row r="898" spans="1:21" x14ac:dyDescent="0.25">
      <c r="A898" s="33">
        <v>900</v>
      </c>
      <c r="B898" s="24">
        <v>44211</v>
      </c>
      <c r="C898" t="s">
        <v>39</v>
      </c>
      <c r="D898" t="s">
        <v>41</v>
      </c>
      <c r="E898">
        <v>2000705499</v>
      </c>
      <c r="F898">
        <v>37</v>
      </c>
      <c r="G898">
        <v>24</v>
      </c>
      <c r="H898">
        <v>0</v>
      </c>
      <c r="I898" t="s">
        <v>198</v>
      </c>
      <c r="J898" t="s">
        <v>215</v>
      </c>
      <c r="K898" t="s">
        <v>838</v>
      </c>
      <c r="O898">
        <v>0</v>
      </c>
      <c r="U898" t="s">
        <v>81</v>
      </c>
    </row>
    <row r="899" spans="1:21" x14ac:dyDescent="0.25">
      <c r="A899" s="33">
        <v>901</v>
      </c>
      <c r="B899" s="24">
        <v>44211</v>
      </c>
      <c r="C899" t="s">
        <v>39</v>
      </c>
      <c r="D899" t="s">
        <v>41</v>
      </c>
      <c r="E899">
        <v>2000705498</v>
      </c>
      <c r="F899">
        <v>37</v>
      </c>
      <c r="G899">
        <v>29</v>
      </c>
      <c r="H899">
        <v>0</v>
      </c>
      <c r="I899" t="s">
        <v>198</v>
      </c>
      <c r="J899" t="s">
        <v>215</v>
      </c>
      <c r="K899" t="s">
        <v>838</v>
      </c>
      <c r="O899">
        <v>0</v>
      </c>
      <c r="U899" t="s">
        <v>81</v>
      </c>
    </row>
    <row r="900" spans="1:21" x14ac:dyDescent="0.25">
      <c r="A900" s="33">
        <v>902</v>
      </c>
      <c r="B900" s="24">
        <v>44211</v>
      </c>
      <c r="C900" t="s">
        <v>39</v>
      </c>
      <c r="D900" t="s">
        <v>41</v>
      </c>
      <c r="E900">
        <v>2000710517</v>
      </c>
      <c r="F900">
        <v>235</v>
      </c>
      <c r="G900">
        <v>50</v>
      </c>
      <c r="H900">
        <v>0</v>
      </c>
      <c r="I900" t="s">
        <v>198</v>
      </c>
      <c r="J900" t="s">
        <v>203</v>
      </c>
      <c r="K900" t="s">
        <v>639</v>
      </c>
      <c r="O900">
        <v>0</v>
      </c>
      <c r="U900" t="s">
        <v>81</v>
      </c>
    </row>
    <row r="901" spans="1:21" x14ac:dyDescent="0.25">
      <c r="A901" s="33">
        <v>903</v>
      </c>
      <c r="B901" s="24">
        <v>44211</v>
      </c>
      <c r="C901" t="s">
        <v>39</v>
      </c>
      <c r="D901" t="s">
        <v>41</v>
      </c>
      <c r="E901">
        <v>2000709662</v>
      </c>
      <c r="F901">
        <v>1306</v>
      </c>
      <c r="G901">
        <v>74</v>
      </c>
      <c r="I901" t="s">
        <v>693</v>
      </c>
      <c r="J901" t="s">
        <v>698</v>
      </c>
      <c r="K901" t="s">
        <v>786</v>
      </c>
      <c r="U901" t="s">
        <v>81</v>
      </c>
    </row>
    <row r="902" spans="1:21" x14ac:dyDescent="0.25">
      <c r="A902" s="33">
        <v>904</v>
      </c>
      <c r="B902" s="24">
        <v>44211</v>
      </c>
      <c r="C902" t="s">
        <v>39</v>
      </c>
      <c r="D902" t="s">
        <v>41</v>
      </c>
      <c r="E902">
        <v>2000709840</v>
      </c>
      <c r="F902">
        <v>1800</v>
      </c>
      <c r="G902">
        <v>160</v>
      </c>
      <c r="H902">
        <v>0</v>
      </c>
      <c r="I902" t="s">
        <v>680</v>
      </c>
      <c r="J902" t="s">
        <v>193</v>
      </c>
      <c r="K902" t="s">
        <v>650</v>
      </c>
      <c r="O902">
        <v>0</v>
      </c>
      <c r="U902" t="s">
        <v>81</v>
      </c>
    </row>
    <row r="903" spans="1:21" x14ac:dyDescent="0.25">
      <c r="A903" s="33">
        <v>905</v>
      </c>
      <c r="B903" s="24">
        <v>44211</v>
      </c>
      <c r="C903" t="s">
        <v>39</v>
      </c>
      <c r="D903" t="s">
        <v>41</v>
      </c>
      <c r="E903">
        <v>2000709841</v>
      </c>
      <c r="F903">
        <v>1800</v>
      </c>
      <c r="G903">
        <v>200</v>
      </c>
      <c r="H903">
        <v>0</v>
      </c>
      <c r="I903" t="s">
        <v>680</v>
      </c>
      <c r="J903" t="s">
        <v>193</v>
      </c>
      <c r="K903" t="s">
        <v>686</v>
      </c>
      <c r="O903">
        <v>0</v>
      </c>
      <c r="U903" t="s">
        <v>81</v>
      </c>
    </row>
    <row r="904" spans="1:21" x14ac:dyDescent="0.25">
      <c r="A904" s="33">
        <v>906</v>
      </c>
      <c r="B904" s="24">
        <v>44211</v>
      </c>
      <c r="C904" t="s">
        <v>39</v>
      </c>
      <c r="D904" t="s">
        <v>41</v>
      </c>
      <c r="E904">
        <v>2000709014</v>
      </c>
      <c r="F904">
        <v>900</v>
      </c>
      <c r="G904">
        <v>200</v>
      </c>
      <c r="H904">
        <v>0</v>
      </c>
      <c r="I904" t="s">
        <v>680</v>
      </c>
      <c r="J904" t="s">
        <v>172</v>
      </c>
      <c r="K904" t="s">
        <v>725</v>
      </c>
      <c r="O904">
        <v>0</v>
      </c>
      <c r="U904" t="s">
        <v>81</v>
      </c>
    </row>
    <row r="905" spans="1:21" x14ac:dyDescent="0.25">
      <c r="A905" s="33">
        <v>907</v>
      </c>
      <c r="B905" s="24">
        <v>44211</v>
      </c>
      <c r="C905" t="s">
        <v>39</v>
      </c>
      <c r="D905" t="s">
        <v>41</v>
      </c>
      <c r="E905">
        <v>2000708997</v>
      </c>
      <c r="F905">
        <v>1100</v>
      </c>
      <c r="G905">
        <v>150</v>
      </c>
      <c r="H905">
        <v>0</v>
      </c>
      <c r="I905" t="s">
        <v>680</v>
      </c>
      <c r="J905" t="s">
        <v>645</v>
      </c>
      <c r="K905" t="s">
        <v>736</v>
      </c>
      <c r="O905">
        <v>0</v>
      </c>
      <c r="U905" t="s">
        <v>81</v>
      </c>
    </row>
    <row r="906" spans="1:21" x14ac:dyDescent="0.25">
      <c r="A906" s="33">
        <v>908</v>
      </c>
      <c r="B906" s="24">
        <v>44211</v>
      </c>
      <c r="C906" t="s">
        <v>39</v>
      </c>
      <c r="D906" t="s">
        <v>41</v>
      </c>
      <c r="E906">
        <v>2000709677</v>
      </c>
      <c r="F906">
        <v>360</v>
      </c>
      <c r="G906">
        <v>100</v>
      </c>
      <c r="H906">
        <v>0</v>
      </c>
      <c r="I906" t="s">
        <v>680</v>
      </c>
      <c r="J906" t="s">
        <v>172</v>
      </c>
      <c r="K906" t="s">
        <v>725</v>
      </c>
      <c r="O906">
        <v>0</v>
      </c>
      <c r="U906" t="s">
        <v>81</v>
      </c>
    </row>
    <row r="907" spans="1:21" x14ac:dyDescent="0.25">
      <c r="A907" s="33">
        <v>909</v>
      </c>
      <c r="B907" s="24">
        <v>44211</v>
      </c>
      <c r="C907" t="s">
        <v>39</v>
      </c>
      <c r="D907" t="s">
        <v>41</v>
      </c>
      <c r="E907">
        <v>2000709838</v>
      </c>
      <c r="F907">
        <v>1800</v>
      </c>
      <c r="G907">
        <v>150</v>
      </c>
      <c r="H907">
        <v>0</v>
      </c>
      <c r="I907" t="s">
        <v>680</v>
      </c>
      <c r="J907" t="s">
        <v>193</v>
      </c>
      <c r="K907" t="s">
        <v>176</v>
      </c>
      <c r="O907">
        <v>0</v>
      </c>
      <c r="U907" t="s">
        <v>81</v>
      </c>
    </row>
    <row r="908" spans="1:21" x14ac:dyDescent="0.25">
      <c r="A908" s="33">
        <v>910</v>
      </c>
      <c r="B908" s="24">
        <v>44211</v>
      </c>
      <c r="C908" t="s">
        <v>39</v>
      </c>
      <c r="D908" t="s">
        <v>41</v>
      </c>
      <c r="E908">
        <v>2000710290</v>
      </c>
      <c r="F908">
        <v>4008</v>
      </c>
      <c r="G908">
        <v>200</v>
      </c>
      <c r="H908">
        <v>0</v>
      </c>
      <c r="I908" t="s">
        <v>680</v>
      </c>
      <c r="J908" t="s">
        <v>172</v>
      </c>
      <c r="K908" t="s">
        <v>729</v>
      </c>
      <c r="O908">
        <v>0</v>
      </c>
      <c r="U908" t="s">
        <v>81</v>
      </c>
    </row>
    <row r="909" spans="1:21" x14ac:dyDescent="0.25">
      <c r="A909" s="33">
        <v>911</v>
      </c>
      <c r="B909" s="24">
        <v>44211</v>
      </c>
      <c r="C909" t="s">
        <v>39</v>
      </c>
      <c r="D909" t="s">
        <v>41</v>
      </c>
      <c r="E909">
        <v>2000709634</v>
      </c>
      <c r="F909">
        <v>198</v>
      </c>
      <c r="G909">
        <v>198</v>
      </c>
      <c r="H909">
        <v>0</v>
      </c>
      <c r="I909" t="s">
        <v>680</v>
      </c>
      <c r="J909" t="s">
        <v>203</v>
      </c>
      <c r="K909" t="s">
        <v>875</v>
      </c>
      <c r="O909">
        <v>0</v>
      </c>
      <c r="U909" t="s">
        <v>81</v>
      </c>
    </row>
    <row r="910" spans="1:21" x14ac:dyDescent="0.25">
      <c r="A910" s="33">
        <v>912</v>
      </c>
      <c r="B910" s="24">
        <v>44211</v>
      </c>
      <c r="C910" t="s">
        <v>39</v>
      </c>
      <c r="D910" t="s">
        <v>41</v>
      </c>
      <c r="E910">
        <v>2000710205</v>
      </c>
      <c r="F910">
        <v>1000</v>
      </c>
      <c r="G910">
        <v>80</v>
      </c>
      <c r="H910">
        <v>0</v>
      </c>
      <c r="I910" t="s">
        <v>185</v>
      </c>
      <c r="J910" t="s">
        <v>645</v>
      </c>
      <c r="K910" t="s">
        <v>765</v>
      </c>
      <c r="O910">
        <v>0</v>
      </c>
      <c r="U910" t="s">
        <v>81</v>
      </c>
    </row>
    <row r="911" spans="1:21" x14ac:dyDescent="0.25">
      <c r="A911" s="33">
        <v>913</v>
      </c>
      <c r="B911" s="24">
        <v>44211</v>
      </c>
      <c r="C911" t="s">
        <v>39</v>
      </c>
      <c r="D911" t="s">
        <v>41</v>
      </c>
      <c r="E911">
        <v>2000709678</v>
      </c>
      <c r="F911">
        <v>360</v>
      </c>
      <c r="G911">
        <v>80</v>
      </c>
      <c r="H911">
        <v>0</v>
      </c>
      <c r="I911" t="s">
        <v>185</v>
      </c>
      <c r="J911" t="s">
        <v>172</v>
      </c>
      <c r="K911" t="s">
        <v>724</v>
      </c>
      <c r="O911">
        <v>0</v>
      </c>
      <c r="U911" t="s">
        <v>81</v>
      </c>
    </row>
    <row r="912" spans="1:21" x14ac:dyDescent="0.25">
      <c r="A912" s="33">
        <v>914</v>
      </c>
      <c r="B912" s="24">
        <v>44211</v>
      </c>
      <c r="C912" t="s">
        <v>39</v>
      </c>
      <c r="D912" t="s">
        <v>41</v>
      </c>
      <c r="E912">
        <v>2000710514</v>
      </c>
      <c r="F912">
        <v>410</v>
      </c>
      <c r="G912">
        <v>80</v>
      </c>
      <c r="H912">
        <v>0</v>
      </c>
      <c r="I912" t="s">
        <v>185</v>
      </c>
      <c r="J912" t="s">
        <v>202</v>
      </c>
      <c r="K912" t="s">
        <v>797</v>
      </c>
      <c r="O912">
        <v>0</v>
      </c>
      <c r="U912" t="s">
        <v>81</v>
      </c>
    </row>
    <row r="913" spans="1:21" x14ac:dyDescent="0.25">
      <c r="A913" s="33">
        <v>915</v>
      </c>
      <c r="B913" s="24">
        <v>44211</v>
      </c>
      <c r="C913" t="s">
        <v>39</v>
      </c>
      <c r="D913" t="s">
        <v>41</v>
      </c>
      <c r="E913">
        <v>2000709652</v>
      </c>
      <c r="F913">
        <v>1000</v>
      </c>
      <c r="G913">
        <v>90</v>
      </c>
      <c r="H913">
        <v>0</v>
      </c>
      <c r="I913" t="s">
        <v>185</v>
      </c>
      <c r="J913" t="s">
        <v>169</v>
      </c>
      <c r="K913" t="s">
        <v>179</v>
      </c>
      <c r="O913">
        <v>0</v>
      </c>
      <c r="U913" t="s">
        <v>81</v>
      </c>
    </row>
    <row r="914" spans="1:21" x14ac:dyDescent="0.25">
      <c r="A914" s="33">
        <v>916</v>
      </c>
      <c r="B914" s="24">
        <v>44211</v>
      </c>
      <c r="C914" t="s">
        <v>39</v>
      </c>
      <c r="D914" t="s">
        <v>41</v>
      </c>
      <c r="E914">
        <v>2000710217</v>
      </c>
      <c r="F914">
        <v>540</v>
      </c>
      <c r="G914">
        <v>20</v>
      </c>
      <c r="H914">
        <v>0</v>
      </c>
      <c r="I914" t="s">
        <v>185</v>
      </c>
      <c r="J914" t="s">
        <v>172</v>
      </c>
      <c r="K914" t="s">
        <v>692</v>
      </c>
      <c r="O914">
        <v>0</v>
      </c>
      <c r="U914" t="s">
        <v>81</v>
      </c>
    </row>
    <row r="915" spans="1:21" x14ac:dyDescent="0.25">
      <c r="A915" s="33">
        <v>917</v>
      </c>
      <c r="B915" s="24">
        <v>44211</v>
      </c>
      <c r="C915" t="s">
        <v>39</v>
      </c>
      <c r="D915" t="s">
        <v>41</v>
      </c>
      <c r="E915">
        <v>2000710121</v>
      </c>
      <c r="F915">
        <v>510</v>
      </c>
      <c r="G915">
        <v>430</v>
      </c>
      <c r="H915">
        <v>0</v>
      </c>
      <c r="I915" t="s">
        <v>184</v>
      </c>
      <c r="J915" t="s">
        <v>203</v>
      </c>
      <c r="K915" t="s">
        <v>793</v>
      </c>
      <c r="O915">
        <v>0</v>
      </c>
      <c r="U915" t="s">
        <v>81</v>
      </c>
    </row>
    <row r="916" spans="1:21" x14ac:dyDescent="0.25">
      <c r="A916" s="33">
        <v>918</v>
      </c>
      <c r="B916" s="24">
        <v>44211</v>
      </c>
      <c r="C916" t="s">
        <v>39</v>
      </c>
      <c r="D916" t="s">
        <v>41</v>
      </c>
      <c r="E916">
        <v>2000710517</v>
      </c>
      <c r="F916">
        <v>253</v>
      </c>
      <c r="G916">
        <v>60</v>
      </c>
      <c r="H916">
        <v>0</v>
      </c>
      <c r="I916" t="s">
        <v>184</v>
      </c>
      <c r="J916" t="s">
        <v>203</v>
      </c>
      <c r="K916" t="s">
        <v>639</v>
      </c>
      <c r="O916">
        <v>0</v>
      </c>
      <c r="U916" t="s">
        <v>81</v>
      </c>
    </row>
    <row r="917" spans="1:21" x14ac:dyDescent="0.25">
      <c r="A917" s="33">
        <v>919</v>
      </c>
      <c r="B917" s="24">
        <v>44211</v>
      </c>
      <c r="C917" t="s">
        <v>39</v>
      </c>
      <c r="D917" t="s">
        <v>41</v>
      </c>
      <c r="E917">
        <v>2000710214</v>
      </c>
      <c r="F917">
        <v>540</v>
      </c>
      <c r="G917">
        <v>100</v>
      </c>
      <c r="H917">
        <v>0</v>
      </c>
      <c r="I917" t="s">
        <v>789</v>
      </c>
      <c r="J917" t="s">
        <v>172</v>
      </c>
      <c r="K917" t="s">
        <v>725</v>
      </c>
      <c r="O917">
        <v>0</v>
      </c>
      <c r="U917" t="s">
        <v>81</v>
      </c>
    </row>
    <row r="918" spans="1:21" x14ac:dyDescent="0.25">
      <c r="A918" s="33">
        <v>920</v>
      </c>
      <c r="B918" s="24">
        <v>44211</v>
      </c>
      <c r="C918" t="s">
        <v>39</v>
      </c>
      <c r="D918" t="s">
        <v>41</v>
      </c>
      <c r="E918">
        <v>2000710869</v>
      </c>
      <c r="F918">
        <v>120</v>
      </c>
      <c r="G918">
        <v>120</v>
      </c>
      <c r="H918">
        <v>0</v>
      </c>
      <c r="I918" t="s">
        <v>789</v>
      </c>
      <c r="J918" t="s">
        <v>816</v>
      </c>
      <c r="K918" t="s">
        <v>876</v>
      </c>
      <c r="O918">
        <v>0</v>
      </c>
      <c r="U918" t="s">
        <v>81</v>
      </c>
    </row>
    <row r="919" spans="1:21" x14ac:dyDescent="0.25">
      <c r="A919" s="33">
        <v>921</v>
      </c>
      <c r="B919" s="24">
        <v>44211</v>
      </c>
      <c r="C919" t="s">
        <v>39</v>
      </c>
      <c r="D919" t="s">
        <v>41</v>
      </c>
      <c r="E919">
        <v>2000710785</v>
      </c>
      <c r="F919">
        <v>3630</v>
      </c>
      <c r="G919">
        <v>300</v>
      </c>
      <c r="H919">
        <v>0</v>
      </c>
      <c r="I919" t="s">
        <v>789</v>
      </c>
      <c r="J919" t="s">
        <v>200</v>
      </c>
      <c r="K919" t="s">
        <v>737</v>
      </c>
      <c r="O919">
        <v>0</v>
      </c>
      <c r="U919" t="s">
        <v>81</v>
      </c>
    </row>
    <row r="920" spans="1:21" x14ac:dyDescent="0.25">
      <c r="A920" s="33">
        <v>922</v>
      </c>
      <c r="B920" s="24">
        <v>44211</v>
      </c>
      <c r="C920" t="s">
        <v>39</v>
      </c>
      <c r="D920" t="s">
        <v>41</v>
      </c>
      <c r="E920">
        <v>2000708455</v>
      </c>
      <c r="F920">
        <v>300</v>
      </c>
      <c r="G920">
        <v>100</v>
      </c>
      <c r="H920">
        <v>0</v>
      </c>
      <c r="I920" t="s">
        <v>183</v>
      </c>
      <c r="J920" t="s">
        <v>169</v>
      </c>
      <c r="K920" t="s">
        <v>847</v>
      </c>
      <c r="O920">
        <v>0</v>
      </c>
      <c r="U920" t="s">
        <v>81</v>
      </c>
    </row>
    <row r="921" spans="1:21" x14ac:dyDescent="0.25">
      <c r="A921" s="33">
        <v>923</v>
      </c>
      <c r="B921" s="24">
        <v>44211</v>
      </c>
      <c r="C921" t="s">
        <v>39</v>
      </c>
      <c r="D921" t="s">
        <v>41</v>
      </c>
      <c r="E921">
        <v>2000709647</v>
      </c>
      <c r="F921">
        <v>120</v>
      </c>
      <c r="G921">
        <v>120</v>
      </c>
      <c r="H921">
        <v>0</v>
      </c>
      <c r="I921" t="s">
        <v>183</v>
      </c>
      <c r="J921" t="s">
        <v>174</v>
      </c>
      <c r="K921" t="s">
        <v>811</v>
      </c>
      <c r="O921">
        <v>0</v>
      </c>
      <c r="U921" t="s">
        <v>81</v>
      </c>
    </row>
    <row r="922" spans="1:21" x14ac:dyDescent="0.25">
      <c r="A922" s="33">
        <v>924</v>
      </c>
      <c r="B922" s="24">
        <v>44211</v>
      </c>
      <c r="C922" t="s">
        <v>39</v>
      </c>
      <c r="D922" t="s">
        <v>41</v>
      </c>
      <c r="E922">
        <v>2000710124</v>
      </c>
      <c r="F922">
        <v>240</v>
      </c>
      <c r="G922">
        <v>96</v>
      </c>
      <c r="H922">
        <v>0</v>
      </c>
      <c r="I922" t="s">
        <v>183</v>
      </c>
      <c r="J922" t="s">
        <v>174</v>
      </c>
      <c r="K922" t="s">
        <v>870</v>
      </c>
      <c r="O922">
        <v>0</v>
      </c>
      <c r="U922" t="s">
        <v>81</v>
      </c>
    </row>
    <row r="923" spans="1:21" x14ac:dyDescent="0.25">
      <c r="A923" s="33">
        <v>925</v>
      </c>
      <c r="B923" s="24">
        <v>44211</v>
      </c>
      <c r="C923" t="s">
        <v>39</v>
      </c>
      <c r="D923" t="s">
        <v>41</v>
      </c>
      <c r="E923">
        <v>2000708983</v>
      </c>
      <c r="F923">
        <v>280</v>
      </c>
      <c r="G923">
        <v>1</v>
      </c>
      <c r="H923">
        <v>0</v>
      </c>
      <c r="I923" t="s">
        <v>183</v>
      </c>
      <c r="J923" t="s">
        <v>174</v>
      </c>
      <c r="K923" t="s">
        <v>763</v>
      </c>
      <c r="O923">
        <v>0</v>
      </c>
      <c r="U923" t="s">
        <v>81</v>
      </c>
    </row>
    <row r="924" spans="1:21" x14ac:dyDescent="0.25">
      <c r="A924" s="33">
        <v>926</v>
      </c>
      <c r="B924" s="24">
        <v>44211</v>
      </c>
      <c r="C924" t="s">
        <v>39</v>
      </c>
      <c r="D924" t="s">
        <v>41</v>
      </c>
      <c r="E924">
        <v>2000710123</v>
      </c>
      <c r="F924">
        <v>200</v>
      </c>
      <c r="G924">
        <v>199</v>
      </c>
      <c r="H924">
        <v>0</v>
      </c>
      <c r="I924" t="s">
        <v>183</v>
      </c>
      <c r="J924" t="s">
        <v>174</v>
      </c>
      <c r="K924" t="s">
        <v>877</v>
      </c>
      <c r="O924">
        <v>0</v>
      </c>
      <c r="U924" t="s">
        <v>81</v>
      </c>
    </row>
    <row r="925" spans="1:21" x14ac:dyDescent="0.25">
      <c r="A925" s="33">
        <v>927</v>
      </c>
      <c r="B925" s="24">
        <v>44211</v>
      </c>
      <c r="C925" t="s">
        <v>39</v>
      </c>
      <c r="D925" t="s">
        <v>41</v>
      </c>
      <c r="E925">
        <v>2000710140</v>
      </c>
      <c r="F925">
        <v>520</v>
      </c>
      <c r="G925">
        <v>240</v>
      </c>
      <c r="H925">
        <v>0</v>
      </c>
      <c r="I925" t="s">
        <v>183</v>
      </c>
      <c r="J925" t="s">
        <v>174</v>
      </c>
      <c r="K925" t="s">
        <v>805</v>
      </c>
      <c r="O925">
        <v>0</v>
      </c>
      <c r="U925" t="s">
        <v>81</v>
      </c>
    </row>
    <row r="926" spans="1:21" x14ac:dyDescent="0.25">
      <c r="A926" s="33">
        <v>928</v>
      </c>
      <c r="B926" s="24">
        <v>44211</v>
      </c>
      <c r="C926" t="s">
        <v>39</v>
      </c>
      <c r="D926" t="s">
        <v>41</v>
      </c>
      <c r="E926">
        <v>2000708949</v>
      </c>
      <c r="F926">
        <v>1020</v>
      </c>
      <c r="G926">
        <v>100</v>
      </c>
      <c r="H926">
        <v>0</v>
      </c>
      <c r="I926" t="s">
        <v>183</v>
      </c>
      <c r="J926" t="s">
        <v>169</v>
      </c>
      <c r="K926" t="s">
        <v>637</v>
      </c>
      <c r="O926">
        <v>0</v>
      </c>
      <c r="U926" t="s">
        <v>81</v>
      </c>
    </row>
    <row r="927" spans="1:21" x14ac:dyDescent="0.25">
      <c r="A927" s="33">
        <v>929</v>
      </c>
      <c r="B927" s="24">
        <v>44211</v>
      </c>
      <c r="C927" t="s">
        <v>39</v>
      </c>
      <c r="D927" t="s">
        <v>51</v>
      </c>
      <c r="E927">
        <v>2000709354</v>
      </c>
      <c r="F927">
        <v>170</v>
      </c>
      <c r="G927">
        <v>140</v>
      </c>
      <c r="H927">
        <v>0</v>
      </c>
      <c r="I927" t="s">
        <v>693</v>
      </c>
      <c r="J927" t="s">
        <v>669</v>
      </c>
      <c r="K927" t="s">
        <v>670</v>
      </c>
      <c r="O927">
        <v>0</v>
      </c>
      <c r="U927" t="s">
        <v>81</v>
      </c>
    </row>
    <row r="928" spans="1:21" x14ac:dyDescent="0.25">
      <c r="A928" s="33">
        <v>930</v>
      </c>
      <c r="B928" s="24">
        <v>44211</v>
      </c>
      <c r="C928" t="s">
        <v>39</v>
      </c>
      <c r="D928" t="s">
        <v>51</v>
      </c>
      <c r="E928">
        <v>2000709361</v>
      </c>
      <c r="F928">
        <v>600</v>
      </c>
      <c r="G928">
        <v>140</v>
      </c>
      <c r="H928">
        <v>0</v>
      </c>
      <c r="I928" t="s">
        <v>706</v>
      </c>
      <c r="J928" t="s">
        <v>669</v>
      </c>
      <c r="K928" t="s">
        <v>707</v>
      </c>
      <c r="O928">
        <v>0</v>
      </c>
      <c r="U928" t="s">
        <v>81</v>
      </c>
    </row>
    <row r="929" spans="1:21" x14ac:dyDescent="0.25">
      <c r="A929" s="33">
        <v>931</v>
      </c>
      <c r="B929" s="24">
        <v>44211</v>
      </c>
      <c r="C929" t="s">
        <v>39</v>
      </c>
      <c r="D929" t="s">
        <v>51</v>
      </c>
      <c r="E929">
        <v>2000709354</v>
      </c>
      <c r="F929">
        <v>170</v>
      </c>
      <c r="G929">
        <v>30</v>
      </c>
      <c r="H929">
        <v>0</v>
      </c>
      <c r="I929" t="s">
        <v>706</v>
      </c>
      <c r="J929" t="s">
        <v>669</v>
      </c>
      <c r="K929" t="s">
        <v>878</v>
      </c>
      <c r="O929">
        <v>0</v>
      </c>
      <c r="U929" t="s">
        <v>81</v>
      </c>
    </row>
    <row r="930" spans="1:21" x14ac:dyDescent="0.25">
      <c r="A930" s="33">
        <v>932</v>
      </c>
      <c r="B930" s="24">
        <v>44211</v>
      </c>
      <c r="C930" t="s">
        <v>39</v>
      </c>
      <c r="D930" t="s">
        <v>51</v>
      </c>
      <c r="E930">
        <v>2000708978</v>
      </c>
      <c r="F930">
        <v>160</v>
      </c>
      <c r="G930">
        <v>14</v>
      </c>
      <c r="H930">
        <v>0</v>
      </c>
      <c r="I930" t="s">
        <v>706</v>
      </c>
      <c r="J930" t="s">
        <v>676</v>
      </c>
      <c r="K930" t="s">
        <v>677</v>
      </c>
      <c r="O930">
        <v>0</v>
      </c>
      <c r="U930" t="s">
        <v>81</v>
      </c>
    </row>
    <row r="931" spans="1:21" x14ac:dyDescent="0.25">
      <c r="A931" s="33">
        <v>933</v>
      </c>
      <c r="B931" s="24">
        <v>44211</v>
      </c>
      <c r="C931" t="s">
        <v>39</v>
      </c>
      <c r="D931" t="s">
        <v>51</v>
      </c>
      <c r="E931">
        <v>2000708154</v>
      </c>
      <c r="F931">
        <v>220</v>
      </c>
      <c r="G931">
        <v>19</v>
      </c>
      <c r="H931">
        <v>0</v>
      </c>
      <c r="I931" t="s">
        <v>706</v>
      </c>
      <c r="J931" t="s">
        <v>779</v>
      </c>
      <c r="K931" t="s">
        <v>809</v>
      </c>
      <c r="O931">
        <v>0</v>
      </c>
      <c r="U931" t="s">
        <v>81</v>
      </c>
    </row>
    <row r="932" spans="1:21" x14ac:dyDescent="0.25">
      <c r="A932" s="33">
        <v>934</v>
      </c>
      <c r="B932" s="24">
        <v>44211</v>
      </c>
      <c r="C932" t="s">
        <v>39</v>
      </c>
      <c r="D932" t="s">
        <v>51</v>
      </c>
      <c r="E932">
        <v>2000708751</v>
      </c>
      <c r="F932">
        <v>70</v>
      </c>
      <c r="G932">
        <v>45</v>
      </c>
      <c r="H932">
        <v>0</v>
      </c>
      <c r="I932" t="s">
        <v>706</v>
      </c>
      <c r="J932" t="s">
        <v>779</v>
      </c>
      <c r="K932" t="s">
        <v>780</v>
      </c>
      <c r="O932">
        <v>0</v>
      </c>
      <c r="U932" t="s">
        <v>81</v>
      </c>
    </row>
    <row r="933" spans="1:21" x14ac:dyDescent="0.25">
      <c r="A933" s="33">
        <v>935</v>
      </c>
      <c r="B933" s="24">
        <v>44211</v>
      </c>
      <c r="C933" t="s">
        <v>39</v>
      </c>
      <c r="D933" t="s">
        <v>51</v>
      </c>
      <c r="E933">
        <v>2000710778</v>
      </c>
      <c r="F933">
        <v>70</v>
      </c>
      <c r="G933">
        <v>3</v>
      </c>
      <c r="H933">
        <v>0</v>
      </c>
      <c r="I933" t="s">
        <v>706</v>
      </c>
      <c r="J933" t="s">
        <v>779</v>
      </c>
      <c r="K933" t="s">
        <v>809</v>
      </c>
      <c r="O933">
        <v>0</v>
      </c>
      <c r="U933" t="s">
        <v>81</v>
      </c>
    </row>
    <row r="934" spans="1:21" x14ac:dyDescent="0.25">
      <c r="A934" s="33">
        <v>936</v>
      </c>
      <c r="B934" s="24">
        <v>44211</v>
      </c>
      <c r="C934" t="s">
        <v>39</v>
      </c>
      <c r="D934" t="s">
        <v>51</v>
      </c>
      <c r="E934">
        <v>2000709357</v>
      </c>
      <c r="F934">
        <v>450</v>
      </c>
      <c r="G934">
        <v>270</v>
      </c>
      <c r="H934">
        <v>0</v>
      </c>
      <c r="I934" t="s">
        <v>706</v>
      </c>
      <c r="J934" t="s">
        <v>770</v>
      </c>
      <c r="K934" t="s">
        <v>771</v>
      </c>
      <c r="O934">
        <v>0</v>
      </c>
      <c r="U934" t="s">
        <v>81</v>
      </c>
    </row>
    <row r="935" spans="1:21" x14ac:dyDescent="0.25">
      <c r="A935" s="33">
        <v>937</v>
      </c>
      <c r="B935" s="24">
        <v>44211</v>
      </c>
      <c r="C935" t="s">
        <v>39</v>
      </c>
      <c r="D935" t="s">
        <v>51</v>
      </c>
      <c r="E935">
        <v>2000709665</v>
      </c>
      <c r="F935">
        <v>650</v>
      </c>
      <c r="G935">
        <v>105</v>
      </c>
      <c r="H935">
        <v>0</v>
      </c>
      <c r="I935" t="s">
        <v>706</v>
      </c>
      <c r="J935" t="s">
        <v>667</v>
      </c>
      <c r="K935" t="s">
        <v>671</v>
      </c>
      <c r="O935">
        <v>0</v>
      </c>
      <c r="U935" t="s">
        <v>81</v>
      </c>
    </row>
    <row r="936" spans="1:21" x14ac:dyDescent="0.25">
      <c r="A936" s="33">
        <v>938</v>
      </c>
      <c r="B936" s="24">
        <v>44211</v>
      </c>
      <c r="C936" t="s">
        <v>39</v>
      </c>
      <c r="D936" t="s">
        <v>51</v>
      </c>
      <c r="E936">
        <v>2000709539</v>
      </c>
      <c r="F936">
        <v>500</v>
      </c>
      <c r="G936">
        <v>130</v>
      </c>
      <c r="H936">
        <v>0</v>
      </c>
      <c r="I936" t="s">
        <v>706</v>
      </c>
      <c r="J936" t="s">
        <v>673</v>
      </c>
      <c r="K936" t="s">
        <v>674</v>
      </c>
      <c r="O936">
        <v>0</v>
      </c>
      <c r="U936" t="s">
        <v>81</v>
      </c>
    </row>
    <row r="937" spans="1:21" x14ac:dyDescent="0.25">
      <c r="A937" s="33">
        <v>939</v>
      </c>
      <c r="B937" s="24">
        <v>44211</v>
      </c>
      <c r="C937" t="s">
        <v>39</v>
      </c>
      <c r="D937" t="s">
        <v>51</v>
      </c>
      <c r="E937">
        <v>2000709541</v>
      </c>
      <c r="F937">
        <v>350</v>
      </c>
      <c r="G937">
        <v>110</v>
      </c>
      <c r="H937">
        <v>0</v>
      </c>
      <c r="I937" t="s">
        <v>706</v>
      </c>
      <c r="J937" t="s">
        <v>673</v>
      </c>
      <c r="K937" t="s">
        <v>760</v>
      </c>
      <c r="O937">
        <v>0</v>
      </c>
      <c r="U937" t="s">
        <v>81</v>
      </c>
    </row>
    <row r="938" spans="1:21" x14ac:dyDescent="0.25">
      <c r="A938" s="33">
        <v>940</v>
      </c>
      <c r="B938" s="24">
        <v>44211</v>
      </c>
      <c r="C938" t="s">
        <v>39</v>
      </c>
      <c r="D938" t="s">
        <v>51</v>
      </c>
      <c r="E938">
        <v>2000709540</v>
      </c>
      <c r="F938">
        <v>700</v>
      </c>
      <c r="G938">
        <v>100</v>
      </c>
      <c r="H938">
        <v>0</v>
      </c>
      <c r="I938" t="s">
        <v>706</v>
      </c>
      <c r="J938" t="s">
        <v>673</v>
      </c>
      <c r="K938" t="s">
        <v>672</v>
      </c>
      <c r="O938">
        <v>0</v>
      </c>
      <c r="U938" t="s">
        <v>81</v>
      </c>
    </row>
    <row r="939" spans="1:21" x14ac:dyDescent="0.25">
      <c r="A939" s="33">
        <v>941</v>
      </c>
      <c r="B939" s="24">
        <v>44211</v>
      </c>
      <c r="C939" t="s">
        <v>39</v>
      </c>
      <c r="D939" t="s">
        <v>51</v>
      </c>
      <c r="E939">
        <v>2000709547</v>
      </c>
      <c r="F939">
        <v>528</v>
      </c>
      <c r="G939">
        <v>96</v>
      </c>
      <c r="H939">
        <v>0</v>
      </c>
      <c r="I939" t="s">
        <v>706</v>
      </c>
      <c r="J939" t="s">
        <v>709</v>
      </c>
      <c r="K939" t="s">
        <v>710</v>
      </c>
      <c r="O939">
        <v>0</v>
      </c>
      <c r="U939" t="s">
        <v>81</v>
      </c>
    </row>
    <row r="940" spans="1:21" x14ac:dyDescent="0.25">
      <c r="A940" s="33">
        <v>942</v>
      </c>
      <c r="B940" s="24">
        <v>44211</v>
      </c>
      <c r="C940" t="s">
        <v>39</v>
      </c>
      <c r="D940" t="s">
        <v>41</v>
      </c>
      <c r="E940">
        <v>2000703703</v>
      </c>
      <c r="F940">
        <v>810</v>
      </c>
      <c r="G940">
        <v>1</v>
      </c>
      <c r="H940">
        <v>0</v>
      </c>
      <c r="I940" t="s">
        <v>696</v>
      </c>
      <c r="J940" t="s">
        <v>698</v>
      </c>
      <c r="K940" t="s">
        <v>786</v>
      </c>
      <c r="O940">
        <v>0</v>
      </c>
      <c r="U940" t="s">
        <v>81</v>
      </c>
    </row>
    <row r="941" spans="1:21" x14ac:dyDescent="0.25">
      <c r="A941" s="33">
        <v>943</v>
      </c>
      <c r="B941" s="24">
        <v>44211</v>
      </c>
      <c r="C941" t="s">
        <v>181</v>
      </c>
      <c r="D941" t="s">
        <v>41</v>
      </c>
      <c r="E941">
        <v>2000710138</v>
      </c>
      <c r="F941">
        <v>404</v>
      </c>
      <c r="G941">
        <v>152</v>
      </c>
      <c r="H941">
        <v>0</v>
      </c>
      <c r="I941" t="s">
        <v>661</v>
      </c>
      <c r="J941" t="s">
        <v>174</v>
      </c>
      <c r="K941" t="s">
        <v>774</v>
      </c>
      <c r="O941">
        <v>0</v>
      </c>
      <c r="U941" t="s">
        <v>81</v>
      </c>
    </row>
    <row r="942" spans="1:21" x14ac:dyDescent="0.25">
      <c r="A942" s="33">
        <v>944</v>
      </c>
      <c r="B942" s="24">
        <v>44211</v>
      </c>
      <c r="C942" t="s">
        <v>181</v>
      </c>
      <c r="D942" t="s">
        <v>41</v>
      </c>
      <c r="E942">
        <v>2000705984</v>
      </c>
      <c r="F942">
        <v>2120</v>
      </c>
      <c r="G942">
        <v>135</v>
      </c>
      <c r="H942">
        <v>0</v>
      </c>
      <c r="I942" t="s">
        <v>661</v>
      </c>
      <c r="J942" t="s">
        <v>174</v>
      </c>
      <c r="K942" t="s">
        <v>774</v>
      </c>
      <c r="O942">
        <v>0</v>
      </c>
      <c r="U942" t="s">
        <v>81</v>
      </c>
    </row>
    <row r="943" spans="1:21" x14ac:dyDescent="0.25">
      <c r="A943" s="33">
        <v>945</v>
      </c>
      <c r="B943" s="24">
        <v>44211</v>
      </c>
      <c r="C943" t="s">
        <v>181</v>
      </c>
      <c r="D943" t="s">
        <v>41</v>
      </c>
      <c r="E943">
        <v>2000708959</v>
      </c>
      <c r="F943">
        <v>1132</v>
      </c>
      <c r="G943">
        <v>48</v>
      </c>
      <c r="H943">
        <v>0</v>
      </c>
      <c r="I943" t="s">
        <v>661</v>
      </c>
      <c r="J943" t="s">
        <v>170</v>
      </c>
      <c r="K943" t="s">
        <v>171</v>
      </c>
      <c r="O943">
        <v>0</v>
      </c>
      <c r="U943" t="s">
        <v>81</v>
      </c>
    </row>
    <row r="944" spans="1:21" x14ac:dyDescent="0.25">
      <c r="A944" s="33">
        <v>946</v>
      </c>
      <c r="B944" s="24">
        <v>44211</v>
      </c>
      <c r="C944" t="s">
        <v>181</v>
      </c>
      <c r="D944" t="s">
        <v>41</v>
      </c>
      <c r="E944">
        <v>2000704810</v>
      </c>
      <c r="F944">
        <v>1350</v>
      </c>
      <c r="G944">
        <v>68</v>
      </c>
      <c r="H944">
        <v>0</v>
      </c>
      <c r="I944" t="s">
        <v>661</v>
      </c>
      <c r="J944" t="s">
        <v>698</v>
      </c>
      <c r="K944" t="s">
        <v>786</v>
      </c>
      <c r="O944">
        <v>0</v>
      </c>
      <c r="U944" t="s">
        <v>81</v>
      </c>
    </row>
    <row r="945" spans="1:21" x14ac:dyDescent="0.25">
      <c r="A945" s="33">
        <v>947</v>
      </c>
      <c r="B945" s="24">
        <v>44211</v>
      </c>
      <c r="C945" t="s">
        <v>181</v>
      </c>
      <c r="D945" t="s">
        <v>41</v>
      </c>
      <c r="E945">
        <v>2000710139</v>
      </c>
      <c r="F945">
        <v>994</v>
      </c>
      <c r="G945">
        <v>524</v>
      </c>
      <c r="H945">
        <v>0</v>
      </c>
      <c r="I945" t="s">
        <v>661</v>
      </c>
      <c r="J945" t="s">
        <v>698</v>
      </c>
      <c r="K945" t="s">
        <v>786</v>
      </c>
      <c r="O945">
        <v>0</v>
      </c>
      <c r="U945" t="s">
        <v>81</v>
      </c>
    </row>
    <row r="946" spans="1:21" x14ac:dyDescent="0.25">
      <c r="A946" s="33">
        <v>948</v>
      </c>
      <c r="B946" s="24">
        <v>44211</v>
      </c>
      <c r="C946" t="s">
        <v>181</v>
      </c>
      <c r="D946" t="s">
        <v>41</v>
      </c>
      <c r="E946">
        <v>2000710140</v>
      </c>
      <c r="F946">
        <v>520</v>
      </c>
      <c r="G946">
        <v>276</v>
      </c>
      <c r="H946">
        <v>0</v>
      </c>
      <c r="I946" t="s">
        <v>666</v>
      </c>
      <c r="J946" t="s">
        <v>174</v>
      </c>
      <c r="K946" t="s">
        <v>805</v>
      </c>
      <c r="O946">
        <v>0</v>
      </c>
      <c r="U946" t="s">
        <v>81</v>
      </c>
    </row>
    <row r="947" spans="1:21" x14ac:dyDescent="0.25">
      <c r="A947" s="33">
        <v>949</v>
      </c>
      <c r="B947" s="24">
        <v>44211</v>
      </c>
      <c r="C947" t="s">
        <v>181</v>
      </c>
      <c r="D947" t="s">
        <v>41</v>
      </c>
      <c r="E947">
        <v>2000710141</v>
      </c>
      <c r="F947">
        <v>400</v>
      </c>
      <c r="G947">
        <v>160</v>
      </c>
      <c r="H947">
        <v>0</v>
      </c>
      <c r="I947" t="s">
        <v>666</v>
      </c>
      <c r="J947" t="s">
        <v>174</v>
      </c>
      <c r="K947" t="s">
        <v>695</v>
      </c>
      <c r="O947">
        <v>0</v>
      </c>
      <c r="U947" t="s">
        <v>81</v>
      </c>
    </row>
    <row r="948" spans="1:21" x14ac:dyDescent="0.25">
      <c r="A948" s="33">
        <v>950</v>
      </c>
      <c r="B948" s="24">
        <v>44211</v>
      </c>
      <c r="C948" t="s">
        <v>181</v>
      </c>
      <c r="D948" t="s">
        <v>41</v>
      </c>
      <c r="E948">
        <v>2000709560</v>
      </c>
      <c r="F948">
        <v>3000</v>
      </c>
      <c r="G948">
        <v>120</v>
      </c>
      <c r="H948">
        <v>0</v>
      </c>
      <c r="I948" t="s">
        <v>666</v>
      </c>
      <c r="J948" t="s">
        <v>687</v>
      </c>
      <c r="K948" t="s">
        <v>688</v>
      </c>
      <c r="O948">
        <v>0</v>
      </c>
      <c r="U948" t="s">
        <v>81</v>
      </c>
    </row>
    <row r="949" spans="1:21" x14ac:dyDescent="0.25">
      <c r="A949" s="33">
        <v>951</v>
      </c>
      <c r="B949" s="24">
        <v>44211</v>
      </c>
      <c r="C949" t="s">
        <v>181</v>
      </c>
      <c r="D949" t="s">
        <v>41</v>
      </c>
      <c r="E949">
        <v>2000710513</v>
      </c>
      <c r="F949">
        <v>410</v>
      </c>
      <c r="G949">
        <v>80</v>
      </c>
      <c r="H949">
        <v>0</v>
      </c>
      <c r="I949" t="s">
        <v>666</v>
      </c>
      <c r="J949" t="s">
        <v>202</v>
      </c>
      <c r="K949" t="s">
        <v>832</v>
      </c>
      <c r="O949">
        <v>0</v>
      </c>
      <c r="U949" t="s">
        <v>81</v>
      </c>
    </row>
    <row r="950" spans="1:21" x14ac:dyDescent="0.25">
      <c r="A950" s="33">
        <v>952</v>
      </c>
      <c r="B950" s="24">
        <v>44211</v>
      </c>
      <c r="C950" t="s">
        <v>181</v>
      </c>
      <c r="D950" t="s">
        <v>41</v>
      </c>
      <c r="E950">
        <v>2000708035</v>
      </c>
      <c r="F950">
        <v>600</v>
      </c>
      <c r="G950">
        <v>100</v>
      </c>
      <c r="H950">
        <v>0</v>
      </c>
      <c r="I950" t="s">
        <v>666</v>
      </c>
      <c r="J950" t="s">
        <v>195</v>
      </c>
      <c r="K950" t="s">
        <v>210</v>
      </c>
      <c r="O950">
        <v>0</v>
      </c>
      <c r="U950" t="s">
        <v>81</v>
      </c>
    </row>
    <row r="951" spans="1:21" x14ac:dyDescent="0.25">
      <c r="A951" s="33">
        <v>953</v>
      </c>
      <c r="B951" s="24">
        <v>44211</v>
      </c>
      <c r="C951" t="s">
        <v>181</v>
      </c>
      <c r="D951" t="s">
        <v>41</v>
      </c>
      <c r="E951">
        <v>2000710298</v>
      </c>
      <c r="F951">
        <v>240</v>
      </c>
      <c r="G951">
        <v>50</v>
      </c>
      <c r="H951">
        <v>0</v>
      </c>
      <c r="I951" t="s">
        <v>666</v>
      </c>
      <c r="J951" t="s">
        <v>195</v>
      </c>
      <c r="K951" t="s">
        <v>818</v>
      </c>
      <c r="O951">
        <v>0</v>
      </c>
      <c r="U951" t="s">
        <v>81</v>
      </c>
    </row>
    <row r="952" spans="1:21" x14ac:dyDescent="0.25">
      <c r="A952" s="33">
        <v>954</v>
      </c>
      <c r="B952" s="24">
        <v>44211</v>
      </c>
      <c r="C952" t="s">
        <v>181</v>
      </c>
      <c r="D952" t="s">
        <v>41</v>
      </c>
      <c r="E952">
        <v>2000710297</v>
      </c>
      <c r="F952">
        <v>240</v>
      </c>
      <c r="G952">
        <v>100</v>
      </c>
      <c r="H952">
        <v>0</v>
      </c>
      <c r="I952" t="s">
        <v>666</v>
      </c>
      <c r="J952" t="s">
        <v>195</v>
      </c>
      <c r="K952" t="s">
        <v>820</v>
      </c>
      <c r="O952">
        <v>0</v>
      </c>
      <c r="U952" t="s">
        <v>81</v>
      </c>
    </row>
    <row r="953" spans="1:21" x14ac:dyDescent="0.25">
      <c r="A953" s="33">
        <v>955</v>
      </c>
      <c r="B953" s="24">
        <v>44211</v>
      </c>
      <c r="C953" t="s">
        <v>181</v>
      </c>
      <c r="D953" t="s">
        <v>41</v>
      </c>
      <c r="E953">
        <v>2000710299</v>
      </c>
      <c r="F953">
        <v>240</v>
      </c>
      <c r="G953">
        <v>50</v>
      </c>
      <c r="H953">
        <v>0</v>
      </c>
      <c r="I953" t="s">
        <v>666</v>
      </c>
      <c r="J953" t="s">
        <v>195</v>
      </c>
      <c r="K953" t="s">
        <v>819</v>
      </c>
      <c r="O953">
        <v>0</v>
      </c>
      <c r="U953" t="s">
        <v>81</v>
      </c>
    </row>
    <row r="954" spans="1:21" x14ac:dyDescent="0.25">
      <c r="A954" s="33">
        <v>956</v>
      </c>
      <c r="B954" s="24">
        <v>44211</v>
      </c>
      <c r="C954" t="s">
        <v>181</v>
      </c>
      <c r="D954" t="s">
        <v>41</v>
      </c>
      <c r="E954">
        <v>2000705498</v>
      </c>
      <c r="F954">
        <v>37</v>
      </c>
      <c r="G954">
        <v>29</v>
      </c>
      <c r="H954">
        <v>0</v>
      </c>
      <c r="I954" t="s">
        <v>168</v>
      </c>
      <c r="J954" t="s">
        <v>215</v>
      </c>
      <c r="K954" t="s">
        <v>838</v>
      </c>
      <c r="O954">
        <v>0</v>
      </c>
      <c r="U954" t="s">
        <v>83</v>
      </c>
    </row>
    <row r="955" spans="1:21" x14ac:dyDescent="0.25">
      <c r="A955" s="33">
        <v>957</v>
      </c>
      <c r="B955" s="24">
        <v>44211</v>
      </c>
      <c r="C955" t="s">
        <v>181</v>
      </c>
      <c r="D955" t="s">
        <v>41</v>
      </c>
      <c r="E955">
        <v>2000705499</v>
      </c>
      <c r="F955">
        <v>37</v>
      </c>
      <c r="G955">
        <v>24</v>
      </c>
      <c r="H955">
        <v>0</v>
      </c>
      <c r="I955" t="s">
        <v>168</v>
      </c>
      <c r="J955" t="s">
        <v>215</v>
      </c>
      <c r="K955" t="s">
        <v>838</v>
      </c>
      <c r="O955">
        <v>0</v>
      </c>
      <c r="U955" t="s">
        <v>83</v>
      </c>
    </row>
    <row r="956" spans="1:21" x14ac:dyDescent="0.25">
      <c r="A956" s="33">
        <v>958</v>
      </c>
      <c r="B956" s="24">
        <v>44211</v>
      </c>
      <c r="C956" t="s">
        <v>181</v>
      </c>
      <c r="D956" t="s">
        <v>41</v>
      </c>
      <c r="E956">
        <v>2000710517</v>
      </c>
      <c r="F956">
        <v>235</v>
      </c>
      <c r="G956">
        <v>125</v>
      </c>
      <c r="H956">
        <v>0</v>
      </c>
      <c r="I956" t="s">
        <v>168</v>
      </c>
      <c r="J956" t="s">
        <v>203</v>
      </c>
      <c r="K956" t="s">
        <v>639</v>
      </c>
      <c r="O956">
        <v>0</v>
      </c>
      <c r="U956" t="s">
        <v>81</v>
      </c>
    </row>
    <row r="957" spans="1:21" x14ac:dyDescent="0.25">
      <c r="A957" s="33">
        <v>959</v>
      </c>
      <c r="B957" s="24">
        <v>44211</v>
      </c>
      <c r="C957" t="s">
        <v>181</v>
      </c>
      <c r="D957" t="s">
        <v>41</v>
      </c>
      <c r="E957">
        <v>2000710518</v>
      </c>
      <c r="F957">
        <v>390</v>
      </c>
      <c r="G957">
        <v>90</v>
      </c>
      <c r="H957">
        <v>0</v>
      </c>
      <c r="I957" t="s">
        <v>168</v>
      </c>
      <c r="J957" t="s">
        <v>203</v>
      </c>
      <c r="K957" t="s">
        <v>785</v>
      </c>
      <c r="O957">
        <v>0</v>
      </c>
      <c r="U957" t="s">
        <v>81</v>
      </c>
    </row>
    <row r="958" spans="1:21" x14ac:dyDescent="0.25">
      <c r="A958" s="33">
        <v>960</v>
      </c>
      <c r="B958" s="24">
        <v>44211</v>
      </c>
      <c r="C958" t="s">
        <v>181</v>
      </c>
      <c r="D958" t="s">
        <v>41</v>
      </c>
      <c r="E958">
        <v>2000708025</v>
      </c>
      <c r="F958">
        <v>2620</v>
      </c>
      <c r="G958">
        <v>240</v>
      </c>
      <c r="H958">
        <v>0</v>
      </c>
      <c r="I958" t="s">
        <v>168</v>
      </c>
      <c r="J958" t="s">
        <v>203</v>
      </c>
      <c r="K958" t="s">
        <v>640</v>
      </c>
      <c r="O958">
        <v>0</v>
      </c>
      <c r="U958" t="s">
        <v>81</v>
      </c>
    </row>
    <row r="959" spans="1:21" x14ac:dyDescent="0.25">
      <c r="A959" s="33">
        <v>961</v>
      </c>
      <c r="B959" s="24">
        <v>44211</v>
      </c>
      <c r="C959" t="s">
        <v>181</v>
      </c>
      <c r="D959" t="s">
        <v>41</v>
      </c>
      <c r="E959">
        <v>2000706760</v>
      </c>
      <c r="F959">
        <v>1720</v>
      </c>
      <c r="G959">
        <v>40</v>
      </c>
      <c r="H959">
        <v>0</v>
      </c>
      <c r="I959" t="s">
        <v>168</v>
      </c>
      <c r="J959" t="s">
        <v>745</v>
      </c>
      <c r="K959" t="s">
        <v>746</v>
      </c>
      <c r="O959">
        <v>0</v>
      </c>
      <c r="U959" t="s">
        <v>81</v>
      </c>
    </row>
    <row r="960" spans="1:21" x14ac:dyDescent="0.25">
      <c r="A960" s="33">
        <v>962</v>
      </c>
      <c r="B960" s="24">
        <v>44211</v>
      </c>
      <c r="C960" t="s">
        <v>181</v>
      </c>
      <c r="D960" t="s">
        <v>41</v>
      </c>
      <c r="E960">
        <v>2000705364</v>
      </c>
      <c r="F960">
        <v>760</v>
      </c>
      <c r="G960">
        <v>40</v>
      </c>
      <c r="H960">
        <v>0</v>
      </c>
      <c r="I960" t="s">
        <v>168</v>
      </c>
      <c r="J960" t="s">
        <v>745</v>
      </c>
      <c r="K960" t="s">
        <v>879</v>
      </c>
      <c r="O960">
        <v>0</v>
      </c>
      <c r="U960" t="s">
        <v>81</v>
      </c>
    </row>
    <row r="961" spans="1:21" x14ac:dyDescent="0.25">
      <c r="A961" s="33">
        <v>963</v>
      </c>
      <c r="B961" s="24">
        <v>44211</v>
      </c>
      <c r="C961" t="s">
        <v>181</v>
      </c>
      <c r="D961" t="s">
        <v>41</v>
      </c>
      <c r="E961">
        <v>2000708949</v>
      </c>
      <c r="F961">
        <v>1020</v>
      </c>
      <c r="G961">
        <v>20</v>
      </c>
      <c r="H961">
        <v>0</v>
      </c>
      <c r="I961" t="s">
        <v>194</v>
      </c>
      <c r="J961" t="s">
        <v>169</v>
      </c>
      <c r="K961" t="s">
        <v>637</v>
      </c>
      <c r="O961">
        <v>0</v>
      </c>
      <c r="U961" t="s">
        <v>81</v>
      </c>
    </row>
    <row r="962" spans="1:21" x14ac:dyDescent="0.25">
      <c r="A962" s="33">
        <v>964</v>
      </c>
      <c r="B962" s="24">
        <v>44211</v>
      </c>
      <c r="C962" t="s">
        <v>181</v>
      </c>
      <c r="D962" t="s">
        <v>41</v>
      </c>
      <c r="E962">
        <v>2000709982</v>
      </c>
      <c r="F962">
        <v>960</v>
      </c>
      <c r="G962">
        <v>210</v>
      </c>
      <c r="H962">
        <v>0</v>
      </c>
      <c r="I962" t="s">
        <v>194</v>
      </c>
      <c r="J962" t="s">
        <v>169</v>
      </c>
      <c r="K962" t="s">
        <v>637</v>
      </c>
      <c r="O962">
        <v>0</v>
      </c>
      <c r="U962" t="s">
        <v>81</v>
      </c>
    </row>
    <row r="963" spans="1:21" x14ac:dyDescent="0.25">
      <c r="A963" s="33">
        <v>965</v>
      </c>
      <c r="B963" s="24">
        <v>44211</v>
      </c>
      <c r="C963" t="s">
        <v>181</v>
      </c>
      <c r="D963" t="s">
        <v>41</v>
      </c>
      <c r="E963">
        <v>2000710163</v>
      </c>
      <c r="F963">
        <v>960</v>
      </c>
      <c r="G963">
        <v>100</v>
      </c>
      <c r="H963">
        <v>0</v>
      </c>
      <c r="I963" t="s">
        <v>194</v>
      </c>
      <c r="J963" t="s">
        <v>169</v>
      </c>
      <c r="K963" t="s">
        <v>190</v>
      </c>
      <c r="O963">
        <v>0</v>
      </c>
      <c r="U963" t="s">
        <v>81</v>
      </c>
    </row>
    <row r="964" spans="1:21" x14ac:dyDescent="0.25">
      <c r="A964" s="33">
        <v>966</v>
      </c>
      <c r="B964" s="24">
        <v>44211</v>
      </c>
      <c r="C964" t="s">
        <v>181</v>
      </c>
      <c r="D964" t="s">
        <v>41</v>
      </c>
      <c r="E964">
        <v>2000708949</v>
      </c>
      <c r="F964">
        <v>1020</v>
      </c>
      <c r="G964">
        <v>15</v>
      </c>
      <c r="H964">
        <v>0</v>
      </c>
      <c r="I964" t="s">
        <v>178</v>
      </c>
      <c r="J964" t="s">
        <v>169</v>
      </c>
      <c r="K964" t="s">
        <v>637</v>
      </c>
      <c r="O964">
        <v>0</v>
      </c>
      <c r="U964" t="s">
        <v>81</v>
      </c>
    </row>
    <row r="965" spans="1:21" x14ac:dyDescent="0.25">
      <c r="A965" s="33">
        <v>967</v>
      </c>
      <c r="B965" s="24">
        <v>44211</v>
      </c>
      <c r="C965" t="s">
        <v>181</v>
      </c>
      <c r="D965" t="s">
        <v>41</v>
      </c>
      <c r="E965">
        <v>2000709982</v>
      </c>
      <c r="F965">
        <v>960</v>
      </c>
      <c r="G965">
        <v>225</v>
      </c>
      <c r="H965">
        <v>0</v>
      </c>
      <c r="I965" t="s">
        <v>178</v>
      </c>
      <c r="J965" t="s">
        <v>169</v>
      </c>
      <c r="K965" t="s">
        <v>637</v>
      </c>
      <c r="O965">
        <v>0</v>
      </c>
      <c r="U965" t="s">
        <v>81</v>
      </c>
    </row>
    <row r="966" spans="1:21" x14ac:dyDescent="0.25">
      <c r="A966" s="33">
        <v>968</v>
      </c>
      <c r="B966" s="24">
        <v>44211</v>
      </c>
      <c r="C966" t="s">
        <v>181</v>
      </c>
      <c r="D966" t="s">
        <v>41</v>
      </c>
      <c r="E966">
        <v>2000709982</v>
      </c>
      <c r="F966">
        <v>960</v>
      </c>
      <c r="G966">
        <v>75</v>
      </c>
      <c r="H966">
        <v>0</v>
      </c>
      <c r="I966" t="s">
        <v>180</v>
      </c>
      <c r="J966" t="s">
        <v>169</v>
      </c>
      <c r="K966" t="s">
        <v>637</v>
      </c>
      <c r="O966">
        <v>0</v>
      </c>
      <c r="U966" t="s">
        <v>81</v>
      </c>
    </row>
    <row r="967" spans="1:21" x14ac:dyDescent="0.25">
      <c r="A967" s="33">
        <v>969</v>
      </c>
      <c r="B967" s="24">
        <v>44211</v>
      </c>
      <c r="C967" t="s">
        <v>181</v>
      </c>
      <c r="D967" t="s">
        <v>41</v>
      </c>
      <c r="E967">
        <v>2000710217</v>
      </c>
      <c r="F967">
        <v>540</v>
      </c>
      <c r="G967">
        <v>60</v>
      </c>
      <c r="H967">
        <v>0</v>
      </c>
      <c r="I967" t="s">
        <v>642</v>
      </c>
      <c r="J967" t="s">
        <v>172</v>
      </c>
      <c r="K967" t="s">
        <v>692</v>
      </c>
      <c r="O967">
        <v>0</v>
      </c>
      <c r="U967" t="s">
        <v>81</v>
      </c>
    </row>
    <row r="968" spans="1:21" x14ac:dyDescent="0.25">
      <c r="A968" s="33">
        <v>970</v>
      </c>
      <c r="B968" s="24">
        <v>44211</v>
      </c>
      <c r="C968" t="s">
        <v>181</v>
      </c>
      <c r="D968" t="s">
        <v>41</v>
      </c>
      <c r="E968">
        <v>2000710216</v>
      </c>
      <c r="F968">
        <v>2560</v>
      </c>
      <c r="G968">
        <v>100</v>
      </c>
      <c r="H968">
        <v>0</v>
      </c>
      <c r="I968" t="s">
        <v>642</v>
      </c>
      <c r="J968" t="s">
        <v>172</v>
      </c>
      <c r="K968" t="s">
        <v>854</v>
      </c>
      <c r="O968">
        <v>0</v>
      </c>
      <c r="U968" t="s">
        <v>81</v>
      </c>
    </row>
    <row r="969" spans="1:21" x14ac:dyDescent="0.25">
      <c r="A969" s="33">
        <v>971</v>
      </c>
      <c r="B969" s="24">
        <v>44211</v>
      </c>
      <c r="C969" t="s">
        <v>181</v>
      </c>
      <c r="D969" t="s">
        <v>41</v>
      </c>
      <c r="E969">
        <v>2000710228</v>
      </c>
      <c r="F969">
        <v>2000</v>
      </c>
      <c r="G969">
        <v>180</v>
      </c>
      <c r="H969">
        <v>0</v>
      </c>
      <c r="I969" t="s">
        <v>642</v>
      </c>
      <c r="J969" t="s">
        <v>193</v>
      </c>
      <c r="K969" t="s">
        <v>647</v>
      </c>
      <c r="O969">
        <v>0</v>
      </c>
      <c r="U969" t="s">
        <v>81</v>
      </c>
    </row>
    <row r="970" spans="1:21" x14ac:dyDescent="0.25">
      <c r="A970" s="33">
        <v>972</v>
      </c>
      <c r="B970" s="24">
        <v>44211</v>
      </c>
      <c r="C970" t="s">
        <v>181</v>
      </c>
      <c r="D970" t="s">
        <v>41</v>
      </c>
      <c r="E970">
        <v>2000710204</v>
      </c>
      <c r="F970">
        <v>640</v>
      </c>
      <c r="G970">
        <v>100</v>
      </c>
      <c r="H970">
        <v>0</v>
      </c>
      <c r="I970" t="s">
        <v>642</v>
      </c>
      <c r="J970" t="s">
        <v>645</v>
      </c>
      <c r="K970" t="s">
        <v>734</v>
      </c>
      <c r="O970">
        <v>0</v>
      </c>
      <c r="U970" t="s">
        <v>81</v>
      </c>
    </row>
    <row r="971" spans="1:21" x14ac:dyDescent="0.25">
      <c r="A971" s="33">
        <v>973</v>
      </c>
      <c r="B971" s="24">
        <v>44211</v>
      </c>
      <c r="C971" t="s">
        <v>181</v>
      </c>
      <c r="D971" t="s">
        <v>41</v>
      </c>
      <c r="E971">
        <v>2000708025</v>
      </c>
      <c r="F971">
        <v>2620</v>
      </c>
      <c r="G971">
        <v>240</v>
      </c>
      <c r="H971">
        <v>0</v>
      </c>
      <c r="I971" t="s">
        <v>201</v>
      </c>
      <c r="J971" t="s">
        <v>203</v>
      </c>
      <c r="K971" t="s">
        <v>640</v>
      </c>
      <c r="O971">
        <v>0</v>
      </c>
      <c r="T971" s="62"/>
      <c r="U971" t="s">
        <v>81</v>
      </c>
    </row>
    <row r="972" spans="1:21" x14ac:dyDescent="0.25">
      <c r="A972" s="33">
        <v>974</v>
      </c>
      <c r="B972" s="24">
        <v>44211</v>
      </c>
      <c r="C972" t="s">
        <v>181</v>
      </c>
      <c r="D972" t="s">
        <v>41</v>
      </c>
      <c r="E972">
        <v>2000709634</v>
      </c>
      <c r="F972">
        <v>198</v>
      </c>
      <c r="G972">
        <v>198</v>
      </c>
      <c r="H972">
        <v>0</v>
      </c>
      <c r="I972" t="s">
        <v>201</v>
      </c>
      <c r="J972" t="s">
        <v>203</v>
      </c>
      <c r="K972" t="s">
        <v>875</v>
      </c>
      <c r="O972">
        <v>0</v>
      </c>
      <c r="U972" t="s">
        <v>83</v>
      </c>
    </row>
    <row r="973" spans="1:21" x14ac:dyDescent="0.25">
      <c r="A973" s="33">
        <v>975</v>
      </c>
      <c r="B973" s="24">
        <v>44211</v>
      </c>
      <c r="C973" t="s">
        <v>181</v>
      </c>
      <c r="D973" t="s">
        <v>41</v>
      </c>
      <c r="E973">
        <v>2000709806</v>
      </c>
      <c r="F973">
        <v>900</v>
      </c>
      <c r="G973">
        <v>150</v>
      </c>
      <c r="H973">
        <v>0</v>
      </c>
      <c r="I973" t="s">
        <v>201</v>
      </c>
      <c r="J973" t="s">
        <v>645</v>
      </c>
      <c r="K973" t="s">
        <v>739</v>
      </c>
      <c r="O973">
        <v>0</v>
      </c>
      <c r="U973" t="s">
        <v>81</v>
      </c>
    </row>
    <row r="974" spans="1:21" x14ac:dyDescent="0.25">
      <c r="A974" s="33">
        <v>976</v>
      </c>
      <c r="B974" s="24">
        <v>44211</v>
      </c>
      <c r="C974" t="s">
        <v>181</v>
      </c>
      <c r="D974" t="s">
        <v>41</v>
      </c>
      <c r="E974">
        <v>2000709839</v>
      </c>
      <c r="F974">
        <v>1800</v>
      </c>
      <c r="G974">
        <v>200</v>
      </c>
      <c r="H974">
        <v>0</v>
      </c>
      <c r="I974" t="s">
        <v>201</v>
      </c>
      <c r="J974" t="s">
        <v>193</v>
      </c>
      <c r="K974" t="s">
        <v>683</v>
      </c>
      <c r="O974">
        <v>0</v>
      </c>
      <c r="U974" t="s">
        <v>81</v>
      </c>
    </row>
    <row r="975" spans="1:21" x14ac:dyDescent="0.25">
      <c r="A975" s="33">
        <v>977</v>
      </c>
      <c r="B975" s="24">
        <v>44211</v>
      </c>
      <c r="C975" t="s">
        <v>181</v>
      </c>
      <c r="D975" t="s">
        <v>41</v>
      </c>
      <c r="E975">
        <v>2000709878</v>
      </c>
      <c r="F975">
        <v>4208</v>
      </c>
      <c r="G975">
        <v>200</v>
      </c>
      <c r="H975">
        <v>0</v>
      </c>
      <c r="I975" t="s">
        <v>201</v>
      </c>
      <c r="J975" t="s">
        <v>200</v>
      </c>
      <c r="K975" t="s">
        <v>653</v>
      </c>
      <c r="O975">
        <v>0</v>
      </c>
      <c r="U975" t="s">
        <v>81</v>
      </c>
    </row>
    <row r="976" spans="1:21" x14ac:dyDescent="0.25">
      <c r="A976" s="33">
        <v>978</v>
      </c>
      <c r="B976" s="24">
        <v>44211</v>
      </c>
      <c r="C976" t="s">
        <v>181</v>
      </c>
      <c r="D976" t="s">
        <v>41</v>
      </c>
      <c r="E976">
        <v>2000701066</v>
      </c>
      <c r="F976">
        <v>990</v>
      </c>
      <c r="G976">
        <v>2</v>
      </c>
      <c r="H976">
        <v>0</v>
      </c>
      <c r="I976" t="s">
        <v>201</v>
      </c>
      <c r="J976" t="s">
        <v>745</v>
      </c>
      <c r="K976" t="s">
        <v>849</v>
      </c>
      <c r="O976">
        <v>0</v>
      </c>
      <c r="U976" t="s">
        <v>81</v>
      </c>
    </row>
    <row r="977" spans="1:21" x14ac:dyDescent="0.25">
      <c r="A977" s="33">
        <v>979</v>
      </c>
      <c r="B977" s="24">
        <v>44211</v>
      </c>
      <c r="C977" t="s">
        <v>181</v>
      </c>
      <c r="D977" t="s">
        <v>41</v>
      </c>
      <c r="E977">
        <v>2000708798</v>
      </c>
      <c r="F977">
        <v>1183</v>
      </c>
      <c r="G977">
        <v>1</v>
      </c>
      <c r="H977">
        <v>0</v>
      </c>
      <c r="I977" t="s">
        <v>201</v>
      </c>
      <c r="J977" t="s">
        <v>745</v>
      </c>
      <c r="K977" t="s">
        <v>857</v>
      </c>
      <c r="O977">
        <v>0</v>
      </c>
      <c r="U977" t="s">
        <v>81</v>
      </c>
    </row>
    <row r="978" spans="1:21" x14ac:dyDescent="0.25">
      <c r="A978" s="33">
        <v>980</v>
      </c>
      <c r="B978" s="24">
        <v>44211</v>
      </c>
      <c r="C978" t="s">
        <v>181</v>
      </c>
      <c r="D978" t="s">
        <v>41</v>
      </c>
      <c r="E978">
        <v>2000709979</v>
      </c>
      <c r="F978">
        <v>2064</v>
      </c>
      <c r="G978">
        <v>125</v>
      </c>
      <c r="H978">
        <v>0</v>
      </c>
      <c r="I978" t="s">
        <v>201</v>
      </c>
      <c r="J978" t="s">
        <v>655</v>
      </c>
      <c r="K978" t="s">
        <v>656</v>
      </c>
      <c r="O978">
        <v>0</v>
      </c>
      <c r="U978" t="s">
        <v>81</v>
      </c>
    </row>
    <row r="979" spans="1:21" x14ac:dyDescent="0.25">
      <c r="A979" s="33">
        <v>981</v>
      </c>
      <c r="B979" s="24">
        <v>44211</v>
      </c>
      <c r="C979" t="s">
        <v>181</v>
      </c>
      <c r="D979" t="s">
        <v>41</v>
      </c>
      <c r="E979">
        <v>2000709805</v>
      </c>
      <c r="F979">
        <v>900</v>
      </c>
      <c r="G979">
        <v>200</v>
      </c>
      <c r="H979">
        <v>0</v>
      </c>
      <c r="I979" t="s">
        <v>201</v>
      </c>
      <c r="J979" t="s">
        <v>645</v>
      </c>
      <c r="K979" t="s">
        <v>756</v>
      </c>
      <c r="O979">
        <v>0</v>
      </c>
      <c r="U979" t="s">
        <v>81</v>
      </c>
    </row>
    <row r="980" spans="1:21" x14ac:dyDescent="0.25">
      <c r="A980" s="33">
        <v>982</v>
      </c>
      <c r="B980" s="24">
        <v>44211</v>
      </c>
      <c r="C980" t="s">
        <v>181</v>
      </c>
      <c r="D980" t="s">
        <v>41</v>
      </c>
      <c r="E980">
        <v>2000710289</v>
      </c>
      <c r="F980">
        <v>1740</v>
      </c>
      <c r="G980">
        <v>200</v>
      </c>
      <c r="H980">
        <v>0</v>
      </c>
      <c r="I980" t="s">
        <v>201</v>
      </c>
      <c r="J980" t="s">
        <v>172</v>
      </c>
      <c r="K980" t="s">
        <v>814</v>
      </c>
      <c r="O980">
        <v>0</v>
      </c>
      <c r="U980" t="s">
        <v>81</v>
      </c>
    </row>
    <row r="981" spans="1:21" x14ac:dyDescent="0.25">
      <c r="A981" s="33">
        <v>983</v>
      </c>
      <c r="B981" s="24">
        <v>44211</v>
      </c>
      <c r="C981" t="s">
        <v>181</v>
      </c>
      <c r="D981" t="s">
        <v>41</v>
      </c>
      <c r="E981">
        <v>2000710512</v>
      </c>
      <c r="F981">
        <v>410</v>
      </c>
      <c r="G981">
        <v>80</v>
      </c>
      <c r="H981">
        <v>0</v>
      </c>
      <c r="I981" t="s">
        <v>201</v>
      </c>
      <c r="J981" t="s">
        <v>202</v>
      </c>
      <c r="K981" t="s">
        <v>831</v>
      </c>
      <c r="O981">
        <v>0</v>
      </c>
      <c r="U981" t="s">
        <v>81</v>
      </c>
    </row>
    <row r="982" spans="1:21" x14ac:dyDescent="0.25">
      <c r="A982" s="33">
        <v>984</v>
      </c>
      <c r="B982" s="24">
        <v>44211</v>
      </c>
      <c r="C982" t="s">
        <v>181</v>
      </c>
      <c r="D982" t="s">
        <v>41</v>
      </c>
      <c r="E982">
        <v>2000710511</v>
      </c>
      <c r="F982">
        <v>410</v>
      </c>
      <c r="G982">
        <v>80</v>
      </c>
      <c r="H982">
        <v>0</v>
      </c>
      <c r="I982" t="s">
        <v>201</v>
      </c>
      <c r="J982" t="s">
        <v>202</v>
      </c>
      <c r="K982" t="s">
        <v>830</v>
      </c>
      <c r="O982">
        <v>0</v>
      </c>
      <c r="U982" t="s">
        <v>81</v>
      </c>
    </row>
    <row r="983" spans="1:21" x14ac:dyDescent="0.25">
      <c r="A983" s="33">
        <v>985</v>
      </c>
      <c r="B983" s="24">
        <v>44211</v>
      </c>
      <c r="C983" t="s">
        <v>181</v>
      </c>
      <c r="D983" t="s">
        <v>41</v>
      </c>
      <c r="E983">
        <v>2000708025</v>
      </c>
      <c r="F983">
        <v>2620</v>
      </c>
      <c r="G983">
        <v>240</v>
      </c>
      <c r="H983">
        <v>0</v>
      </c>
      <c r="I983" t="s">
        <v>201</v>
      </c>
      <c r="J983" t="s">
        <v>203</v>
      </c>
      <c r="K983" t="s">
        <v>640</v>
      </c>
      <c r="O983">
        <v>0</v>
      </c>
      <c r="U983" t="s">
        <v>81</v>
      </c>
    </row>
    <row r="984" spans="1:21" x14ac:dyDescent="0.25">
      <c r="A984" s="33">
        <v>986</v>
      </c>
      <c r="B984" s="24">
        <v>44211</v>
      </c>
      <c r="C984" t="s">
        <v>181</v>
      </c>
      <c r="D984" t="s">
        <v>41</v>
      </c>
      <c r="E984">
        <v>2000709807</v>
      </c>
      <c r="F984">
        <v>900</v>
      </c>
      <c r="G984">
        <v>150</v>
      </c>
      <c r="H984">
        <v>0</v>
      </c>
      <c r="I984" t="s">
        <v>201</v>
      </c>
      <c r="J984" t="s">
        <v>645</v>
      </c>
      <c r="K984" t="s">
        <v>658</v>
      </c>
      <c r="O984">
        <v>0</v>
      </c>
      <c r="U984" t="s">
        <v>81</v>
      </c>
    </row>
    <row r="985" spans="1:21" x14ac:dyDescent="0.25">
      <c r="A985" s="33">
        <v>987</v>
      </c>
      <c r="B985" s="24">
        <v>44211</v>
      </c>
      <c r="C985" t="s">
        <v>181</v>
      </c>
      <c r="D985" t="s">
        <v>51</v>
      </c>
      <c r="E985">
        <v>2000708161</v>
      </c>
      <c r="F985">
        <v>55</v>
      </c>
      <c r="G985">
        <v>22</v>
      </c>
      <c r="H985">
        <v>0</v>
      </c>
      <c r="I985" t="s">
        <v>191</v>
      </c>
      <c r="J985" t="s">
        <v>676</v>
      </c>
      <c r="K985" t="s">
        <v>874</v>
      </c>
      <c r="O985">
        <v>0</v>
      </c>
      <c r="U985" t="s">
        <v>81</v>
      </c>
    </row>
    <row r="986" spans="1:21" ht="30" x14ac:dyDescent="0.25">
      <c r="A986" s="33">
        <v>988</v>
      </c>
      <c r="B986" s="24">
        <v>44211</v>
      </c>
      <c r="C986" t="s">
        <v>181</v>
      </c>
      <c r="D986" t="s">
        <v>51</v>
      </c>
      <c r="E986">
        <v>2000709355</v>
      </c>
      <c r="F986">
        <v>700</v>
      </c>
      <c r="G986">
        <v>210</v>
      </c>
      <c r="H986">
        <v>0</v>
      </c>
      <c r="I986" t="s">
        <v>191</v>
      </c>
      <c r="J986" t="s">
        <v>709</v>
      </c>
      <c r="K986" t="s">
        <v>743</v>
      </c>
      <c r="O986">
        <v>0</v>
      </c>
      <c r="T986" s="62" t="s">
        <v>723</v>
      </c>
      <c r="U986" t="s">
        <v>81</v>
      </c>
    </row>
    <row r="987" spans="1:21" x14ac:dyDescent="0.25">
      <c r="A987" s="33">
        <v>989</v>
      </c>
      <c r="B987" s="24">
        <v>44211</v>
      </c>
      <c r="C987" t="s">
        <v>181</v>
      </c>
      <c r="D987" t="s">
        <v>51</v>
      </c>
      <c r="E987">
        <v>2000709353</v>
      </c>
      <c r="F987">
        <v>120</v>
      </c>
      <c r="G987">
        <v>30</v>
      </c>
      <c r="H987">
        <v>0</v>
      </c>
      <c r="I987" t="s">
        <v>191</v>
      </c>
      <c r="J987" t="s">
        <v>669</v>
      </c>
      <c r="K987" t="s">
        <v>810</v>
      </c>
      <c r="O987">
        <v>0</v>
      </c>
      <c r="U987" t="s">
        <v>81</v>
      </c>
    </row>
    <row r="988" spans="1:21" x14ac:dyDescent="0.25">
      <c r="A988" s="33">
        <v>990</v>
      </c>
      <c r="B988" s="24">
        <v>44211</v>
      </c>
      <c r="C988" t="s">
        <v>181</v>
      </c>
      <c r="D988" t="s">
        <v>51</v>
      </c>
      <c r="E988">
        <v>2000709543</v>
      </c>
      <c r="F988">
        <v>600</v>
      </c>
      <c r="G988">
        <v>150</v>
      </c>
      <c r="H988">
        <v>0</v>
      </c>
      <c r="I988" t="s">
        <v>191</v>
      </c>
      <c r="J988" t="s">
        <v>669</v>
      </c>
      <c r="K988" t="s">
        <v>707</v>
      </c>
      <c r="O988">
        <v>0</v>
      </c>
      <c r="U988" t="s">
        <v>81</v>
      </c>
    </row>
    <row r="989" spans="1:21" x14ac:dyDescent="0.25">
      <c r="A989" s="33">
        <v>991</v>
      </c>
      <c r="B989" s="24">
        <v>44211</v>
      </c>
      <c r="C989" t="s">
        <v>181</v>
      </c>
      <c r="D989" t="s">
        <v>51</v>
      </c>
      <c r="E989">
        <v>2000709540</v>
      </c>
      <c r="F989">
        <v>700</v>
      </c>
      <c r="G989">
        <v>70</v>
      </c>
      <c r="H989">
        <v>0</v>
      </c>
      <c r="I989" t="s">
        <v>191</v>
      </c>
      <c r="J989" t="s">
        <v>673</v>
      </c>
      <c r="K989" t="s">
        <v>672</v>
      </c>
      <c r="O989">
        <v>0</v>
      </c>
      <c r="U989" t="s">
        <v>81</v>
      </c>
    </row>
    <row r="990" spans="1:21" x14ac:dyDescent="0.25">
      <c r="A990" s="33">
        <v>992</v>
      </c>
      <c r="B990" s="24">
        <v>44211</v>
      </c>
      <c r="C990" t="s">
        <v>181</v>
      </c>
      <c r="D990" t="s">
        <v>51</v>
      </c>
      <c r="E990">
        <v>2000708982</v>
      </c>
      <c r="F990">
        <v>785</v>
      </c>
      <c r="G990">
        <v>781</v>
      </c>
      <c r="H990">
        <v>0</v>
      </c>
      <c r="I990" t="s">
        <v>191</v>
      </c>
      <c r="J990" t="s">
        <v>880</v>
      </c>
      <c r="K990" t="s">
        <v>679</v>
      </c>
      <c r="O990">
        <v>0</v>
      </c>
      <c r="U990" t="s">
        <v>81</v>
      </c>
    </row>
    <row r="991" spans="1:21" x14ac:dyDescent="0.25">
      <c r="A991" s="33">
        <v>993</v>
      </c>
      <c r="B991" s="24">
        <v>44213</v>
      </c>
      <c r="C991" t="s">
        <v>181</v>
      </c>
      <c r="D991" t="s">
        <v>51</v>
      </c>
      <c r="E991">
        <v>2000709547</v>
      </c>
      <c r="F991">
        <v>528</v>
      </c>
      <c r="G991">
        <v>192</v>
      </c>
      <c r="H991">
        <v>0</v>
      </c>
      <c r="I991" t="s">
        <v>706</v>
      </c>
      <c r="J991" t="s">
        <v>709</v>
      </c>
      <c r="K991" t="s">
        <v>710</v>
      </c>
      <c r="O991">
        <v>0</v>
      </c>
      <c r="U991" t="s">
        <v>81</v>
      </c>
    </row>
    <row r="992" spans="1:21" x14ac:dyDescent="0.25">
      <c r="A992" s="33">
        <v>994</v>
      </c>
      <c r="B992" s="24">
        <v>44213</v>
      </c>
      <c r="C992" t="s">
        <v>181</v>
      </c>
      <c r="D992" t="s">
        <v>51</v>
      </c>
      <c r="E992">
        <v>2000709543</v>
      </c>
      <c r="F992">
        <v>600</v>
      </c>
      <c r="G992">
        <v>40</v>
      </c>
      <c r="H992">
        <v>0</v>
      </c>
      <c r="I992" t="s">
        <v>706</v>
      </c>
      <c r="J992" t="s">
        <v>669</v>
      </c>
      <c r="K992" t="s">
        <v>707</v>
      </c>
      <c r="O992">
        <v>0</v>
      </c>
      <c r="U992" t="s">
        <v>81</v>
      </c>
    </row>
    <row r="993" spans="1:21" x14ac:dyDescent="0.25">
      <c r="A993" s="33">
        <v>995</v>
      </c>
      <c r="B993" s="24">
        <v>44213</v>
      </c>
      <c r="C993" t="s">
        <v>181</v>
      </c>
      <c r="D993" t="s">
        <v>51</v>
      </c>
      <c r="E993">
        <v>2000709355</v>
      </c>
      <c r="F993">
        <v>700</v>
      </c>
      <c r="G993">
        <v>210</v>
      </c>
      <c r="H993">
        <v>0</v>
      </c>
      <c r="I993" t="s">
        <v>706</v>
      </c>
      <c r="J993" t="s">
        <v>709</v>
      </c>
      <c r="K993" t="s">
        <v>743</v>
      </c>
      <c r="O993">
        <v>0</v>
      </c>
      <c r="U993" t="s">
        <v>81</v>
      </c>
    </row>
    <row r="994" spans="1:21" x14ac:dyDescent="0.25">
      <c r="A994" s="33">
        <v>996</v>
      </c>
      <c r="B994" s="24">
        <v>44213</v>
      </c>
      <c r="C994" t="s">
        <v>181</v>
      </c>
      <c r="D994" t="s">
        <v>51</v>
      </c>
      <c r="E994">
        <v>2000709352</v>
      </c>
      <c r="F994">
        <v>14</v>
      </c>
      <c r="G994">
        <v>14</v>
      </c>
      <c r="H994">
        <v>0</v>
      </c>
      <c r="I994" t="s">
        <v>706</v>
      </c>
      <c r="J994" t="s">
        <v>669</v>
      </c>
      <c r="K994" t="s">
        <v>881</v>
      </c>
      <c r="O994">
        <v>0</v>
      </c>
      <c r="U994" t="s">
        <v>81</v>
      </c>
    </row>
    <row r="995" spans="1:21" x14ac:dyDescent="0.25">
      <c r="A995" s="33">
        <v>997</v>
      </c>
      <c r="B995" s="24">
        <v>44213</v>
      </c>
      <c r="C995" t="s">
        <v>181</v>
      </c>
      <c r="D995" t="s">
        <v>51</v>
      </c>
      <c r="E995">
        <v>2000705994</v>
      </c>
      <c r="F995">
        <v>760</v>
      </c>
      <c r="G995">
        <v>2</v>
      </c>
      <c r="H995">
        <v>0</v>
      </c>
      <c r="I995" t="s">
        <v>706</v>
      </c>
      <c r="J995" t="s">
        <v>673</v>
      </c>
      <c r="K995" t="s">
        <v>708</v>
      </c>
      <c r="O995">
        <v>0</v>
      </c>
      <c r="U995" t="s">
        <v>81</v>
      </c>
    </row>
    <row r="996" spans="1:21" x14ac:dyDescent="0.25">
      <c r="A996" s="33">
        <v>998</v>
      </c>
      <c r="B996" s="24">
        <v>44213</v>
      </c>
      <c r="C996" t="s">
        <v>181</v>
      </c>
      <c r="D996" t="s">
        <v>51</v>
      </c>
      <c r="E996">
        <v>2000709666</v>
      </c>
      <c r="F996">
        <v>650</v>
      </c>
      <c r="G996">
        <v>315</v>
      </c>
      <c r="H996">
        <v>0</v>
      </c>
      <c r="I996" t="s">
        <v>706</v>
      </c>
      <c r="J996" t="s">
        <v>667</v>
      </c>
      <c r="K996" t="s">
        <v>671</v>
      </c>
      <c r="O996">
        <v>0</v>
      </c>
      <c r="U996" t="s">
        <v>81</v>
      </c>
    </row>
    <row r="997" spans="1:21" x14ac:dyDescent="0.25">
      <c r="A997" s="33">
        <v>999</v>
      </c>
      <c r="B997" s="24">
        <v>44213</v>
      </c>
      <c r="C997" t="s">
        <v>181</v>
      </c>
      <c r="D997" t="s">
        <v>51</v>
      </c>
      <c r="E997">
        <v>2000709353</v>
      </c>
      <c r="F997">
        <v>120</v>
      </c>
      <c r="G997">
        <v>50</v>
      </c>
      <c r="H997">
        <v>0</v>
      </c>
      <c r="I997" t="s">
        <v>706</v>
      </c>
      <c r="J997" t="s">
        <v>669</v>
      </c>
      <c r="K997" t="s">
        <v>810</v>
      </c>
      <c r="O997">
        <v>0</v>
      </c>
      <c r="U997" t="s">
        <v>81</v>
      </c>
    </row>
    <row r="998" spans="1:21" x14ac:dyDescent="0.25">
      <c r="A998" s="33">
        <v>1000</v>
      </c>
      <c r="B998" s="24">
        <v>44213</v>
      </c>
      <c r="C998" t="s">
        <v>181</v>
      </c>
      <c r="D998" t="s">
        <v>51</v>
      </c>
      <c r="E998">
        <v>2000709541</v>
      </c>
      <c r="F998">
        <v>350</v>
      </c>
      <c r="G998">
        <v>80</v>
      </c>
      <c r="H998">
        <v>0</v>
      </c>
      <c r="I998" t="s">
        <v>706</v>
      </c>
      <c r="J998" t="s">
        <v>673</v>
      </c>
      <c r="K998" t="s">
        <v>760</v>
      </c>
      <c r="O998">
        <v>0</v>
      </c>
      <c r="U998" t="s">
        <v>81</v>
      </c>
    </row>
    <row r="999" spans="1:21" x14ac:dyDescent="0.25">
      <c r="A999" s="33">
        <v>1001</v>
      </c>
      <c r="B999" s="24">
        <v>44213</v>
      </c>
      <c r="C999" t="s">
        <v>181</v>
      </c>
      <c r="D999" t="s">
        <v>51</v>
      </c>
      <c r="E999">
        <v>2000708981</v>
      </c>
      <c r="F999">
        <v>700</v>
      </c>
      <c r="G999">
        <v>140</v>
      </c>
      <c r="H999">
        <v>0</v>
      </c>
      <c r="I999" t="s">
        <v>706</v>
      </c>
      <c r="J999" t="s">
        <v>667</v>
      </c>
      <c r="K999" t="s">
        <v>882</v>
      </c>
      <c r="O999">
        <v>0</v>
      </c>
      <c r="U999" t="s">
        <v>81</v>
      </c>
    </row>
    <row r="1000" spans="1:21" x14ac:dyDescent="0.25">
      <c r="A1000" s="33">
        <v>1002</v>
      </c>
      <c r="B1000" s="24">
        <v>44213</v>
      </c>
      <c r="C1000" t="s">
        <v>39</v>
      </c>
      <c r="D1000" t="s">
        <v>51</v>
      </c>
      <c r="E1000">
        <v>2000709543</v>
      </c>
      <c r="F1000">
        <v>600</v>
      </c>
      <c r="G1000">
        <v>200</v>
      </c>
      <c r="H1000">
        <v>0</v>
      </c>
      <c r="I1000" t="s">
        <v>191</v>
      </c>
      <c r="J1000" t="s">
        <v>669</v>
      </c>
      <c r="K1000" t="s">
        <v>707</v>
      </c>
      <c r="O1000">
        <v>0</v>
      </c>
      <c r="U1000" t="s">
        <v>81</v>
      </c>
    </row>
    <row r="1001" spans="1:21" x14ac:dyDescent="0.25">
      <c r="A1001" s="33">
        <v>1003</v>
      </c>
      <c r="B1001" s="24">
        <v>44213</v>
      </c>
      <c r="C1001" t="s">
        <v>39</v>
      </c>
      <c r="D1001" t="s">
        <v>51</v>
      </c>
      <c r="E1001">
        <v>2000709544</v>
      </c>
      <c r="F1001">
        <v>190</v>
      </c>
      <c r="G1001">
        <v>30</v>
      </c>
      <c r="H1001">
        <v>0</v>
      </c>
      <c r="I1001" t="s">
        <v>191</v>
      </c>
      <c r="J1001" t="s">
        <v>669</v>
      </c>
      <c r="K1001" t="s">
        <v>802</v>
      </c>
      <c r="O1001">
        <v>0</v>
      </c>
      <c r="U1001" t="s">
        <v>81</v>
      </c>
    </row>
    <row r="1002" spans="1:21" x14ac:dyDescent="0.25">
      <c r="A1002" s="33">
        <v>1004</v>
      </c>
      <c r="B1002" s="24">
        <v>44213</v>
      </c>
      <c r="C1002" t="s">
        <v>39</v>
      </c>
      <c r="D1002" t="s">
        <v>51</v>
      </c>
      <c r="E1002">
        <v>2000709967</v>
      </c>
      <c r="F1002">
        <v>380</v>
      </c>
      <c r="G1002">
        <v>70</v>
      </c>
      <c r="H1002">
        <v>0</v>
      </c>
      <c r="I1002" t="s">
        <v>191</v>
      </c>
      <c r="J1002" t="s">
        <v>673</v>
      </c>
      <c r="K1002" t="s">
        <v>708</v>
      </c>
      <c r="O1002">
        <v>0</v>
      </c>
      <c r="U1002" t="s">
        <v>81</v>
      </c>
    </row>
    <row r="1003" spans="1:21" x14ac:dyDescent="0.25">
      <c r="A1003" s="33">
        <v>1005</v>
      </c>
      <c r="B1003" s="24">
        <v>44213</v>
      </c>
      <c r="C1003" t="s">
        <v>39</v>
      </c>
      <c r="D1003" t="s">
        <v>51</v>
      </c>
      <c r="E1003">
        <v>2000709548</v>
      </c>
      <c r="F1003">
        <v>180</v>
      </c>
      <c r="G1003">
        <v>60</v>
      </c>
      <c r="H1003">
        <v>0</v>
      </c>
      <c r="I1003" t="s">
        <v>191</v>
      </c>
      <c r="J1003" t="s">
        <v>781</v>
      </c>
      <c r="K1003" t="s">
        <v>782</v>
      </c>
      <c r="O1003">
        <v>0</v>
      </c>
      <c r="U1003" t="s">
        <v>81</v>
      </c>
    </row>
    <row r="1004" spans="1:21" x14ac:dyDescent="0.25">
      <c r="A1004" s="33">
        <v>1006</v>
      </c>
      <c r="B1004" s="24">
        <v>44213</v>
      </c>
      <c r="C1004" t="s">
        <v>39</v>
      </c>
      <c r="D1004" t="s">
        <v>51</v>
      </c>
      <c r="E1004">
        <v>2000709546</v>
      </c>
      <c r="F1004">
        <v>800</v>
      </c>
      <c r="G1004">
        <v>210</v>
      </c>
      <c r="H1004">
        <v>0</v>
      </c>
      <c r="I1004" t="s">
        <v>191</v>
      </c>
      <c r="J1004" t="s">
        <v>667</v>
      </c>
      <c r="K1004" t="s">
        <v>730</v>
      </c>
      <c r="O1004">
        <v>0</v>
      </c>
      <c r="U1004" t="s">
        <v>81</v>
      </c>
    </row>
    <row r="1005" spans="1:21" x14ac:dyDescent="0.25">
      <c r="A1005" s="33">
        <v>1007</v>
      </c>
      <c r="B1005" s="24">
        <v>44213</v>
      </c>
      <c r="C1005" t="s">
        <v>39</v>
      </c>
      <c r="D1005" t="s">
        <v>51</v>
      </c>
      <c r="E1005">
        <v>2000709666</v>
      </c>
      <c r="F1005">
        <v>650</v>
      </c>
      <c r="G1005">
        <v>70</v>
      </c>
      <c r="H1005">
        <v>0</v>
      </c>
      <c r="I1005" t="s">
        <v>191</v>
      </c>
      <c r="J1005" t="s">
        <v>667</v>
      </c>
      <c r="K1005" t="s">
        <v>671</v>
      </c>
      <c r="O1005">
        <v>0</v>
      </c>
      <c r="U1005" t="s">
        <v>81</v>
      </c>
    </row>
    <row r="1006" spans="1:21" x14ac:dyDescent="0.25">
      <c r="A1006" s="33">
        <v>1008</v>
      </c>
      <c r="B1006" s="24">
        <v>44213</v>
      </c>
      <c r="C1006" t="s">
        <v>39</v>
      </c>
      <c r="D1006" t="s">
        <v>41</v>
      </c>
      <c r="E1006">
        <v>2000709982</v>
      </c>
      <c r="F1006">
        <v>960</v>
      </c>
      <c r="G1006">
        <v>120</v>
      </c>
      <c r="H1006">
        <v>0</v>
      </c>
      <c r="I1006" t="s">
        <v>191</v>
      </c>
      <c r="J1006" t="s">
        <v>169</v>
      </c>
      <c r="K1006" t="s">
        <v>637</v>
      </c>
      <c r="O1006">
        <v>0</v>
      </c>
      <c r="U1006" t="s">
        <v>81</v>
      </c>
    </row>
    <row r="1007" spans="1:21" x14ac:dyDescent="0.25">
      <c r="A1007" s="33">
        <v>1009</v>
      </c>
      <c r="B1007" s="24">
        <v>44214</v>
      </c>
      <c r="C1007" t="s">
        <v>39</v>
      </c>
      <c r="D1007" t="s">
        <v>41</v>
      </c>
      <c r="E1007">
        <v>2000709982</v>
      </c>
      <c r="F1007">
        <v>960</v>
      </c>
      <c r="G1007">
        <v>150</v>
      </c>
      <c r="H1007">
        <v>0</v>
      </c>
      <c r="I1007" t="s">
        <v>191</v>
      </c>
      <c r="J1007" t="s">
        <v>169</v>
      </c>
      <c r="K1007" t="s">
        <v>637</v>
      </c>
      <c r="O1007">
        <v>0</v>
      </c>
      <c r="U1007" t="s">
        <v>81</v>
      </c>
    </row>
    <row r="1008" spans="1:21" x14ac:dyDescent="0.25">
      <c r="A1008" s="33">
        <v>1010</v>
      </c>
      <c r="B1008" s="24">
        <v>44214</v>
      </c>
      <c r="C1008" t="s">
        <v>39</v>
      </c>
      <c r="D1008" t="s">
        <v>41</v>
      </c>
      <c r="E1008">
        <v>2000709986</v>
      </c>
      <c r="F1008">
        <v>570</v>
      </c>
      <c r="G1008">
        <v>90</v>
      </c>
      <c r="H1008">
        <v>0</v>
      </c>
      <c r="I1008" t="s">
        <v>191</v>
      </c>
      <c r="J1008" t="s">
        <v>641</v>
      </c>
      <c r="K1008" t="s">
        <v>776</v>
      </c>
      <c r="O1008">
        <v>0</v>
      </c>
      <c r="U1008" t="s">
        <v>81</v>
      </c>
    </row>
    <row r="1009" spans="1:21" x14ac:dyDescent="0.25">
      <c r="A1009" s="33">
        <v>1011</v>
      </c>
      <c r="B1009" s="24">
        <v>44214</v>
      </c>
      <c r="C1009" t="s">
        <v>39</v>
      </c>
      <c r="D1009" t="s">
        <v>41</v>
      </c>
      <c r="E1009">
        <v>2000710518</v>
      </c>
      <c r="F1009">
        <v>390</v>
      </c>
      <c r="G1009">
        <v>198</v>
      </c>
      <c r="H1009">
        <v>1</v>
      </c>
      <c r="I1009" t="s">
        <v>191</v>
      </c>
      <c r="J1009" t="s">
        <v>203</v>
      </c>
      <c r="K1009" t="s">
        <v>785</v>
      </c>
      <c r="L1009" t="s">
        <v>87</v>
      </c>
      <c r="N1009" t="s">
        <v>883</v>
      </c>
      <c r="O1009">
        <v>1</v>
      </c>
      <c r="P1009" t="s">
        <v>884</v>
      </c>
      <c r="Q1009" t="s">
        <v>885</v>
      </c>
      <c r="R1009">
        <v>4120003042</v>
      </c>
      <c r="S1009" s="36">
        <v>0.56944444444444442</v>
      </c>
      <c r="U1009" t="s">
        <v>81</v>
      </c>
    </row>
    <row r="1010" spans="1:21" x14ac:dyDescent="0.25">
      <c r="A1010" s="33">
        <v>1012</v>
      </c>
      <c r="B1010" s="24">
        <v>44214</v>
      </c>
      <c r="C1010" t="s">
        <v>39</v>
      </c>
      <c r="D1010" t="s">
        <v>41</v>
      </c>
      <c r="E1010">
        <v>2000710203</v>
      </c>
      <c r="F1010">
        <v>20</v>
      </c>
      <c r="G1010">
        <v>20</v>
      </c>
      <c r="H1010">
        <v>0</v>
      </c>
      <c r="I1010" t="s">
        <v>642</v>
      </c>
      <c r="J1010" t="s">
        <v>175</v>
      </c>
      <c r="K1010" t="s">
        <v>886</v>
      </c>
      <c r="O1010">
        <v>0</v>
      </c>
      <c r="U1010" t="s">
        <v>81</v>
      </c>
    </row>
    <row r="1011" spans="1:21" x14ac:dyDescent="0.25">
      <c r="A1011" s="33">
        <v>1013</v>
      </c>
      <c r="B1011" s="24">
        <v>44214</v>
      </c>
      <c r="C1011" t="s">
        <v>39</v>
      </c>
      <c r="D1011" t="s">
        <v>41</v>
      </c>
      <c r="E1011">
        <v>2000710476</v>
      </c>
      <c r="F1011">
        <v>240</v>
      </c>
      <c r="G1011">
        <v>20</v>
      </c>
      <c r="H1011">
        <v>0</v>
      </c>
      <c r="I1011" t="s">
        <v>642</v>
      </c>
      <c r="J1011" t="s">
        <v>645</v>
      </c>
      <c r="K1011" t="s">
        <v>752</v>
      </c>
      <c r="O1011">
        <v>0</v>
      </c>
      <c r="U1011" t="s">
        <v>81</v>
      </c>
    </row>
    <row r="1012" spans="1:21" x14ac:dyDescent="0.25">
      <c r="A1012" s="33">
        <v>1014</v>
      </c>
      <c r="B1012" s="24">
        <v>44214</v>
      </c>
      <c r="C1012" t="s">
        <v>39</v>
      </c>
      <c r="D1012" t="s">
        <v>41</v>
      </c>
      <c r="E1012">
        <v>2000710730</v>
      </c>
      <c r="F1012">
        <v>380</v>
      </c>
      <c r="G1012">
        <v>80</v>
      </c>
      <c r="H1012">
        <v>0</v>
      </c>
      <c r="I1012" t="s">
        <v>642</v>
      </c>
      <c r="J1012" t="s">
        <v>645</v>
      </c>
      <c r="K1012" t="s">
        <v>720</v>
      </c>
      <c r="O1012">
        <v>0</v>
      </c>
      <c r="U1012" t="s">
        <v>81</v>
      </c>
    </row>
    <row r="1013" spans="1:21" x14ac:dyDescent="0.25">
      <c r="A1013" s="33">
        <v>1015</v>
      </c>
      <c r="B1013" s="24">
        <v>44214</v>
      </c>
      <c r="C1013" t="s">
        <v>39</v>
      </c>
      <c r="D1013" t="s">
        <v>41</v>
      </c>
      <c r="E1013">
        <v>2000710296</v>
      </c>
      <c r="F1013">
        <v>240</v>
      </c>
      <c r="G1013">
        <v>20</v>
      </c>
      <c r="H1013">
        <v>0</v>
      </c>
      <c r="I1013" t="s">
        <v>642</v>
      </c>
      <c r="J1013" t="s">
        <v>195</v>
      </c>
      <c r="K1013" t="s">
        <v>887</v>
      </c>
      <c r="O1013">
        <v>0</v>
      </c>
      <c r="U1013" t="s">
        <v>81</v>
      </c>
    </row>
    <row r="1014" spans="1:21" x14ac:dyDescent="0.25">
      <c r="A1014" s="33">
        <v>1016</v>
      </c>
      <c r="B1014" s="24">
        <v>44214</v>
      </c>
      <c r="C1014" t="s">
        <v>39</v>
      </c>
      <c r="D1014" t="s">
        <v>41</v>
      </c>
      <c r="E1014">
        <v>2000710733</v>
      </c>
      <c r="F1014">
        <v>1600</v>
      </c>
      <c r="G1014">
        <v>140</v>
      </c>
      <c r="H1014">
        <v>0</v>
      </c>
      <c r="I1014" t="s">
        <v>642</v>
      </c>
      <c r="J1014" t="s">
        <v>645</v>
      </c>
      <c r="K1014" t="s">
        <v>853</v>
      </c>
      <c r="O1014">
        <v>0</v>
      </c>
      <c r="U1014" t="s">
        <v>81</v>
      </c>
    </row>
    <row r="1015" spans="1:21" x14ac:dyDescent="0.25">
      <c r="A1015" s="33">
        <v>1017</v>
      </c>
      <c r="B1015" s="24">
        <v>44214</v>
      </c>
      <c r="C1015" t="s">
        <v>39</v>
      </c>
      <c r="D1015" t="s">
        <v>41</v>
      </c>
      <c r="E1015">
        <v>2000710510</v>
      </c>
      <c r="F1015">
        <v>1360</v>
      </c>
      <c r="G1015">
        <v>160</v>
      </c>
      <c r="H1015">
        <v>0</v>
      </c>
      <c r="I1015" t="s">
        <v>642</v>
      </c>
      <c r="J1015" t="s">
        <v>196</v>
      </c>
      <c r="K1015" t="s">
        <v>648</v>
      </c>
      <c r="O1015">
        <v>0</v>
      </c>
      <c r="U1015" t="s">
        <v>81</v>
      </c>
    </row>
    <row r="1016" spans="1:21" x14ac:dyDescent="0.25">
      <c r="A1016" s="33">
        <v>1018</v>
      </c>
      <c r="B1016" s="24">
        <v>44214</v>
      </c>
      <c r="C1016" t="s">
        <v>39</v>
      </c>
      <c r="D1016" t="s">
        <v>41</v>
      </c>
      <c r="E1016">
        <v>2000710738</v>
      </c>
      <c r="F1016">
        <v>700</v>
      </c>
      <c r="G1016">
        <v>80</v>
      </c>
      <c r="H1016">
        <v>0</v>
      </c>
      <c r="I1016" t="s">
        <v>642</v>
      </c>
      <c r="J1016" t="s">
        <v>645</v>
      </c>
      <c r="K1016" t="s">
        <v>734</v>
      </c>
      <c r="O1016">
        <v>0</v>
      </c>
      <c r="U1016" t="s">
        <v>81</v>
      </c>
    </row>
    <row r="1017" spans="1:21" x14ac:dyDescent="0.25">
      <c r="A1017" s="33">
        <v>1019</v>
      </c>
      <c r="B1017" s="24">
        <v>44214</v>
      </c>
      <c r="C1017" t="s">
        <v>39</v>
      </c>
      <c r="D1017" t="s">
        <v>41</v>
      </c>
      <c r="E1017">
        <v>2000710219</v>
      </c>
      <c r="F1017">
        <v>3700</v>
      </c>
      <c r="G1017">
        <v>110</v>
      </c>
      <c r="H1017">
        <v>0</v>
      </c>
      <c r="I1017" t="s">
        <v>642</v>
      </c>
      <c r="J1017" t="s">
        <v>888</v>
      </c>
      <c r="K1017" t="s">
        <v>173</v>
      </c>
      <c r="O1017">
        <v>0</v>
      </c>
      <c r="U1017" t="s">
        <v>81</v>
      </c>
    </row>
    <row r="1018" spans="1:21" x14ac:dyDescent="0.25">
      <c r="A1018" s="33">
        <v>1020</v>
      </c>
      <c r="B1018" s="24">
        <v>44214</v>
      </c>
      <c r="C1018" t="s">
        <v>39</v>
      </c>
      <c r="D1018" t="s">
        <v>41</v>
      </c>
      <c r="E1018">
        <v>2000709662</v>
      </c>
      <c r="F1018">
        <v>1306</v>
      </c>
      <c r="G1018">
        <v>116</v>
      </c>
      <c r="H1018">
        <v>0</v>
      </c>
      <c r="I1018" t="s">
        <v>180</v>
      </c>
      <c r="J1018" t="s">
        <v>698</v>
      </c>
      <c r="K1018" t="s">
        <v>786</v>
      </c>
      <c r="O1018">
        <v>0</v>
      </c>
      <c r="U1018" t="s">
        <v>81</v>
      </c>
    </row>
    <row r="1019" spans="1:21" x14ac:dyDescent="0.25">
      <c r="A1019" s="33">
        <v>1021</v>
      </c>
      <c r="B1019" s="24">
        <v>44214</v>
      </c>
      <c r="C1019" t="s">
        <v>39</v>
      </c>
      <c r="D1019" t="s">
        <v>41</v>
      </c>
      <c r="E1019">
        <v>2000710139</v>
      </c>
      <c r="F1019">
        <v>994</v>
      </c>
      <c r="G1019">
        <v>90</v>
      </c>
      <c r="H1019">
        <v>0</v>
      </c>
      <c r="I1019" t="s">
        <v>180</v>
      </c>
      <c r="J1019" t="s">
        <v>698</v>
      </c>
      <c r="K1019" t="s">
        <v>786</v>
      </c>
      <c r="O1019">
        <v>0</v>
      </c>
      <c r="U1019" t="s">
        <v>81</v>
      </c>
    </row>
    <row r="1020" spans="1:21" x14ac:dyDescent="0.25">
      <c r="A1020" s="33">
        <v>1022</v>
      </c>
      <c r="B1020" s="24">
        <v>44214</v>
      </c>
      <c r="C1020" t="s">
        <v>39</v>
      </c>
      <c r="D1020" t="s">
        <v>41</v>
      </c>
      <c r="E1020">
        <v>2000709982</v>
      </c>
      <c r="F1020">
        <v>960</v>
      </c>
      <c r="G1020">
        <v>60</v>
      </c>
      <c r="H1020">
        <v>0</v>
      </c>
      <c r="I1020" t="s">
        <v>178</v>
      </c>
      <c r="J1020" t="s">
        <v>169</v>
      </c>
      <c r="K1020" t="s">
        <v>637</v>
      </c>
      <c r="O1020">
        <v>0</v>
      </c>
      <c r="U1020" t="s">
        <v>81</v>
      </c>
    </row>
    <row r="1021" spans="1:21" x14ac:dyDescent="0.25">
      <c r="A1021" s="33">
        <v>1023</v>
      </c>
      <c r="B1021" s="24">
        <v>44214</v>
      </c>
      <c r="C1021" t="s">
        <v>39</v>
      </c>
      <c r="D1021" t="s">
        <v>41</v>
      </c>
      <c r="E1021">
        <v>2000710668</v>
      </c>
      <c r="F1021">
        <v>510</v>
      </c>
      <c r="G1021">
        <v>80</v>
      </c>
      <c r="H1021">
        <v>0</v>
      </c>
      <c r="I1021" t="s">
        <v>178</v>
      </c>
      <c r="J1021" t="s">
        <v>169</v>
      </c>
      <c r="K1021" t="s">
        <v>190</v>
      </c>
      <c r="O1021">
        <v>0</v>
      </c>
      <c r="U1021" t="s">
        <v>81</v>
      </c>
    </row>
    <row r="1022" spans="1:21" x14ac:dyDescent="0.25">
      <c r="A1022" s="33">
        <v>1024</v>
      </c>
      <c r="B1022" s="24">
        <v>44214</v>
      </c>
      <c r="C1022" t="s">
        <v>39</v>
      </c>
      <c r="D1022" t="s">
        <v>41</v>
      </c>
      <c r="E1022">
        <v>2000710844</v>
      </c>
      <c r="F1022">
        <v>1472</v>
      </c>
      <c r="G1022">
        <v>60</v>
      </c>
      <c r="H1022">
        <v>0</v>
      </c>
      <c r="I1022" t="s">
        <v>178</v>
      </c>
      <c r="J1022" t="s">
        <v>169</v>
      </c>
      <c r="K1022" t="s">
        <v>664</v>
      </c>
      <c r="O1022">
        <v>0</v>
      </c>
      <c r="U1022" t="s">
        <v>81</v>
      </c>
    </row>
    <row r="1023" spans="1:21" x14ac:dyDescent="0.25">
      <c r="A1023" s="33">
        <v>1025</v>
      </c>
      <c r="B1023" s="24">
        <v>44214</v>
      </c>
      <c r="C1023" t="s">
        <v>39</v>
      </c>
      <c r="D1023" t="s">
        <v>41</v>
      </c>
      <c r="E1023">
        <v>2000710731</v>
      </c>
      <c r="F1023">
        <v>60</v>
      </c>
      <c r="G1023">
        <v>20</v>
      </c>
      <c r="H1023">
        <v>0</v>
      </c>
      <c r="I1023" t="s">
        <v>178</v>
      </c>
      <c r="J1023" t="s">
        <v>645</v>
      </c>
      <c r="K1023" t="s">
        <v>719</v>
      </c>
      <c r="O1023">
        <v>0</v>
      </c>
      <c r="U1023" t="s">
        <v>81</v>
      </c>
    </row>
    <row r="1024" spans="1:21" x14ac:dyDescent="0.25">
      <c r="A1024" s="33">
        <v>1026</v>
      </c>
      <c r="B1024" s="24">
        <v>44214</v>
      </c>
      <c r="C1024" t="s">
        <v>39</v>
      </c>
      <c r="D1024" t="s">
        <v>41</v>
      </c>
      <c r="E1024">
        <v>2000710804</v>
      </c>
      <c r="F1024">
        <v>1030</v>
      </c>
      <c r="G1024">
        <v>45</v>
      </c>
      <c r="H1024">
        <v>0</v>
      </c>
      <c r="I1024" t="s">
        <v>178</v>
      </c>
      <c r="J1024" t="s">
        <v>698</v>
      </c>
      <c r="K1024" t="s">
        <v>786</v>
      </c>
      <c r="O1024">
        <v>0</v>
      </c>
      <c r="U1024" t="s">
        <v>81</v>
      </c>
    </row>
    <row r="1025" spans="1:21" x14ac:dyDescent="0.25">
      <c r="A1025" s="33">
        <v>1027</v>
      </c>
      <c r="B1025" s="24">
        <v>44214</v>
      </c>
      <c r="C1025" t="s">
        <v>39</v>
      </c>
      <c r="D1025" t="s">
        <v>41</v>
      </c>
      <c r="E1025">
        <v>2000709662</v>
      </c>
      <c r="F1025">
        <v>1306</v>
      </c>
      <c r="G1025">
        <v>45</v>
      </c>
      <c r="H1025">
        <v>0</v>
      </c>
      <c r="I1025" t="s">
        <v>178</v>
      </c>
      <c r="J1025" t="s">
        <v>698</v>
      </c>
      <c r="K1025" t="s">
        <v>786</v>
      </c>
      <c r="O1025">
        <v>0</v>
      </c>
      <c r="U1025" t="s">
        <v>81</v>
      </c>
    </row>
    <row r="1026" spans="1:21" x14ac:dyDescent="0.25">
      <c r="A1026" s="33">
        <v>1028</v>
      </c>
      <c r="B1026" s="24">
        <v>44214</v>
      </c>
      <c r="C1026" t="s">
        <v>39</v>
      </c>
      <c r="D1026" t="s">
        <v>41</v>
      </c>
      <c r="E1026">
        <v>2000710139</v>
      </c>
      <c r="F1026">
        <v>994</v>
      </c>
      <c r="G1026">
        <v>30</v>
      </c>
      <c r="H1026">
        <v>0</v>
      </c>
      <c r="I1026" t="s">
        <v>178</v>
      </c>
      <c r="J1026" t="s">
        <v>698</v>
      </c>
      <c r="K1026" t="s">
        <v>889</v>
      </c>
      <c r="O1026">
        <v>0</v>
      </c>
      <c r="U1026" t="s">
        <v>81</v>
      </c>
    </row>
    <row r="1027" spans="1:21" x14ac:dyDescent="0.25">
      <c r="A1027" s="33">
        <v>1029</v>
      </c>
      <c r="B1027" s="24">
        <v>44214</v>
      </c>
      <c r="C1027" t="s">
        <v>39</v>
      </c>
      <c r="D1027" t="s">
        <v>41</v>
      </c>
      <c r="E1027">
        <v>2000709833</v>
      </c>
      <c r="F1027">
        <v>4220</v>
      </c>
      <c r="G1027">
        <v>300</v>
      </c>
      <c r="H1027">
        <v>0</v>
      </c>
      <c r="I1027" t="s">
        <v>201</v>
      </c>
      <c r="J1027" t="s">
        <v>199</v>
      </c>
      <c r="K1027" t="s">
        <v>890</v>
      </c>
      <c r="O1027">
        <v>0</v>
      </c>
      <c r="U1027" t="s">
        <v>81</v>
      </c>
    </row>
    <row r="1028" spans="1:21" x14ac:dyDescent="0.25">
      <c r="A1028" s="33">
        <v>1030</v>
      </c>
      <c r="B1028" s="24">
        <v>44214</v>
      </c>
      <c r="C1028" t="s">
        <v>39</v>
      </c>
      <c r="D1028" t="s">
        <v>41</v>
      </c>
      <c r="E1028">
        <v>2000710215</v>
      </c>
      <c r="F1028">
        <v>2560</v>
      </c>
      <c r="G1028">
        <v>300</v>
      </c>
      <c r="H1028">
        <v>0</v>
      </c>
      <c r="I1028" t="s">
        <v>201</v>
      </c>
      <c r="J1028" t="s">
        <v>172</v>
      </c>
      <c r="K1028" t="s">
        <v>725</v>
      </c>
      <c r="O1028">
        <v>0</v>
      </c>
      <c r="U1028" t="s">
        <v>81</v>
      </c>
    </row>
    <row r="1029" spans="1:21" x14ac:dyDescent="0.25">
      <c r="A1029" s="33">
        <v>1031</v>
      </c>
      <c r="B1029" s="24">
        <v>44214</v>
      </c>
      <c r="C1029" t="s">
        <v>39</v>
      </c>
      <c r="D1029" t="s">
        <v>41</v>
      </c>
      <c r="E1029">
        <v>2000708025</v>
      </c>
      <c r="F1029">
        <v>2620</v>
      </c>
      <c r="G1029">
        <v>240</v>
      </c>
      <c r="H1029">
        <v>0</v>
      </c>
      <c r="I1029" t="s">
        <v>201</v>
      </c>
      <c r="J1029" t="s">
        <v>203</v>
      </c>
      <c r="K1029" t="s">
        <v>640</v>
      </c>
      <c r="O1029">
        <v>0</v>
      </c>
      <c r="U1029" t="s">
        <v>81</v>
      </c>
    </row>
    <row r="1030" spans="1:21" x14ac:dyDescent="0.25">
      <c r="A1030" s="33">
        <v>1032</v>
      </c>
      <c r="B1030" s="24">
        <v>44214</v>
      </c>
      <c r="C1030" t="s">
        <v>39</v>
      </c>
      <c r="D1030" t="s">
        <v>41</v>
      </c>
      <c r="E1030">
        <v>2000710224</v>
      </c>
      <c r="F1030">
        <v>2000</v>
      </c>
      <c r="G1030">
        <v>150</v>
      </c>
      <c r="H1030">
        <v>0</v>
      </c>
      <c r="I1030" t="s">
        <v>201</v>
      </c>
      <c r="J1030" t="s">
        <v>193</v>
      </c>
      <c r="K1030" t="s">
        <v>176</v>
      </c>
      <c r="O1030">
        <v>0</v>
      </c>
      <c r="U1030" t="s">
        <v>81</v>
      </c>
    </row>
    <row r="1031" spans="1:21" x14ac:dyDescent="0.25">
      <c r="A1031" s="33">
        <v>1033</v>
      </c>
      <c r="B1031" s="24">
        <v>44214</v>
      </c>
      <c r="C1031" t="s">
        <v>39</v>
      </c>
      <c r="D1031" t="s">
        <v>41</v>
      </c>
      <c r="E1031">
        <v>2000710227</v>
      </c>
      <c r="F1031">
        <v>2000</v>
      </c>
      <c r="G1031">
        <v>160</v>
      </c>
      <c r="H1031">
        <v>0</v>
      </c>
      <c r="I1031" t="s">
        <v>201</v>
      </c>
      <c r="J1031" t="s">
        <v>193</v>
      </c>
      <c r="K1031" t="s">
        <v>686</v>
      </c>
      <c r="O1031">
        <v>0</v>
      </c>
      <c r="U1031" t="s">
        <v>81</v>
      </c>
    </row>
    <row r="1032" spans="1:21" x14ac:dyDescent="0.25">
      <c r="A1032" s="33">
        <v>1034</v>
      </c>
      <c r="B1032" s="24">
        <v>44214</v>
      </c>
      <c r="C1032" t="s">
        <v>39</v>
      </c>
      <c r="D1032" t="s">
        <v>41</v>
      </c>
      <c r="E1032">
        <v>2000710786</v>
      </c>
      <c r="F1032">
        <v>4221</v>
      </c>
      <c r="G1032">
        <v>240</v>
      </c>
      <c r="H1032">
        <v>0</v>
      </c>
      <c r="I1032" t="s">
        <v>201</v>
      </c>
      <c r="J1032" t="s">
        <v>169</v>
      </c>
      <c r="K1032" t="s">
        <v>652</v>
      </c>
      <c r="O1032">
        <v>0</v>
      </c>
      <c r="U1032" t="s">
        <v>81</v>
      </c>
    </row>
    <row r="1033" spans="1:21" x14ac:dyDescent="0.25">
      <c r="A1033" s="33">
        <v>1035</v>
      </c>
      <c r="B1033" s="24">
        <v>44214</v>
      </c>
      <c r="C1033" t="s">
        <v>39</v>
      </c>
      <c r="D1033" t="s">
        <v>41</v>
      </c>
      <c r="E1033">
        <v>2000710508</v>
      </c>
      <c r="F1033">
        <v>1360</v>
      </c>
      <c r="G1033">
        <v>150</v>
      </c>
      <c r="I1033" t="s">
        <v>201</v>
      </c>
      <c r="J1033" t="s">
        <v>196</v>
      </c>
      <c r="K1033" t="s">
        <v>682</v>
      </c>
      <c r="U1033" t="s">
        <v>81</v>
      </c>
    </row>
    <row r="1034" spans="1:21" x14ac:dyDescent="0.25">
      <c r="A1034" s="33">
        <v>1036</v>
      </c>
      <c r="B1034" s="24">
        <v>44214</v>
      </c>
      <c r="C1034" t="s">
        <v>39</v>
      </c>
      <c r="D1034" t="s">
        <v>41</v>
      </c>
      <c r="E1034">
        <v>2000710294</v>
      </c>
      <c r="F1034">
        <v>1280</v>
      </c>
      <c r="G1034">
        <v>400</v>
      </c>
      <c r="H1034">
        <v>0</v>
      </c>
      <c r="I1034" t="s">
        <v>201</v>
      </c>
      <c r="J1034" t="s">
        <v>745</v>
      </c>
      <c r="K1034" t="s">
        <v>746</v>
      </c>
      <c r="O1034">
        <v>0</v>
      </c>
      <c r="U1034" t="s">
        <v>81</v>
      </c>
    </row>
    <row r="1035" spans="1:21" x14ac:dyDescent="0.25">
      <c r="A1035" s="33">
        <v>1037</v>
      </c>
      <c r="B1035" s="24">
        <v>44214</v>
      </c>
      <c r="C1035" t="s">
        <v>39</v>
      </c>
      <c r="D1035" t="s">
        <v>41</v>
      </c>
      <c r="E1035">
        <v>2000710507</v>
      </c>
      <c r="F1035">
        <v>1360</v>
      </c>
      <c r="G1035">
        <v>200</v>
      </c>
      <c r="H1035">
        <v>0</v>
      </c>
      <c r="I1035" t="s">
        <v>201</v>
      </c>
      <c r="J1035" t="s">
        <v>196</v>
      </c>
      <c r="K1035" t="s">
        <v>684</v>
      </c>
      <c r="O1035">
        <v>0</v>
      </c>
      <c r="U1035" t="s">
        <v>81</v>
      </c>
    </row>
    <row r="1036" spans="1:21" x14ac:dyDescent="0.25">
      <c r="A1036" s="33">
        <v>1038</v>
      </c>
      <c r="B1036" s="24">
        <v>44214</v>
      </c>
      <c r="C1036" t="s">
        <v>39</v>
      </c>
      <c r="D1036" t="s">
        <v>41</v>
      </c>
      <c r="E1036">
        <v>2000710139</v>
      </c>
      <c r="F1036">
        <v>994</v>
      </c>
      <c r="G1036">
        <v>20</v>
      </c>
      <c r="H1036">
        <v>0</v>
      </c>
      <c r="I1036" t="s">
        <v>661</v>
      </c>
      <c r="J1036" t="s">
        <v>698</v>
      </c>
      <c r="K1036" t="s">
        <v>786</v>
      </c>
      <c r="O1036">
        <v>0</v>
      </c>
      <c r="U1036" t="s">
        <v>81</v>
      </c>
    </row>
    <row r="1037" spans="1:21" x14ac:dyDescent="0.25">
      <c r="A1037" s="33">
        <v>1039</v>
      </c>
      <c r="B1037" s="24">
        <v>44214</v>
      </c>
      <c r="C1037" t="s">
        <v>39</v>
      </c>
      <c r="D1037" t="s">
        <v>41</v>
      </c>
      <c r="E1037">
        <v>2000710138</v>
      </c>
      <c r="F1037">
        <v>404</v>
      </c>
      <c r="G1037">
        <v>179</v>
      </c>
      <c r="H1037">
        <v>0</v>
      </c>
      <c r="I1037" t="s">
        <v>661</v>
      </c>
      <c r="J1037" t="s">
        <v>174</v>
      </c>
      <c r="K1037" t="s">
        <v>774</v>
      </c>
      <c r="O1037">
        <v>0</v>
      </c>
      <c r="U1037" t="s">
        <v>81</v>
      </c>
    </row>
    <row r="1038" spans="1:21" x14ac:dyDescent="0.25">
      <c r="A1038" s="33">
        <v>1040</v>
      </c>
      <c r="B1038" s="24">
        <v>44214</v>
      </c>
      <c r="C1038" t="s">
        <v>39</v>
      </c>
      <c r="D1038" t="s">
        <v>41</v>
      </c>
      <c r="E1038">
        <v>2000710800</v>
      </c>
      <c r="F1038">
        <v>540</v>
      </c>
      <c r="G1038">
        <v>296</v>
      </c>
      <c r="H1038">
        <v>0</v>
      </c>
      <c r="I1038" t="s">
        <v>661</v>
      </c>
      <c r="J1038" t="s">
        <v>174</v>
      </c>
      <c r="K1038" t="s">
        <v>774</v>
      </c>
      <c r="O1038">
        <v>0</v>
      </c>
      <c r="U1038" t="s">
        <v>81</v>
      </c>
    </row>
    <row r="1039" spans="1:21" x14ac:dyDescent="0.25">
      <c r="A1039" s="33">
        <v>1041</v>
      </c>
      <c r="B1039" s="24">
        <v>44214</v>
      </c>
      <c r="C1039" t="s">
        <v>39</v>
      </c>
      <c r="D1039" t="s">
        <v>41</v>
      </c>
      <c r="E1039">
        <v>2000709662</v>
      </c>
      <c r="F1039">
        <v>1306</v>
      </c>
      <c r="G1039">
        <v>200</v>
      </c>
      <c r="H1039">
        <v>0</v>
      </c>
      <c r="I1039" t="s">
        <v>661</v>
      </c>
      <c r="J1039" t="s">
        <v>698</v>
      </c>
      <c r="K1039" t="s">
        <v>786</v>
      </c>
      <c r="O1039">
        <v>0</v>
      </c>
      <c r="U1039" t="s">
        <v>81</v>
      </c>
    </row>
    <row r="1040" spans="1:21" x14ac:dyDescent="0.25">
      <c r="A1040" s="33">
        <v>1042</v>
      </c>
      <c r="B1040" s="24">
        <v>44214</v>
      </c>
      <c r="C1040" t="s">
        <v>39</v>
      </c>
      <c r="D1040" t="s">
        <v>41</v>
      </c>
      <c r="E1040">
        <v>2000710141</v>
      </c>
      <c r="F1040">
        <v>400</v>
      </c>
      <c r="G1040">
        <v>239</v>
      </c>
      <c r="H1040">
        <v>0</v>
      </c>
      <c r="I1040" t="s">
        <v>666</v>
      </c>
      <c r="J1040" t="s">
        <v>174</v>
      </c>
      <c r="K1040" t="s">
        <v>695</v>
      </c>
      <c r="O1040">
        <v>0</v>
      </c>
      <c r="U1040" t="s">
        <v>81</v>
      </c>
    </row>
    <row r="1041" spans="1:21" x14ac:dyDescent="0.25">
      <c r="A1041" s="33">
        <v>1043</v>
      </c>
      <c r="B1041" s="24">
        <v>44214</v>
      </c>
      <c r="C1041" t="s">
        <v>39</v>
      </c>
      <c r="D1041" t="s">
        <v>41</v>
      </c>
      <c r="E1041">
        <v>2000709648</v>
      </c>
      <c r="F1041">
        <v>82</v>
      </c>
      <c r="G1041">
        <v>82</v>
      </c>
      <c r="H1041">
        <v>0</v>
      </c>
      <c r="I1041" t="s">
        <v>666</v>
      </c>
      <c r="J1041" t="s">
        <v>174</v>
      </c>
      <c r="K1041" t="s">
        <v>717</v>
      </c>
      <c r="O1041">
        <v>0</v>
      </c>
      <c r="U1041" t="s">
        <v>81</v>
      </c>
    </row>
    <row r="1042" spans="1:21" x14ac:dyDescent="0.25">
      <c r="A1042" s="33">
        <v>1044</v>
      </c>
      <c r="B1042" s="24">
        <v>44214</v>
      </c>
      <c r="C1042" t="s">
        <v>39</v>
      </c>
      <c r="D1042" t="s">
        <v>41</v>
      </c>
      <c r="E1042">
        <v>2000710068</v>
      </c>
      <c r="F1042">
        <v>900</v>
      </c>
      <c r="G1042">
        <v>80</v>
      </c>
      <c r="H1042">
        <v>0</v>
      </c>
      <c r="I1042" t="s">
        <v>666</v>
      </c>
      <c r="J1042" t="s">
        <v>687</v>
      </c>
      <c r="K1042" t="s">
        <v>688</v>
      </c>
      <c r="O1042">
        <v>0</v>
      </c>
      <c r="U1042" t="s">
        <v>81</v>
      </c>
    </row>
    <row r="1043" spans="1:21" x14ac:dyDescent="0.25">
      <c r="A1043" s="33">
        <v>1045</v>
      </c>
      <c r="B1043" s="24">
        <v>44214</v>
      </c>
      <c r="C1043" t="s">
        <v>39</v>
      </c>
      <c r="D1043" t="s">
        <v>41</v>
      </c>
      <c r="E1043">
        <v>2000709560</v>
      </c>
      <c r="F1043">
        <v>3000</v>
      </c>
      <c r="G1043">
        <v>120</v>
      </c>
      <c r="H1043">
        <v>0</v>
      </c>
      <c r="I1043" t="s">
        <v>666</v>
      </c>
      <c r="J1043" t="s">
        <v>687</v>
      </c>
      <c r="K1043" t="s">
        <v>688</v>
      </c>
      <c r="O1043">
        <v>0</v>
      </c>
      <c r="U1043" t="s">
        <v>81</v>
      </c>
    </row>
    <row r="1044" spans="1:21" x14ac:dyDescent="0.25">
      <c r="A1044" s="33">
        <v>1046</v>
      </c>
      <c r="B1044" s="24">
        <v>44214</v>
      </c>
      <c r="C1044" t="s">
        <v>39</v>
      </c>
      <c r="D1044" t="s">
        <v>41</v>
      </c>
      <c r="E1044">
        <v>2000710800</v>
      </c>
      <c r="F1044">
        <v>540</v>
      </c>
      <c r="G1044">
        <v>45</v>
      </c>
      <c r="H1044">
        <v>0</v>
      </c>
      <c r="I1044" t="s">
        <v>168</v>
      </c>
      <c r="J1044" t="s">
        <v>174</v>
      </c>
      <c r="K1044" t="s">
        <v>774</v>
      </c>
      <c r="O1044">
        <v>0</v>
      </c>
      <c r="U1044" t="s">
        <v>81</v>
      </c>
    </row>
    <row r="1045" spans="1:21" x14ac:dyDescent="0.25">
      <c r="A1045" s="33">
        <v>1047</v>
      </c>
      <c r="B1045" s="24">
        <v>44214</v>
      </c>
      <c r="C1045" t="s">
        <v>39</v>
      </c>
      <c r="D1045" t="s">
        <v>51</v>
      </c>
      <c r="E1045">
        <v>2000709967</v>
      </c>
      <c r="F1045">
        <v>380</v>
      </c>
      <c r="G1045">
        <v>150</v>
      </c>
      <c r="H1045">
        <v>0</v>
      </c>
      <c r="I1045" t="s">
        <v>168</v>
      </c>
      <c r="J1045" t="s">
        <v>673</v>
      </c>
      <c r="K1045" t="s">
        <v>708</v>
      </c>
      <c r="O1045">
        <v>0</v>
      </c>
      <c r="U1045" t="s">
        <v>81</v>
      </c>
    </row>
    <row r="1046" spans="1:21" x14ac:dyDescent="0.25">
      <c r="A1046" s="33">
        <v>1048</v>
      </c>
      <c r="B1046" s="24">
        <v>44214</v>
      </c>
      <c r="C1046" t="s">
        <v>39</v>
      </c>
      <c r="D1046" t="s">
        <v>51</v>
      </c>
      <c r="E1046">
        <v>2000709666</v>
      </c>
      <c r="F1046">
        <v>650</v>
      </c>
      <c r="G1046">
        <v>70</v>
      </c>
      <c r="H1046">
        <v>0</v>
      </c>
      <c r="I1046" t="s">
        <v>168</v>
      </c>
      <c r="J1046" t="s">
        <v>667</v>
      </c>
      <c r="K1046" t="s">
        <v>671</v>
      </c>
      <c r="O1046">
        <v>0</v>
      </c>
      <c r="U1046" t="s">
        <v>81</v>
      </c>
    </row>
    <row r="1047" spans="1:21" x14ac:dyDescent="0.25">
      <c r="A1047" s="33">
        <v>1049</v>
      </c>
      <c r="B1047" s="24">
        <v>44214</v>
      </c>
      <c r="C1047" t="s">
        <v>39</v>
      </c>
      <c r="D1047" t="s">
        <v>51</v>
      </c>
      <c r="E1047">
        <v>2000709543</v>
      </c>
      <c r="F1047">
        <v>600</v>
      </c>
      <c r="G1047">
        <v>190</v>
      </c>
      <c r="H1047">
        <v>0</v>
      </c>
      <c r="I1047" t="s">
        <v>168</v>
      </c>
      <c r="J1047" t="s">
        <v>669</v>
      </c>
      <c r="K1047" t="s">
        <v>707</v>
      </c>
      <c r="O1047">
        <v>0</v>
      </c>
      <c r="U1047" t="s">
        <v>81</v>
      </c>
    </row>
    <row r="1048" spans="1:21" x14ac:dyDescent="0.25">
      <c r="A1048" s="33">
        <v>1050</v>
      </c>
      <c r="B1048" s="24">
        <v>44214</v>
      </c>
      <c r="C1048" t="s">
        <v>39</v>
      </c>
      <c r="D1048" t="s">
        <v>51</v>
      </c>
      <c r="E1048">
        <v>2000709967</v>
      </c>
      <c r="F1048">
        <v>380</v>
      </c>
      <c r="G1048">
        <v>80</v>
      </c>
      <c r="H1048">
        <v>0</v>
      </c>
      <c r="I1048" t="s">
        <v>168</v>
      </c>
      <c r="J1048" t="s">
        <v>673</v>
      </c>
      <c r="K1048" t="s">
        <v>708</v>
      </c>
      <c r="O1048">
        <v>0</v>
      </c>
      <c r="U1048" t="s">
        <v>81</v>
      </c>
    </row>
    <row r="1049" spans="1:21" x14ac:dyDescent="0.25">
      <c r="A1049" s="33">
        <v>1051</v>
      </c>
      <c r="B1049" s="24">
        <v>44214</v>
      </c>
      <c r="C1049" t="s">
        <v>39</v>
      </c>
      <c r="D1049" t="s">
        <v>51</v>
      </c>
      <c r="E1049">
        <v>2000709964</v>
      </c>
      <c r="F1049">
        <v>585</v>
      </c>
      <c r="G1049">
        <v>80</v>
      </c>
      <c r="H1049">
        <v>0</v>
      </c>
      <c r="I1049" t="s">
        <v>168</v>
      </c>
      <c r="J1049" t="s">
        <v>673</v>
      </c>
      <c r="K1049" t="s">
        <v>742</v>
      </c>
      <c r="O1049">
        <v>0</v>
      </c>
      <c r="U1049" t="s">
        <v>81</v>
      </c>
    </row>
    <row r="1050" spans="1:21" x14ac:dyDescent="0.25">
      <c r="A1050" s="33">
        <v>1052</v>
      </c>
      <c r="B1050" s="24">
        <v>44214</v>
      </c>
      <c r="C1050" t="s">
        <v>39</v>
      </c>
      <c r="D1050" t="s">
        <v>51</v>
      </c>
      <c r="E1050">
        <v>2000709963</v>
      </c>
      <c r="F1050">
        <v>420</v>
      </c>
      <c r="G1050">
        <v>80</v>
      </c>
      <c r="H1050">
        <v>0</v>
      </c>
      <c r="I1050" t="s">
        <v>168</v>
      </c>
      <c r="J1050" t="s">
        <v>667</v>
      </c>
      <c r="K1050" t="s">
        <v>834</v>
      </c>
      <c r="O1050">
        <v>0</v>
      </c>
      <c r="U1050" t="s">
        <v>81</v>
      </c>
    </row>
    <row r="1051" spans="1:21" x14ac:dyDescent="0.25">
      <c r="A1051" s="33">
        <v>1053</v>
      </c>
      <c r="B1051" s="24">
        <v>44214</v>
      </c>
      <c r="C1051" t="s">
        <v>181</v>
      </c>
      <c r="D1051" t="s">
        <v>41</v>
      </c>
      <c r="E1051">
        <v>2000710139</v>
      </c>
      <c r="F1051">
        <v>994</v>
      </c>
      <c r="G1051">
        <v>90</v>
      </c>
      <c r="H1051">
        <v>0</v>
      </c>
      <c r="I1051" t="s">
        <v>693</v>
      </c>
      <c r="J1051" t="s">
        <v>698</v>
      </c>
      <c r="K1051" t="s">
        <v>786</v>
      </c>
      <c r="O1051">
        <v>0</v>
      </c>
      <c r="U1051" t="s">
        <v>81</v>
      </c>
    </row>
    <row r="1052" spans="1:21" x14ac:dyDescent="0.25">
      <c r="A1052" s="33">
        <v>1054</v>
      </c>
      <c r="B1052" s="24">
        <v>44214</v>
      </c>
      <c r="C1052" t="s">
        <v>181</v>
      </c>
      <c r="D1052" t="s">
        <v>41</v>
      </c>
      <c r="E1052">
        <v>2000708778</v>
      </c>
      <c r="F1052">
        <v>856</v>
      </c>
      <c r="G1052">
        <v>30</v>
      </c>
      <c r="H1052">
        <v>0</v>
      </c>
      <c r="I1052" t="s">
        <v>693</v>
      </c>
      <c r="J1052" t="s">
        <v>698</v>
      </c>
      <c r="K1052" t="s">
        <v>700</v>
      </c>
      <c r="O1052">
        <v>0</v>
      </c>
      <c r="U1052" t="s">
        <v>81</v>
      </c>
    </row>
    <row r="1053" spans="1:21" x14ac:dyDescent="0.25">
      <c r="A1053" s="33">
        <v>1055</v>
      </c>
      <c r="B1053" s="24">
        <v>44214</v>
      </c>
      <c r="C1053" t="s">
        <v>181</v>
      </c>
      <c r="D1053" t="s">
        <v>41</v>
      </c>
      <c r="E1053">
        <v>2000710743</v>
      </c>
      <c r="F1053">
        <v>2400</v>
      </c>
      <c r="G1053">
        <v>160</v>
      </c>
      <c r="H1053">
        <v>0</v>
      </c>
      <c r="I1053" t="s">
        <v>693</v>
      </c>
      <c r="J1053" t="s">
        <v>645</v>
      </c>
      <c r="K1053" t="s">
        <v>721</v>
      </c>
      <c r="O1053">
        <v>0</v>
      </c>
      <c r="U1053" t="s">
        <v>81</v>
      </c>
    </row>
    <row r="1054" spans="1:21" x14ac:dyDescent="0.25">
      <c r="A1054" s="33">
        <v>1056</v>
      </c>
      <c r="B1054" s="24">
        <v>44214</v>
      </c>
      <c r="C1054" t="s">
        <v>181</v>
      </c>
      <c r="D1054" t="s">
        <v>41</v>
      </c>
      <c r="E1054">
        <v>2000710219</v>
      </c>
      <c r="F1054">
        <v>3700</v>
      </c>
      <c r="G1054">
        <v>110</v>
      </c>
      <c r="H1054">
        <v>0</v>
      </c>
      <c r="I1054" t="s">
        <v>693</v>
      </c>
      <c r="J1054" t="s">
        <v>172</v>
      </c>
      <c r="K1054" t="s">
        <v>173</v>
      </c>
      <c r="O1054">
        <v>0</v>
      </c>
      <c r="U1054" t="s">
        <v>81</v>
      </c>
    </row>
    <row r="1055" spans="1:21" x14ac:dyDescent="0.25">
      <c r="A1055" s="33">
        <v>1057</v>
      </c>
      <c r="B1055" s="24">
        <v>44214</v>
      </c>
      <c r="C1055" t="s">
        <v>181</v>
      </c>
      <c r="D1055" t="s">
        <v>41</v>
      </c>
      <c r="E1055">
        <v>2000708364</v>
      </c>
      <c r="F1055">
        <v>1352</v>
      </c>
      <c r="G1055">
        <v>78</v>
      </c>
      <c r="H1055">
        <v>0</v>
      </c>
      <c r="I1055" t="s">
        <v>693</v>
      </c>
      <c r="J1055" t="s">
        <v>174</v>
      </c>
      <c r="K1055" t="s">
        <v>205</v>
      </c>
      <c r="O1055">
        <v>0</v>
      </c>
      <c r="U1055" t="s">
        <v>81</v>
      </c>
    </row>
    <row r="1056" spans="1:21" x14ac:dyDescent="0.25">
      <c r="A1056" s="33">
        <v>1058</v>
      </c>
      <c r="B1056" s="24">
        <v>44214</v>
      </c>
      <c r="C1056" t="s">
        <v>181</v>
      </c>
      <c r="D1056" t="s">
        <v>41</v>
      </c>
      <c r="E1056">
        <v>2000710804</v>
      </c>
      <c r="F1056">
        <v>1030</v>
      </c>
      <c r="G1056">
        <v>90</v>
      </c>
      <c r="H1056">
        <v>0</v>
      </c>
      <c r="I1056" t="s">
        <v>693</v>
      </c>
      <c r="J1056" t="s">
        <v>698</v>
      </c>
      <c r="K1056" t="s">
        <v>786</v>
      </c>
      <c r="O1056">
        <v>0</v>
      </c>
      <c r="U1056" t="s">
        <v>81</v>
      </c>
    </row>
    <row r="1057" spans="1:21" x14ac:dyDescent="0.25">
      <c r="A1057" s="33">
        <v>1059</v>
      </c>
      <c r="B1057" s="24">
        <v>44214</v>
      </c>
      <c r="C1057" t="s">
        <v>181</v>
      </c>
      <c r="D1057" t="s">
        <v>41</v>
      </c>
      <c r="E1057">
        <v>2000709662</v>
      </c>
      <c r="F1057">
        <v>1306</v>
      </c>
      <c r="G1057">
        <v>10</v>
      </c>
      <c r="H1057">
        <v>0</v>
      </c>
      <c r="I1057" t="s">
        <v>693</v>
      </c>
      <c r="J1057" t="s">
        <v>698</v>
      </c>
      <c r="K1057" t="s">
        <v>786</v>
      </c>
      <c r="O1057">
        <v>0</v>
      </c>
      <c r="U1057" t="s">
        <v>81</v>
      </c>
    </row>
    <row r="1058" spans="1:21" x14ac:dyDescent="0.25">
      <c r="A1058" s="33">
        <v>1060</v>
      </c>
      <c r="B1058" s="24">
        <v>44214</v>
      </c>
      <c r="C1058" t="s">
        <v>181</v>
      </c>
      <c r="D1058" t="s">
        <v>41</v>
      </c>
      <c r="E1058">
        <v>2000710518</v>
      </c>
      <c r="F1058">
        <v>390</v>
      </c>
      <c r="G1058">
        <v>100</v>
      </c>
      <c r="H1058">
        <v>0</v>
      </c>
      <c r="I1058" t="s">
        <v>184</v>
      </c>
      <c r="J1058" t="s">
        <v>203</v>
      </c>
      <c r="K1058" t="s">
        <v>785</v>
      </c>
      <c r="O1058">
        <v>0</v>
      </c>
      <c r="U1058" t="s">
        <v>81</v>
      </c>
    </row>
    <row r="1059" spans="1:21" x14ac:dyDescent="0.25">
      <c r="A1059" s="33">
        <v>1061</v>
      </c>
      <c r="B1059" s="24">
        <v>44214</v>
      </c>
      <c r="C1059" t="s">
        <v>181</v>
      </c>
      <c r="D1059" t="s">
        <v>41</v>
      </c>
      <c r="E1059">
        <v>2000710877</v>
      </c>
      <c r="F1059">
        <v>180</v>
      </c>
      <c r="G1059">
        <v>141</v>
      </c>
      <c r="H1059">
        <v>0</v>
      </c>
      <c r="I1059" t="s">
        <v>184</v>
      </c>
      <c r="J1059" t="s">
        <v>203</v>
      </c>
      <c r="K1059" t="s">
        <v>785</v>
      </c>
      <c r="O1059">
        <v>0</v>
      </c>
      <c r="U1059" t="s">
        <v>81</v>
      </c>
    </row>
    <row r="1060" spans="1:21" x14ac:dyDescent="0.25">
      <c r="A1060" s="33">
        <v>1062</v>
      </c>
      <c r="B1060" s="24">
        <v>44214</v>
      </c>
      <c r="C1060" t="s">
        <v>181</v>
      </c>
      <c r="D1060" t="s">
        <v>41</v>
      </c>
      <c r="E1060">
        <v>2000710519</v>
      </c>
      <c r="F1060">
        <v>390</v>
      </c>
      <c r="G1060">
        <v>150</v>
      </c>
      <c r="H1060">
        <v>0</v>
      </c>
      <c r="I1060" t="s">
        <v>184</v>
      </c>
      <c r="J1060" t="s">
        <v>203</v>
      </c>
      <c r="K1060" t="s">
        <v>891</v>
      </c>
      <c r="O1060">
        <v>0</v>
      </c>
      <c r="U1060" t="s">
        <v>81</v>
      </c>
    </row>
    <row r="1061" spans="1:21" x14ac:dyDescent="0.25">
      <c r="A1061" s="33">
        <v>1063</v>
      </c>
      <c r="B1061" s="24">
        <v>44214</v>
      </c>
      <c r="C1061" t="s">
        <v>181</v>
      </c>
      <c r="D1061" t="s">
        <v>41</v>
      </c>
      <c r="E1061">
        <v>2000710139</v>
      </c>
      <c r="F1061">
        <v>994</v>
      </c>
      <c r="G1061">
        <v>105</v>
      </c>
      <c r="H1061">
        <v>0</v>
      </c>
      <c r="I1061" t="s">
        <v>696</v>
      </c>
      <c r="J1061" t="s">
        <v>698</v>
      </c>
      <c r="K1061" t="s">
        <v>786</v>
      </c>
      <c r="O1061">
        <v>0</v>
      </c>
      <c r="U1061" t="s">
        <v>81</v>
      </c>
    </row>
    <row r="1062" spans="1:21" x14ac:dyDescent="0.25">
      <c r="A1062" s="33">
        <v>1064</v>
      </c>
      <c r="B1062" s="24">
        <v>44214</v>
      </c>
      <c r="C1062" t="s">
        <v>181</v>
      </c>
      <c r="D1062" t="s">
        <v>41</v>
      </c>
      <c r="E1062">
        <v>2000710804</v>
      </c>
      <c r="F1062">
        <v>1030</v>
      </c>
      <c r="G1062">
        <v>360</v>
      </c>
      <c r="H1062">
        <v>0</v>
      </c>
      <c r="I1062" t="s">
        <v>696</v>
      </c>
      <c r="J1062" t="s">
        <v>698</v>
      </c>
      <c r="K1062" t="s">
        <v>786</v>
      </c>
      <c r="O1062">
        <v>0</v>
      </c>
      <c r="U1062" t="s">
        <v>81</v>
      </c>
    </row>
    <row r="1063" spans="1:21" x14ac:dyDescent="0.25">
      <c r="A1063" s="33">
        <v>1065</v>
      </c>
      <c r="B1063" s="24">
        <v>44214</v>
      </c>
      <c r="C1063" t="s">
        <v>181</v>
      </c>
      <c r="D1063" t="s">
        <v>41</v>
      </c>
      <c r="E1063">
        <v>2000709566</v>
      </c>
      <c r="F1063">
        <v>816</v>
      </c>
      <c r="G1063">
        <v>125</v>
      </c>
      <c r="H1063">
        <v>0</v>
      </c>
      <c r="I1063" t="s">
        <v>696</v>
      </c>
      <c r="J1063" t="s">
        <v>170</v>
      </c>
      <c r="K1063" t="s">
        <v>732</v>
      </c>
      <c r="O1063">
        <v>0</v>
      </c>
      <c r="U1063" t="s">
        <v>81</v>
      </c>
    </row>
    <row r="1064" spans="1:21" x14ac:dyDescent="0.25">
      <c r="A1064" s="33">
        <v>1066</v>
      </c>
      <c r="B1064" s="24">
        <v>44214</v>
      </c>
      <c r="C1064" t="s">
        <v>181</v>
      </c>
      <c r="D1064" t="s">
        <v>41</v>
      </c>
      <c r="E1064">
        <v>2000708958</v>
      </c>
      <c r="F1064">
        <v>1080</v>
      </c>
      <c r="G1064">
        <v>5</v>
      </c>
      <c r="H1064">
        <v>0</v>
      </c>
      <c r="I1064" t="s">
        <v>696</v>
      </c>
      <c r="J1064" t="s">
        <v>698</v>
      </c>
      <c r="K1064" t="s">
        <v>699</v>
      </c>
      <c r="O1064">
        <v>0</v>
      </c>
      <c r="U1064" t="s">
        <v>81</v>
      </c>
    </row>
    <row r="1065" spans="1:21" x14ac:dyDescent="0.25">
      <c r="A1065" s="33">
        <v>1067</v>
      </c>
      <c r="B1065" s="24">
        <v>44214</v>
      </c>
      <c r="C1065" t="s">
        <v>181</v>
      </c>
      <c r="D1065" t="s">
        <v>41</v>
      </c>
      <c r="E1065">
        <v>2000710844</v>
      </c>
      <c r="F1065">
        <v>1472</v>
      </c>
      <c r="G1065">
        <v>60</v>
      </c>
      <c r="H1065">
        <v>0</v>
      </c>
      <c r="I1065" t="s">
        <v>185</v>
      </c>
      <c r="J1065" t="s">
        <v>169</v>
      </c>
      <c r="K1065" t="s">
        <v>664</v>
      </c>
      <c r="O1065">
        <v>0</v>
      </c>
      <c r="U1065" t="s">
        <v>81</v>
      </c>
    </row>
    <row r="1066" spans="1:21" x14ac:dyDescent="0.25">
      <c r="A1066" s="33">
        <v>1068</v>
      </c>
      <c r="B1066" s="24">
        <v>44214</v>
      </c>
      <c r="C1066" t="s">
        <v>181</v>
      </c>
      <c r="D1066" t="s">
        <v>41</v>
      </c>
      <c r="E1066">
        <v>2000709880</v>
      </c>
      <c r="F1066">
        <v>4224</v>
      </c>
      <c r="G1066">
        <v>80</v>
      </c>
      <c r="H1066">
        <v>0</v>
      </c>
      <c r="I1066" t="s">
        <v>185</v>
      </c>
      <c r="J1066" t="s">
        <v>200</v>
      </c>
      <c r="K1066" t="s">
        <v>653</v>
      </c>
      <c r="O1066">
        <v>0</v>
      </c>
      <c r="U1066" t="s">
        <v>81</v>
      </c>
    </row>
    <row r="1067" spans="1:21" x14ac:dyDescent="0.25">
      <c r="A1067" s="33">
        <v>1069</v>
      </c>
      <c r="B1067" s="24">
        <v>44214</v>
      </c>
      <c r="C1067" t="s">
        <v>181</v>
      </c>
      <c r="D1067" t="s">
        <v>41</v>
      </c>
      <c r="E1067">
        <v>2000710219</v>
      </c>
      <c r="F1067">
        <v>3700</v>
      </c>
      <c r="G1067">
        <v>40</v>
      </c>
      <c r="H1067">
        <v>0</v>
      </c>
      <c r="I1067" t="s">
        <v>185</v>
      </c>
      <c r="J1067" t="s">
        <v>172</v>
      </c>
      <c r="K1067" t="s">
        <v>173</v>
      </c>
      <c r="O1067">
        <v>0</v>
      </c>
      <c r="U1067" t="s">
        <v>81</v>
      </c>
    </row>
    <row r="1068" spans="1:21" x14ac:dyDescent="0.25">
      <c r="A1068" s="33">
        <v>1070</v>
      </c>
      <c r="B1068" s="24">
        <v>44214</v>
      </c>
      <c r="C1068" t="s">
        <v>181</v>
      </c>
      <c r="D1068" t="s">
        <v>41</v>
      </c>
      <c r="E1068">
        <v>2000710734</v>
      </c>
      <c r="F1068">
        <v>700</v>
      </c>
      <c r="G1068">
        <v>80</v>
      </c>
      <c r="H1068">
        <v>0</v>
      </c>
      <c r="I1068" t="s">
        <v>185</v>
      </c>
      <c r="J1068" t="s">
        <v>645</v>
      </c>
      <c r="K1068" t="s">
        <v>649</v>
      </c>
      <c r="O1068">
        <v>0</v>
      </c>
      <c r="U1068" t="s">
        <v>81</v>
      </c>
    </row>
    <row r="1069" spans="1:21" x14ac:dyDescent="0.25">
      <c r="A1069" s="33">
        <v>1071</v>
      </c>
      <c r="B1069" s="24">
        <v>44214</v>
      </c>
      <c r="C1069" t="s">
        <v>181</v>
      </c>
      <c r="D1069" t="s">
        <v>41</v>
      </c>
      <c r="E1069">
        <v>2000710669</v>
      </c>
      <c r="F1069">
        <v>180</v>
      </c>
      <c r="G1069">
        <v>179</v>
      </c>
      <c r="H1069">
        <v>0</v>
      </c>
      <c r="I1069" t="s">
        <v>185</v>
      </c>
      <c r="J1069" t="s">
        <v>169</v>
      </c>
      <c r="K1069" t="s">
        <v>826</v>
      </c>
      <c r="O1069">
        <v>0</v>
      </c>
      <c r="U1069" t="s">
        <v>81</v>
      </c>
    </row>
    <row r="1070" spans="1:21" ht="45" x14ac:dyDescent="0.25">
      <c r="A1070" s="33">
        <v>1072</v>
      </c>
      <c r="B1070" s="24">
        <v>44214</v>
      </c>
      <c r="C1070" t="s">
        <v>181</v>
      </c>
      <c r="D1070" t="s">
        <v>41</v>
      </c>
      <c r="E1070">
        <v>2000710747</v>
      </c>
      <c r="F1070">
        <v>360</v>
      </c>
      <c r="G1070">
        <v>40</v>
      </c>
      <c r="H1070">
        <v>0</v>
      </c>
      <c r="I1070" t="s">
        <v>185</v>
      </c>
      <c r="J1070" t="s">
        <v>687</v>
      </c>
      <c r="K1070" t="s">
        <v>757</v>
      </c>
      <c r="O1070">
        <v>0</v>
      </c>
      <c r="T1070" s="62" t="s">
        <v>775</v>
      </c>
      <c r="U1070" t="s">
        <v>81</v>
      </c>
    </row>
    <row r="1071" spans="1:21" x14ac:dyDescent="0.25">
      <c r="A1071" s="33">
        <v>1073</v>
      </c>
      <c r="B1071" s="24">
        <v>44214</v>
      </c>
      <c r="C1071" t="s">
        <v>181</v>
      </c>
      <c r="D1071" t="s">
        <v>41</v>
      </c>
      <c r="E1071">
        <v>2000710670</v>
      </c>
      <c r="F1071">
        <v>360</v>
      </c>
      <c r="G1071">
        <v>60</v>
      </c>
      <c r="H1071">
        <v>0</v>
      </c>
      <c r="I1071" t="s">
        <v>185</v>
      </c>
      <c r="J1071" t="s">
        <v>169</v>
      </c>
      <c r="K1071" t="s">
        <v>892</v>
      </c>
      <c r="O1071">
        <v>0</v>
      </c>
      <c r="U1071" t="s">
        <v>81</v>
      </c>
    </row>
    <row r="1072" spans="1:21" x14ac:dyDescent="0.25">
      <c r="A1072" s="33">
        <v>1074</v>
      </c>
      <c r="B1072" s="24">
        <v>44214</v>
      </c>
      <c r="C1072" t="s">
        <v>181</v>
      </c>
      <c r="D1072" t="s">
        <v>41</v>
      </c>
      <c r="E1072">
        <v>2000710294</v>
      </c>
      <c r="F1072">
        <v>1280</v>
      </c>
      <c r="G1072">
        <v>680</v>
      </c>
      <c r="H1072">
        <v>0</v>
      </c>
      <c r="I1072" t="s">
        <v>680</v>
      </c>
      <c r="J1072" t="s">
        <v>745</v>
      </c>
      <c r="K1072" t="s">
        <v>746</v>
      </c>
      <c r="O1072">
        <v>0</v>
      </c>
      <c r="U1072" t="s">
        <v>81</v>
      </c>
    </row>
    <row r="1073" spans="1:21" x14ac:dyDescent="0.25">
      <c r="A1073" s="33">
        <v>1075</v>
      </c>
      <c r="B1073" s="24">
        <v>44214</v>
      </c>
      <c r="C1073" t="s">
        <v>181</v>
      </c>
      <c r="D1073" t="s">
        <v>41</v>
      </c>
      <c r="E1073">
        <v>2000710509</v>
      </c>
      <c r="F1073">
        <v>1360</v>
      </c>
      <c r="G1073">
        <v>150</v>
      </c>
      <c r="H1073">
        <v>0</v>
      </c>
      <c r="I1073" t="s">
        <v>680</v>
      </c>
      <c r="J1073" t="s">
        <v>196</v>
      </c>
      <c r="K1073" t="s">
        <v>685</v>
      </c>
      <c r="O1073">
        <v>0</v>
      </c>
      <c r="U1073" t="s">
        <v>81</v>
      </c>
    </row>
    <row r="1074" spans="1:21" x14ac:dyDescent="0.25">
      <c r="A1074" s="33">
        <v>1076</v>
      </c>
      <c r="B1074" s="24">
        <v>44214</v>
      </c>
      <c r="C1074" t="s">
        <v>181</v>
      </c>
      <c r="D1074" t="s">
        <v>41</v>
      </c>
      <c r="E1074">
        <v>2000710741</v>
      </c>
      <c r="F1074">
        <v>2400</v>
      </c>
      <c r="G1074">
        <v>150</v>
      </c>
      <c r="H1074">
        <v>0</v>
      </c>
      <c r="I1074" t="s">
        <v>680</v>
      </c>
      <c r="J1074" t="s">
        <v>645</v>
      </c>
      <c r="K1074" t="s">
        <v>739</v>
      </c>
      <c r="O1074">
        <v>0</v>
      </c>
      <c r="U1074" t="s">
        <v>81</v>
      </c>
    </row>
    <row r="1075" spans="1:21" x14ac:dyDescent="0.25">
      <c r="A1075" s="33">
        <v>1077</v>
      </c>
      <c r="B1075" s="24">
        <v>44214</v>
      </c>
      <c r="C1075" t="s">
        <v>181</v>
      </c>
      <c r="D1075" t="s">
        <v>41</v>
      </c>
      <c r="E1075">
        <v>2000710291</v>
      </c>
      <c r="F1075">
        <v>4210</v>
      </c>
      <c r="G1075">
        <v>300</v>
      </c>
      <c r="H1075">
        <v>0</v>
      </c>
      <c r="I1075" t="s">
        <v>680</v>
      </c>
      <c r="J1075" t="s">
        <v>199</v>
      </c>
      <c r="K1075" t="s">
        <v>660</v>
      </c>
      <c r="O1075">
        <v>0</v>
      </c>
      <c r="U1075" t="s">
        <v>81</v>
      </c>
    </row>
    <row r="1076" spans="1:21" x14ac:dyDescent="0.25">
      <c r="A1076" s="33">
        <v>1078</v>
      </c>
      <c r="B1076" s="24">
        <v>44214</v>
      </c>
      <c r="C1076" t="s">
        <v>181</v>
      </c>
      <c r="D1076" t="s">
        <v>41</v>
      </c>
      <c r="E1076">
        <v>2000710226</v>
      </c>
      <c r="F1076">
        <v>2000</v>
      </c>
      <c r="G1076">
        <v>160</v>
      </c>
      <c r="H1076">
        <v>0</v>
      </c>
      <c r="I1076" t="s">
        <v>680</v>
      </c>
      <c r="J1076" t="s">
        <v>193</v>
      </c>
      <c r="K1076" t="s">
        <v>650</v>
      </c>
      <c r="O1076">
        <v>0</v>
      </c>
      <c r="U1076" t="s">
        <v>81</v>
      </c>
    </row>
    <row r="1077" spans="1:21" x14ac:dyDescent="0.25">
      <c r="A1077" s="33">
        <v>1079</v>
      </c>
      <c r="B1077" s="24">
        <v>44214</v>
      </c>
      <c r="C1077" t="s">
        <v>181</v>
      </c>
      <c r="D1077" t="s">
        <v>41</v>
      </c>
      <c r="E1077">
        <v>2000710225</v>
      </c>
      <c r="F1077">
        <v>2000</v>
      </c>
      <c r="G1077">
        <v>200</v>
      </c>
      <c r="H1077">
        <v>0</v>
      </c>
      <c r="I1077" t="s">
        <v>680</v>
      </c>
      <c r="J1077" t="s">
        <v>193</v>
      </c>
      <c r="K1077" t="s">
        <v>683</v>
      </c>
      <c r="O1077">
        <v>0</v>
      </c>
      <c r="U1077" t="s">
        <v>81</v>
      </c>
    </row>
    <row r="1078" spans="1:21" x14ac:dyDescent="0.25">
      <c r="A1078" s="33">
        <v>1080</v>
      </c>
      <c r="B1078" s="24">
        <v>44214</v>
      </c>
      <c r="C1078" t="s">
        <v>181</v>
      </c>
      <c r="D1078" t="s">
        <v>41</v>
      </c>
      <c r="E1078">
        <v>2000710802</v>
      </c>
      <c r="F1078">
        <v>120</v>
      </c>
      <c r="G1078">
        <v>120</v>
      </c>
      <c r="H1078">
        <v>0</v>
      </c>
      <c r="I1078" t="s">
        <v>183</v>
      </c>
      <c r="J1078" t="s">
        <v>174</v>
      </c>
      <c r="K1078" t="s">
        <v>187</v>
      </c>
      <c r="O1078">
        <v>0</v>
      </c>
      <c r="U1078" t="s">
        <v>81</v>
      </c>
    </row>
    <row r="1079" spans="1:21" x14ac:dyDescent="0.25">
      <c r="A1079" s="33">
        <v>1081</v>
      </c>
      <c r="B1079" s="24">
        <v>44214</v>
      </c>
      <c r="C1079" t="s">
        <v>181</v>
      </c>
      <c r="D1079" t="s">
        <v>41</v>
      </c>
      <c r="E1079">
        <v>2000707221</v>
      </c>
      <c r="F1079">
        <v>240</v>
      </c>
      <c r="G1079">
        <v>4</v>
      </c>
      <c r="H1079">
        <v>0</v>
      </c>
      <c r="I1079" t="s">
        <v>183</v>
      </c>
      <c r="J1079" t="s">
        <v>174</v>
      </c>
      <c r="K1079" t="s">
        <v>187</v>
      </c>
      <c r="O1079">
        <v>0</v>
      </c>
      <c r="U1079" t="s">
        <v>81</v>
      </c>
    </row>
    <row r="1080" spans="1:21" x14ac:dyDescent="0.25">
      <c r="A1080" s="33">
        <v>1082</v>
      </c>
      <c r="B1080" s="24">
        <v>44214</v>
      </c>
      <c r="C1080" t="s">
        <v>181</v>
      </c>
      <c r="D1080" t="s">
        <v>41</v>
      </c>
      <c r="E1080">
        <v>2000710801</v>
      </c>
      <c r="F1080">
        <v>200</v>
      </c>
      <c r="G1080">
        <v>200</v>
      </c>
      <c r="H1080">
        <v>0</v>
      </c>
      <c r="I1080" t="s">
        <v>183</v>
      </c>
      <c r="J1080" t="s">
        <v>174</v>
      </c>
      <c r="K1080" t="s">
        <v>188</v>
      </c>
      <c r="O1080">
        <v>0</v>
      </c>
      <c r="U1080" t="s">
        <v>81</v>
      </c>
    </row>
    <row r="1081" spans="1:21" x14ac:dyDescent="0.25">
      <c r="A1081" s="33">
        <v>1083</v>
      </c>
      <c r="B1081" s="24">
        <v>44214</v>
      </c>
      <c r="C1081" t="s">
        <v>181</v>
      </c>
      <c r="D1081" t="s">
        <v>41</v>
      </c>
      <c r="E1081">
        <v>2000710146</v>
      </c>
      <c r="F1081">
        <v>80</v>
      </c>
      <c r="G1081">
        <v>80</v>
      </c>
      <c r="H1081">
        <v>0</v>
      </c>
      <c r="I1081" t="s">
        <v>183</v>
      </c>
      <c r="J1081" t="s">
        <v>174</v>
      </c>
      <c r="K1081" t="s">
        <v>893</v>
      </c>
      <c r="O1081">
        <v>0</v>
      </c>
      <c r="U1081" t="s">
        <v>81</v>
      </c>
    </row>
    <row r="1082" spans="1:21" x14ac:dyDescent="0.25">
      <c r="A1082" s="33">
        <v>1084</v>
      </c>
      <c r="B1082" s="24">
        <v>44214</v>
      </c>
      <c r="C1082" t="s">
        <v>181</v>
      </c>
      <c r="D1082" t="s">
        <v>41</v>
      </c>
      <c r="E1082">
        <v>2000708365</v>
      </c>
      <c r="F1082">
        <v>600</v>
      </c>
      <c r="G1082">
        <v>21</v>
      </c>
      <c r="H1082">
        <v>0</v>
      </c>
      <c r="I1082" t="s">
        <v>183</v>
      </c>
      <c r="J1082" t="s">
        <v>174</v>
      </c>
      <c r="K1082" t="s">
        <v>792</v>
      </c>
      <c r="O1082">
        <v>0</v>
      </c>
      <c r="U1082" t="s">
        <v>81</v>
      </c>
    </row>
    <row r="1083" spans="1:21" x14ac:dyDescent="0.25">
      <c r="A1083" s="33">
        <v>1085</v>
      </c>
      <c r="B1083" s="24">
        <v>44214</v>
      </c>
      <c r="C1083" t="s">
        <v>181</v>
      </c>
      <c r="D1083" t="s">
        <v>41</v>
      </c>
      <c r="E1083">
        <v>2000709655</v>
      </c>
      <c r="F1083">
        <v>500</v>
      </c>
      <c r="G1083">
        <v>60</v>
      </c>
      <c r="H1083">
        <v>0</v>
      </c>
      <c r="I1083" t="s">
        <v>183</v>
      </c>
      <c r="J1083" t="s">
        <v>169</v>
      </c>
      <c r="K1083" t="s">
        <v>179</v>
      </c>
      <c r="O1083">
        <v>0</v>
      </c>
      <c r="U1083" t="s">
        <v>81</v>
      </c>
    </row>
    <row r="1084" spans="1:21" x14ac:dyDescent="0.25">
      <c r="A1084" s="33">
        <v>1086</v>
      </c>
      <c r="B1084" s="24">
        <v>44214</v>
      </c>
      <c r="C1084" t="s">
        <v>181</v>
      </c>
      <c r="D1084" t="s">
        <v>41</v>
      </c>
      <c r="E1084">
        <v>2000710218</v>
      </c>
      <c r="F1084">
        <v>3700</v>
      </c>
      <c r="G1084">
        <v>200</v>
      </c>
      <c r="H1084">
        <v>0</v>
      </c>
      <c r="I1084" t="s">
        <v>759</v>
      </c>
      <c r="J1084" t="s">
        <v>172</v>
      </c>
      <c r="K1084" t="s">
        <v>725</v>
      </c>
      <c r="O1084">
        <v>0</v>
      </c>
      <c r="U1084" t="s">
        <v>81</v>
      </c>
    </row>
    <row r="1085" spans="1:21" x14ac:dyDescent="0.25">
      <c r="A1085" s="33">
        <v>1087</v>
      </c>
      <c r="B1085" s="24">
        <v>44214</v>
      </c>
      <c r="C1085" t="s">
        <v>181</v>
      </c>
      <c r="D1085" t="s">
        <v>41</v>
      </c>
      <c r="E1085">
        <v>2000710515</v>
      </c>
      <c r="F1085">
        <v>600</v>
      </c>
      <c r="G1085">
        <v>150</v>
      </c>
      <c r="H1085">
        <v>0</v>
      </c>
      <c r="I1085" t="s">
        <v>759</v>
      </c>
      <c r="J1085" t="s">
        <v>169</v>
      </c>
      <c r="K1085" t="s">
        <v>847</v>
      </c>
      <c r="O1085">
        <v>0</v>
      </c>
      <c r="T1085" s="62"/>
      <c r="U1085" t="s">
        <v>81</v>
      </c>
    </row>
    <row r="1086" spans="1:21" x14ac:dyDescent="0.25">
      <c r="A1086" s="33">
        <v>1088</v>
      </c>
      <c r="B1086" s="24">
        <v>44214</v>
      </c>
      <c r="C1086" t="s">
        <v>181</v>
      </c>
      <c r="D1086" t="s">
        <v>51</v>
      </c>
      <c r="E1086">
        <v>2000709967</v>
      </c>
      <c r="F1086">
        <v>380</v>
      </c>
      <c r="G1086">
        <v>50</v>
      </c>
      <c r="H1086">
        <v>1</v>
      </c>
      <c r="I1086" t="s">
        <v>706</v>
      </c>
      <c r="J1086" t="s">
        <v>673</v>
      </c>
      <c r="K1086" t="s">
        <v>708</v>
      </c>
      <c r="L1086" t="s">
        <v>112</v>
      </c>
      <c r="N1086" t="s">
        <v>894</v>
      </c>
      <c r="O1086">
        <v>1</v>
      </c>
      <c r="P1086" t="s">
        <v>895</v>
      </c>
      <c r="Q1086" t="s">
        <v>896</v>
      </c>
      <c r="R1086" t="s">
        <v>897</v>
      </c>
      <c r="S1086" s="36">
        <v>0.875</v>
      </c>
      <c r="U1086" t="s">
        <v>81</v>
      </c>
    </row>
    <row r="1087" spans="1:21" x14ac:dyDescent="0.25">
      <c r="A1087" s="33">
        <v>1089</v>
      </c>
      <c r="B1087" s="24">
        <v>44214</v>
      </c>
      <c r="C1087" t="s">
        <v>181</v>
      </c>
      <c r="D1087" t="s">
        <v>51</v>
      </c>
      <c r="E1087">
        <v>2000709959</v>
      </c>
      <c r="F1087">
        <v>945</v>
      </c>
      <c r="G1087">
        <v>160</v>
      </c>
      <c r="H1087">
        <v>0</v>
      </c>
      <c r="I1087" t="s">
        <v>706</v>
      </c>
      <c r="J1087" t="s">
        <v>673</v>
      </c>
      <c r="K1087" t="s">
        <v>674</v>
      </c>
      <c r="O1087">
        <v>0</v>
      </c>
      <c r="U1087" t="s">
        <v>81</v>
      </c>
    </row>
    <row r="1088" spans="1:21" x14ac:dyDescent="0.25">
      <c r="A1088" s="33">
        <v>1090</v>
      </c>
      <c r="B1088" s="24">
        <v>44214</v>
      </c>
      <c r="C1088" t="s">
        <v>181</v>
      </c>
      <c r="D1088" t="s">
        <v>51</v>
      </c>
      <c r="E1088">
        <v>2000709542</v>
      </c>
      <c r="F1088">
        <v>120</v>
      </c>
      <c r="G1088">
        <v>60</v>
      </c>
      <c r="H1088">
        <v>0</v>
      </c>
      <c r="I1088" t="s">
        <v>706</v>
      </c>
      <c r="J1088" t="s">
        <v>669</v>
      </c>
      <c r="K1088" t="s">
        <v>778</v>
      </c>
      <c r="O1088">
        <v>0</v>
      </c>
      <c r="U1088" t="s">
        <v>81</v>
      </c>
    </row>
    <row r="1089" spans="1:21" x14ac:dyDescent="0.25">
      <c r="A1089" s="33">
        <v>1091</v>
      </c>
      <c r="B1089" s="24">
        <v>44214</v>
      </c>
      <c r="C1089" t="s">
        <v>181</v>
      </c>
      <c r="D1089" t="s">
        <v>51</v>
      </c>
      <c r="E1089">
        <v>2000709965</v>
      </c>
      <c r="F1089">
        <v>19</v>
      </c>
      <c r="G1089">
        <v>19</v>
      </c>
      <c r="H1089">
        <v>0</v>
      </c>
      <c r="I1089" t="s">
        <v>706</v>
      </c>
      <c r="J1089" t="s">
        <v>669</v>
      </c>
      <c r="K1089" t="s">
        <v>675</v>
      </c>
      <c r="O1089">
        <v>0</v>
      </c>
      <c r="U1089" t="s">
        <v>81</v>
      </c>
    </row>
    <row r="1090" spans="1:21" x14ac:dyDescent="0.25">
      <c r="A1090" s="33">
        <v>1092</v>
      </c>
      <c r="B1090" s="24">
        <v>44214</v>
      </c>
      <c r="C1090" t="s">
        <v>181</v>
      </c>
      <c r="D1090" t="s">
        <v>51</v>
      </c>
      <c r="E1090">
        <v>2000710503</v>
      </c>
      <c r="F1090">
        <v>600</v>
      </c>
      <c r="G1090">
        <v>192</v>
      </c>
      <c r="H1090">
        <v>0</v>
      </c>
      <c r="I1090" t="s">
        <v>706</v>
      </c>
      <c r="J1090" t="s">
        <v>709</v>
      </c>
      <c r="K1090" t="s">
        <v>710</v>
      </c>
      <c r="O1090">
        <v>0</v>
      </c>
      <c r="U1090" t="s">
        <v>81</v>
      </c>
    </row>
    <row r="1091" spans="1:21" x14ac:dyDescent="0.25">
      <c r="A1091" s="33">
        <v>1093</v>
      </c>
      <c r="B1091" s="24">
        <v>44214</v>
      </c>
      <c r="C1091" t="s">
        <v>181</v>
      </c>
      <c r="D1091" t="s">
        <v>51</v>
      </c>
      <c r="E1091">
        <v>2000709543</v>
      </c>
      <c r="F1091">
        <v>600</v>
      </c>
      <c r="G1091">
        <v>15</v>
      </c>
      <c r="H1091">
        <v>0</v>
      </c>
      <c r="I1091" t="s">
        <v>706</v>
      </c>
      <c r="J1091" t="s">
        <v>669</v>
      </c>
      <c r="K1091" t="s">
        <v>707</v>
      </c>
      <c r="O1091">
        <v>0</v>
      </c>
      <c r="U1091" t="s">
        <v>81</v>
      </c>
    </row>
    <row r="1092" spans="1:21" x14ac:dyDescent="0.25">
      <c r="A1092" s="33">
        <v>1094</v>
      </c>
      <c r="B1092" s="24">
        <v>44214</v>
      </c>
      <c r="C1092" t="s">
        <v>181</v>
      </c>
      <c r="D1092" t="s">
        <v>51</v>
      </c>
      <c r="E1092">
        <v>2000709545</v>
      </c>
      <c r="F1092">
        <v>700</v>
      </c>
      <c r="G1092">
        <v>140</v>
      </c>
      <c r="H1092">
        <v>0</v>
      </c>
      <c r="I1092" t="s">
        <v>706</v>
      </c>
      <c r="J1092" t="s">
        <v>709</v>
      </c>
      <c r="K1092" t="s">
        <v>743</v>
      </c>
      <c r="O1092">
        <v>0</v>
      </c>
      <c r="U1092" t="s">
        <v>81</v>
      </c>
    </row>
    <row r="1093" spans="1:21" x14ac:dyDescent="0.25">
      <c r="A1093" s="33">
        <v>1095</v>
      </c>
      <c r="B1093" s="24">
        <v>44214</v>
      </c>
      <c r="C1093" t="s">
        <v>181</v>
      </c>
      <c r="D1093" t="s">
        <v>51</v>
      </c>
      <c r="E1093">
        <v>2000710530</v>
      </c>
      <c r="F1093">
        <v>167</v>
      </c>
      <c r="G1093">
        <v>105</v>
      </c>
      <c r="H1093">
        <v>0</v>
      </c>
      <c r="I1093" t="s">
        <v>706</v>
      </c>
      <c r="J1093" t="s">
        <v>669</v>
      </c>
      <c r="K1093" t="s">
        <v>801</v>
      </c>
      <c r="O1093">
        <v>0</v>
      </c>
      <c r="U1093" t="s">
        <v>81</v>
      </c>
    </row>
    <row r="1094" spans="1:21" x14ac:dyDescent="0.25">
      <c r="A1094" s="33">
        <v>1096</v>
      </c>
      <c r="B1094" s="24">
        <v>44214</v>
      </c>
      <c r="C1094" t="s">
        <v>181</v>
      </c>
      <c r="D1094" t="s">
        <v>51</v>
      </c>
      <c r="E1094">
        <v>2000709966</v>
      </c>
      <c r="F1094">
        <v>190</v>
      </c>
      <c r="G1094">
        <v>60</v>
      </c>
      <c r="H1094">
        <v>0</v>
      </c>
      <c r="I1094" t="s">
        <v>706</v>
      </c>
      <c r="J1094" t="s">
        <v>669</v>
      </c>
      <c r="K1094" t="s">
        <v>741</v>
      </c>
      <c r="O1094">
        <v>0</v>
      </c>
      <c r="U1094" t="s">
        <v>81</v>
      </c>
    </row>
    <row r="1095" spans="1:21" x14ac:dyDescent="0.25">
      <c r="A1095" s="33">
        <v>1097</v>
      </c>
      <c r="B1095" s="24">
        <v>44214</v>
      </c>
      <c r="C1095" t="s">
        <v>181</v>
      </c>
      <c r="D1095" t="s">
        <v>51</v>
      </c>
      <c r="E1095">
        <v>2000709968</v>
      </c>
      <c r="F1095">
        <v>60</v>
      </c>
      <c r="G1095">
        <v>60</v>
      </c>
      <c r="H1095">
        <v>0</v>
      </c>
      <c r="I1095" t="s">
        <v>706</v>
      </c>
      <c r="J1095" t="s">
        <v>673</v>
      </c>
      <c r="K1095" t="s">
        <v>791</v>
      </c>
      <c r="O1095">
        <v>0</v>
      </c>
      <c r="U1095" t="s">
        <v>81</v>
      </c>
    </row>
    <row r="1096" spans="1:21" x14ac:dyDescent="0.25">
      <c r="A1096" s="33">
        <v>1098</v>
      </c>
      <c r="B1096" s="24">
        <v>44214</v>
      </c>
      <c r="C1096" t="s">
        <v>181</v>
      </c>
      <c r="D1096" t="s">
        <v>51</v>
      </c>
      <c r="E1096">
        <v>2000710497</v>
      </c>
      <c r="F1096">
        <v>300</v>
      </c>
      <c r="G1096">
        <v>30</v>
      </c>
      <c r="H1096">
        <v>0</v>
      </c>
      <c r="I1096" t="s">
        <v>706</v>
      </c>
      <c r="J1096" t="s">
        <v>673</v>
      </c>
      <c r="K1096" t="s">
        <v>760</v>
      </c>
      <c r="O1096">
        <v>0</v>
      </c>
      <c r="U1096" t="s">
        <v>81</v>
      </c>
    </row>
    <row r="1097" spans="1:21" x14ac:dyDescent="0.25">
      <c r="A1097" s="33">
        <v>1099</v>
      </c>
      <c r="B1097" s="24">
        <v>44215</v>
      </c>
      <c r="C1097" t="s">
        <v>39</v>
      </c>
      <c r="D1097" t="s">
        <v>41</v>
      </c>
      <c r="E1097">
        <v>2000710877</v>
      </c>
      <c r="F1097">
        <v>180</v>
      </c>
      <c r="G1097">
        <v>40</v>
      </c>
      <c r="H1097">
        <v>0</v>
      </c>
      <c r="I1097" t="s">
        <v>168</v>
      </c>
      <c r="J1097" t="s">
        <v>203</v>
      </c>
      <c r="K1097" t="s">
        <v>785</v>
      </c>
      <c r="O1097">
        <v>0</v>
      </c>
      <c r="U1097" t="s">
        <v>81</v>
      </c>
    </row>
    <row r="1098" spans="1:21" x14ac:dyDescent="0.25">
      <c r="A1098" s="33">
        <v>1100</v>
      </c>
      <c r="B1098" s="24">
        <v>44215</v>
      </c>
      <c r="C1098" t="s">
        <v>39</v>
      </c>
      <c r="D1098" t="s">
        <v>41</v>
      </c>
      <c r="E1098">
        <v>2000711068</v>
      </c>
      <c r="F1098">
        <v>660</v>
      </c>
      <c r="G1098">
        <v>30</v>
      </c>
      <c r="H1098">
        <v>0</v>
      </c>
      <c r="I1098" t="s">
        <v>168</v>
      </c>
      <c r="J1098" t="s">
        <v>203</v>
      </c>
      <c r="K1098" t="s">
        <v>639</v>
      </c>
      <c r="O1098">
        <v>0</v>
      </c>
      <c r="U1098" t="s">
        <v>81</v>
      </c>
    </row>
    <row r="1099" spans="1:21" x14ac:dyDescent="0.25">
      <c r="A1099" s="33">
        <v>1101</v>
      </c>
      <c r="B1099" s="24">
        <v>44215</v>
      </c>
      <c r="C1099" t="s">
        <v>39</v>
      </c>
      <c r="D1099" t="s">
        <v>41</v>
      </c>
      <c r="E1099">
        <v>2000710671</v>
      </c>
      <c r="F1099">
        <v>600</v>
      </c>
      <c r="G1099">
        <v>200</v>
      </c>
      <c r="H1099">
        <v>0</v>
      </c>
      <c r="I1099" t="s">
        <v>180</v>
      </c>
      <c r="J1099" t="s">
        <v>169</v>
      </c>
      <c r="K1099" t="s">
        <v>767</v>
      </c>
      <c r="O1099">
        <v>0</v>
      </c>
      <c r="U1099" t="s">
        <v>81</v>
      </c>
    </row>
    <row r="1100" spans="1:21" x14ac:dyDescent="0.25">
      <c r="A1100" s="33">
        <v>1102</v>
      </c>
      <c r="B1100" s="24">
        <v>44215</v>
      </c>
      <c r="C1100" t="s">
        <v>39</v>
      </c>
      <c r="D1100" t="s">
        <v>41</v>
      </c>
      <c r="E1100">
        <v>2000710118</v>
      </c>
      <c r="F1100">
        <v>3000</v>
      </c>
      <c r="G1100">
        <v>150</v>
      </c>
      <c r="H1100">
        <v>0</v>
      </c>
      <c r="I1100" t="s">
        <v>666</v>
      </c>
      <c r="J1100" t="s">
        <v>687</v>
      </c>
      <c r="K1100" t="s">
        <v>688</v>
      </c>
      <c r="O1100">
        <v>0</v>
      </c>
      <c r="U1100" t="s">
        <v>81</v>
      </c>
    </row>
    <row r="1101" spans="1:21" x14ac:dyDescent="0.25">
      <c r="A1101" s="33">
        <v>1103</v>
      </c>
      <c r="B1101" s="24">
        <v>44215</v>
      </c>
      <c r="C1101" t="s">
        <v>39</v>
      </c>
      <c r="D1101" t="s">
        <v>41</v>
      </c>
      <c r="E1101">
        <v>2000710803</v>
      </c>
      <c r="F1101">
        <v>80</v>
      </c>
      <c r="G1101">
        <v>80</v>
      </c>
      <c r="H1101">
        <v>0</v>
      </c>
      <c r="I1101" t="s">
        <v>666</v>
      </c>
      <c r="J1101" t="s">
        <v>174</v>
      </c>
      <c r="K1101" t="s">
        <v>870</v>
      </c>
      <c r="O1101">
        <v>0</v>
      </c>
      <c r="U1101" t="s">
        <v>81</v>
      </c>
    </row>
    <row r="1102" spans="1:21" x14ac:dyDescent="0.25">
      <c r="A1102" s="33">
        <v>1104</v>
      </c>
      <c r="B1102" s="24">
        <v>44215</v>
      </c>
      <c r="C1102" t="s">
        <v>39</v>
      </c>
      <c r="D1102" t="s">
        <v>41</v>
      </c>
      <c r="E1102">
        <v>2000711010</v>
      </c>
      <c r="F1102">
        <v>400</v>
      </c>
      <c r="G1102">
        <v>240</v>
      </c>
      <c r="H1102">
        <v>0</v>
      </c>
      <c r="I1102" t="s">
        <v>666</v>
      </c>
      <c r="J1102" t="s">
        <v>174</v>
      </c>
      <c r="K1102" t="s">
        <v>187</v>
      </c>
      <c r="O1102">
        <v>0</v>
      </c>
      <c r="U1102" t="s">
        <v>81</v>
      </c>
    </row>
    <row r="1103" spans="1:21" x14ac:dyDescent="0.25">
      <c r="A1103" s="33">
        <v>1105</v>
      </c>
      <c r="B1103" s="24">
        <v>44215</v>
      </c>
      <c r="C1103" t="s">
        <v>39</v>
      </c>
      <c r="D1103" t="s">
        <v>41</v>
      </c>
      <c r="E1103">
        <v>2000710746</v>
      </c>
      <c r="F1103">
        <v>588</v>
      </c>
      <c r="G1103">
        <v>80</v>
      </c>
      <c r="H1103">
        <v>0</v>
      </c>
      <c r="I1103" t="s">
        <v>666</v>
      </c>
      <c r="J1103" t="s">
        <v>687</v>
      </c>
      <c r="K1103" t="s">
        <v>898</v>
      </c>
      <c r="O1103">
        <v>0</v>
      </c>
      <c r="U1103" t="s">
        <v>81</v>
      </c>
    </row>
    <row r="1104" spans="1:21" x14ac:dyDescent="0.25">
      <c r="A1104" s="33">
        <v>1106</v>
      </c>
      <c r="B1104" s="24">
        <v>44215</v>
      </c>
      <c r="C1104" t="s">
        <v>39</v>
      </c>
      <c r="D1104" t="s">
        <v>41</v>
      </c>
      <c r="E1104">
        <v>2000711010</v>
      </c>
      <c r="F1104">
        <v>400</v>
      </c>
      <c r="G1104">
        <v>160</v>
      </c>
      <c r="H1104">
        <v>0</v>
      </c>
      <c r="I1104" t="s">
        <v>666</v>
      </c>
      <c r="J1104" t="s">
        <v>174</v>
      </c>
      <c r="K1104" t="s">
        <v>187</v>
      </c>
      <c r="O1104">
        <v>0</v>
      </c>
      <c r="U1104" t="s">
        <v>81</v>
      </c>
    </row>
    <row r="1105" spans="1:21" x14ac:dyDescent="0.25">
      <c r="A1105" s="33">
        <v>1107</v>
      </c>
      <c r="B1105" s="24">
        <v>44215</v>
      </c>
      <c r="C1105" t="s">
        <v>39</v>
      </c>
      <c r="D1105" t="s">
        <v>41</v>
      </c>
      <c r="E1105">
        <v>2000711007</v>
      </c>
      <c r="F1105">
        <v>440</v>
      </c>
      <c r="G1105">
        <v>10</v>
      </c>
      <c r="H1105">
        <v>0</v>
      </c>
      <c r="I1105" t="s">
        <v>666</v>
      </c>
      <c r="J1105" t="s">
        <v>174</v>
      </c>
      <c r="K1105" t="s">
        <v>805</v>
      </c>
      <c r="O1105">
        <v>0</v>
      </c>
      <c r="U1105" t="s">
        <v>81</v>
      </c>
    </row>
    <row r="1106" spans="1:21" x14ac:dyDescent="0.25">
      <c r="A1106" s="33">
        <v>1108</v>
      </c>
      <c r="B1106" s="24">
        <v>44215</v>
      </c>
      <c r="C1106" t="s">
        <v>39</v>
      </c>
      <c r="D1106" t="s">
        <v>41</v>
      </c>
      <c r="E1106">
        <v>2000711211</v>
      </c>
      <c r="F1106">
        <v>1462</v>
      </c>
      <c r="G1106">
        <v>240</v>
      </c>
      <c r="H1106">
        <v>0</v>
      </c>
      <c r="I1106" t="s">
        <v>642</v>
      </c>
      <c r="J1106" t="s">
        <v>645</v>
      </c>
      <c r="K1106" t="s">
        <v>646</v>
      </c>
      <c r="O1106">
        <v>0</v>
      </c>
      <c r="U1106" t="s">
        <v>81</v>
      </c>
    </row>
    <row r="1107" spans="1:21" x14ac:dyDescent="0.25">
      <c r="A1107" s="33">
        <v>1109</v>
      </c>
      <c r="B1107" s="24">
        <v>44215</v>
      </c>
      <c r="C1107" t="s">
        <v>39</v>
      </c>
      <c r="D1107" t="s">
        <v>41</v>
      </c>
      <c r="E1107">
        <v>2000711158</v>
      </c>
      <c r="F1107">
        <v>700</v>
      </c>
      <c r="G1107">
        <v>80</v>
      </c>
      <c r="H1107">
        <v>0</v>
      </c>
      <c r="I1107" t="s">
        <v>642</v>
      </c>
      <c r="J1107" t="s">
        <v>645</v>
      </c>
      <c r="K1107" t="s">
        <v>734</v>
      </c>
      <c r="O1107">
        <v>0</v>
      </c>
      <c r="U1107" t="s">
        <v>81</v>
      </c>
    </row>
    <row r="1108" spans="1:21" x14ac:dyDescent="0.25">
      <c r="A1108" s="33">
        <v>1110</v>
      </c>
      <c r="B1108" s="24">
        <v>44215</v>
      </c>
      <c r="C1108" t="s">
        <v>39</v>
      </c>
      <c r="D1108" t="s">
        <v>41</v>
      </c>
      <c r="E1108">
        <v>2000711079</v>
      </c>
      <c r="F1108">
        <v>2000</v>
      </c>
      <c r="G1108">
        <v>160</v>
      </c>
      <c r="H1108">
        <v>0</v>
      </c>
      <c r="I1108" t="s">
        <v>642</v>
      </c>
      <c r="J1108" t="s">
        <v>193</v>
      </c>
      <c r="K1108" t="s">
        <v>647</v>
      </c>
      <c r="O1108">
        <v>0</v>
      </c>
      <c r="U1108" t="s">
        <v>81</v>
      </c>
    </row>
    <row r="1109" spans="1:21" x14ac:dyDescent="0.25">
      <c r="A1109" s="33">
        <v>1111</v>
      </c>
      <c r="B1109" s="24">
        <v>44215</v>
      </c>
      <c r="C1109" t="s">
        <v>39</v>
      </c>
      <c r="D1109" t="s">
        <v>41</v>
      </c>
      <c r="E1109">
        <v>2000711157</v>
      </c>
      <c r="F1109">
        <v>840</v>
      </c>
      <c r="G1109">
        <v>120</v>
      </c>
      <c r="H1109">
        <v>0</v>
      </c>
      <c r="I1109" t="s">
        <v>642</v>
      </c>
      <c r="J1109" t="s">
        <v>175</v>
      </c>
      <c r="K1109" t="s">
        <v>758</v>
      </c>
      <c r="O1109">
        <v>0</v>
      </c>
      <c r="U1109" t="s">
        <v>81</v>
      </c>
    </row>
    <row r="1110" spans="1:21" x14ac:dyDescent="0.25">
      <c r="A1110" s="33">
        <v>1112</v>
      </c>
      <c r="B1110" s="24">
        <v>44215</v>
      </c>
      <c r="C1110" t="s">
        <v>39</v>
      </c>
      <c r="D1110" t="s">
        <v>41</v>
      </c>
      <c r="E1110">
        <v>2000711340</v>
      </c>
      <c r="F1110">
        <v>2000</v>
      </c>
      <c r="G1110">
        <v>135</v>
      </c>
      <c r="H1110">
        <v>0</v>
      </c>
      <c r="I1110" t="s">
        <v>665</v>
      </c>
      <c r="J1110" t="s">
        <v>170</v>
      </c>
      <c r="K1110" t="s">
        <v>899</v>
      </c>
      <c r="O1110">
        <v>0</v>
      </c>
      <c r="U1110" t="s">
        <v>81</v>
      </c>
    </row>
    <row r="1111" spans="1:21" x14ac:dyDescent="0.25">
      <c r="A1111" s="33">
        <v>1113</v>
      </c>
      <c r="B1111" s="24">
        <v>44215</v>
      </c>
      <c r="C1111" t="s">
        <v>39</v>
      </c>
      <c r="D1111" t="s">
        <v>41</v>
      </c>
      <c r="E1111">
        <v>2000710670</v>
      </c>
      <c r="F1111">
        <v>360</v>
      </c>
      <c r="G1111">
        <v>298</v>
      </c>
      <c r="H1111">
        <v>0</v>
      </c>
      <c r="I1111" t="s">
        <v>178</v>
      </c>
      <c r="J1111" t="s">
        <v>169</v>
      </c>
      <c r="K1111" t="s">
        <v>892</v>
      </c>
      <c r="O1111">
        <v>0</v>
      </c>
      <c r="U1111" t="s">
        <v>81</v>
      </c>
    </row>
    <row r="1112" spans="1:21" x14ac:dyDescent="0.25">
      <c r="A1112" s="33">
        <v>1114</v>
      </c>
      <c r="B1112" s="24">
        <v>44215</v>
      </c>
      <c r="C1112" t="s">
        <v>39</v>
      </c>
      <c r="D1112" t="s">
        <v>41</v>
      </c>
      <c r="E1112">
        <v>2000709655</v>
      </c>
      <c r="F1112">
        <v>500</v>
      </c>
      <c r="G1112">
        <v>30</v>
      </c>
      <c r="H1112">
        <v>0</v>
      </c>
      <c r="I1112" t="s">
        <v>178</v>
      </c>
      <c r="J1112" t="s">
        <v>169</v>
      </c>
      <c r="K1112" t="s">
        <v>179</v>
      </c>
      <c r="O1112">
        <v>0</v>
      </c>
      <c r="U1112" t="s">
        <v>81</v>
      </c>
    </row>
    <row r="1113" spans="1:21" x14ac:dyDescent="0.25">
      <c r="A1113" s="33">
        <v>1115</v>
      </c>
      <c r="B1113" s="24">
        <v>44215</v>
      </c>
      <c r="C1113" t="s">
        <v>39</v>
      </c>
      <c r="D1113" t="s">
        <v>41</v>
      </c>
      <c r="E1113">
        <v>2000711001</v>
      </c>
      <c r="F1113">
        <v>1000</v>
      </c>
      <c r="G1113">
        <v>90</v>
      </c>
      <c r="H1113">
        <v>0</v>
      </c>
      <c r="I1113" t="s">
        <v>178</v>
      </c>
      <c r="J1113" t="s">
        <v>169</v>
      </c>
      <c r="K1113" t="s">
        <v>179</v>
      </c>
      <c r="O1113">
        <v>0</v>
      </c>
      <c r="U1113" t="s">
        <v>81</v>
      </c>
    </row>
    <row r="1114" spans="1:21" x14ac:dyDescent="0.25">
      <c r="A1114" s="33">
        <v>1116</v>
      </c>
      <c r="B1114" s="24">
        <v>44215</v>
      </c>
      <c r="C1114" t="s">
        <v>39</v>
      </c>
      <c r="D1114" t="s">
        <v>41</v>
      </c>
      <c r="E1114">
        <v>2000710671</v>
      </c>
      <c r="F1114">
        <v>600</v>
      </c>
      <c r="G1114">
        <v>80</v>
      </c>
      <c r="H1114">
        <v>0</v>
      </c>
      <c r="I1114" t="s">
        <v>178</v>
      </c>
      <c r="J1114" t="s">
        <v>169</v>
      </c>
      <c r="K1114" t="s">
        <v>767</v>
      </c>
      <c r="O1114">
        <v>0</v>
      </c>
      <c r="U1114" t="s">
        <v>81</v>
      </c>
    </row>
    <row r="1115" spans="1:21" x14ac:dyDescent="0.25">
      <c r="A1115" s="33">
        <v>1117</v>
      </c>
      <c r="B1115" s="24">
        <v>44215</v>
      </c>
      <c r="C1115" t="s">
        <v>39</v>
      </c>
      <c r="D1115" t="s">
        <v>41</v>
      </c>
      <c r="E1115">
        <v>2000709566</v>
      </c>
      <c r="F1115">
        <v>816</v>
      </c>
      <c r="G1115">
        <v>45</v>
      </c>
      <c r="H1115">
        <v>0</v>
      </c>
      <c r="I1115" t="s">
        <v>178</v>
      </c>
      <c r="J1115" t="s">
        <v>170</v>
      </c>
      <c r="K1115" t="s">
        <v>732</v>
      </c>
      <c r="O1115">
        <v>0</v>
      </c>
      <c r="U1115" t="s">
        <v>81</v>
      </c>
    </row>
    <row r="1116" spans="1:21" x14ac:dyDescent="0.25">
      <c r="A1116" s="33">
        <v>1118</v>
      </c>
      <c r="B1116" s="24">
        <v>44215</v>
      </c>
      <c r="C1116" t="s">
        <v>39</v>
      </c>
      <c r="D1116" t="s">
        <v>41</v>
      </c>
      <c r="E1116">
        <v>2000710804</v>
      </c>
      <c r="F1116">
        <v>1030</v>
      </c>
      <c r="G1116">
        <v>20</v>
      </c>
      <c r="H1116">
        <v>0</v>
      </c>
      <c r="I1116" t="s">
        <v>661</v>
      </c>
      <c r="J1116" t="s">
        <v>698</v>
      </c>
      <c r="K1116" t="s">
        <v>786</v>
      </c>
      <c r="O1116">
        <v>0</v>
      </c>
      <c r="U1116" t="s">
        <v>81</v>
      </c>
    </row>
    <row r="1117" spans="1:21" x14ac:dyDescent="0.25">
      <c r="A1117" s="33">
        <v>1119</v>
      </c>
      <c r="B1117" s="24">
        <v>44215</v>
      </c>
      <c r="C1117" t="s">
        <v>39</v>
      </c>
      <c r="D1117" t="s">
        <v>41</v>
      </c>
      <c r="E1117">
        <v>2000709566</v>
      </c>
      <c r="F1117">
        <v>816</v>
      </c>
      <c r="G1117">
        <v>6</v>
      </c>
      <c r="H1117">
        <v>0</v>
      </c>
      <c r="I1117" t="s">
        <v>661</v>
      </c>
      <c r="J1117" t="s">
        <v>170</v>
      </c>
      <c r="K1117" t="s">
        <v>732</v>
      </c>
      <c r="O1117">
        <v>0</v>
      </c>
      <c r="U1117" t="s">
        <v>81</v>
      </c>
    </row>
    <row r="1118" spans="1:21" x14ac:dyDescent="0.25">
      <c r="A1118" s="33">
        <v>1120</v>
      </c>
      <c r="B1118" s="24">
        <v>44215</v>
      </c>
      <c r="C1118" t="s">
        <v>39</v>
      </c>
      <c r="D1118" t="s">
        <v>41</v>
      </c>
      <c r="E1118">
        <v>2000709982</v>
      </c>
      <c r="F1118">
        <v>960</v>
      </c>
      <c r="G1118">
        <v>60</v>
      </c>
      <c r="H1118">
        <v>0</v>
      </c>
      <c r="I1118" t="s">
        <v>661</v>
      </c>
      <c r="J1118" t="s">
        <v>169</v>
      </c>
      <c r="K1118" t="s">
        <v>637</v>
      </c>
      <c r="O1118">
        <v>0</v>
      </c>
      <c r="U1118" t="s">
        <v>81</v>
      </c>
    </row>
    <row r="1119" spans="1:21" x14ac:dyDescent="0.25">
      <c r="A1119" s="33">
        <v>1121</v>
      </c>
      <c r="B1119" s="24">
        <v>44215</v>
      </c>
      <c r="C1119" t="s">
        <v>39</v>
      </c>
      <c r="D1119" t="s">
        <v>41</v>
      </c>
      <c r="E1119">
        <v>2000708960</v>
      </c>
      <c r="F1119">
        <v>1300</v>
      </c>
      <c r="G1119">
        <v>39</v>
      </c>
      <c r="H1119">
        <v>0</v>
      </c>
      <c r="I1119" t="s">
        <v>661</v>
      </c>
      <c r="J1119" t="s">
        <v>170</v>
      </c>
      <c r="K1119" t="s">
        <v>732</v>
      </c>
      <c r="O1119">
        <v>0</v>
      </c>
      <c r="U1119" t="s">
        <v>81</v>
      </c>
    </row>
    <row r="1120" spans="1:21" x14ac:dyDescent="0.25">
      <c r="A1120" s="33">
        <v>1122</v>
      </c>
      <c r="B1120" s="24">
        <v>44215</v>
      </c>
      <c r="C1120" t="s">
        <v>39</v>
      </c>
      <c r="D1120" t="s">
        <v>41</v>
      </c>
      <c r="E1120">
        <v>2000711340</v>
      </c>
      <c r="F1120">
        <v>2000</v>
      </c>
      <c r="G1120">
        <v>255</v>
      </c>
      <c r="H1120">
        <v>0</v>
      </c>
      <c r="I1120" t="s">
        <v>661</v>
      </c>
      <c r="J1120" t="s">
        <v>170</v>
      </c>
      <c r="K1120" t="s">
        <v>899</v>
      </c>
      <c r="O1120">
        <v>0</v>
      </c>
      <c r="U1120" t="s">
        <v>81</v>
      </c>
    </row>
    <row r="1121" spans="1:21" x14ac:dyDescent="0.25">
      <c r="A1121" s="33">
        <v>1123</v>
      </c>
      <c r="B1121" s="24">
        <v>44215</v>
      </c>
      <c r="C1121" t="s">
        <v>39</v>
      </c>
      <c r="D1121" t="s">
        <v>41</v>
      </c>
      <c r="E1121">
        <v>2000707771</v>
      </c>
      <c r="F1121">
        <v>1036</v>
      </c>
      <c r="G1121">
        <v>27</v>
      </c>
      <c r="H1121">
        <v>0</v>
      </c>
      <c r="I1121" t="s">
        <v>191</v>
      </c>
      <c r="J1121" t="s">
        <v>170</v>
      </c>
      <c r="K1121" t="s">
        <v>732</v>
      </c>
      <c r="O1121">
        <v>0</v>
      </c>
      <c r="U1121" t="s">
        <v>81</v>
      </c>
    </row>
    <row r="1122" spans="1:21" x14ac:dyDescent="0.25">
      <c r="A1122" s="33">
        <v>1124</v>
      </c>
      <c r="B1122" s="24">
        <v>44215</v>
      </c>
      <c r="C1122" t="s">
        <v>39</v>
      </c>
      <c r="D1122" t="s">
        <v>41</v>
      </c>
      <c r="E1122">
        <v>2000710740</v>
      </c>
      <c r="F1122">
        <v>2400</v>
      </c>
      <c r="G1122">
        <v>200</v>
      </c>
      <c r="H1122">
        <v>0</v>
      </c>
      <c r="I1122" t="s">
        <v>201</v>
      </c>
      <c r="J1122" t="s">
        <v>645</v>
      </c>
      <c r="K1122" t="s">
        <v>756</v>
      </c>
      <c r="O1122">
        <v>0</v>
      </c>
      <c r="U1122" t="s">
        <v>81</v>
      </c>
    </row>
    <row r="1123" spans="1:21" x14ac:dyDescent="0.25">
      <c r="A1123" s="33">
        <v>1125</v>
      </c>
      <c r="B1123" s="24">
        <v>44215</v>
      </c>
      <c r="C1123" t="s">
        <v>39</v>
      </c>
      <c r="D1123" t="s">
        <v>41</v>
      </c>
      <c r="E1123">
        <v>2000710294</v>
      </c>
      <c r="F1123">
        <v>1280</v>
      </c>
      <c r="G1123">
        <v>160</v>
      </c>
      <c r="H1123">
        <v>0</v>
      </c>
      <c r="I1123" t="s">
        <v>201</v>
      </c>
      <c r="J1123" t="s">
        <v>745</v>
      </c>
      <c r="K1123" t="s">
        <v>746</v>
      </c>
      <c r="O1123">
        <v>0</v>
      </c>
      <c r="U1123" t="s">
        <v>81</v>
      </c>
    </row>
    <row r="1124" spans="1:21" x14ac:dyDescent="0.25">
      <c r="A1124" s="33">
        <v>1126</v>
      </c>
      <c r="B1124" s="24">
        <v>44215</v>
      </c>
      <c r="C1124" t="s">
        <v>39</v>
      </c>
      <c r="D1124" t="s">
        <v>41</v>
      </c>
      <c r="E1124">
        <v>2000709880</v>
      </c>
      <c r="F1124">
        <v>4224</v>
      </c>
      <c r="G1124">
        <v>120</v>
      </c>
      <c r="H1124">
        <v>0</v>
      </c>
      <c r="I1124" t="s">
        <v>201</v>
      </c>
      <c r="J1124" t="s">
        <v>200</v>
      </c>
      <c r="K1124" t="s">
        <v>653</v>
      </c>
      <c r="O1124">
        <v>0</v>
      </c>
      <c r="U1124" t="s">
        <v>81</v>
      </c>
    </row>
    <row r="1125" spans="1:21" x14ac:dyDescent="0.25">
      <c r="A1125" s="33">
        <v>1127</v>
      </c>
      <c r="B1125" s="24">
        <v>44215</v>
      </c>
      <c r="C1125" t="s">
        <v>39</v>
      </c>
      <c r="D1125" t="s">
        <v>41</v>
      </c>
      <c r="E1125">
        <v>2000710742</v>
      </c>
      <c r="F1125">
        <v>2400</v>
      </c>
      <c r="G1125">
        <v>150</v>
      </c>
      <c r="H1125">
        <v>0</v>
      </c>
      <c r="I1125" t="s">
        <v>201</v>
      </c>
      <c r="J1125" t="s">
        <v>645</v>
      </c>
      <c r="K1125" t="s">
        <v>658</v>
      </c>
      <c r="O1125">
        <v>0</v>
      </c>
      <c r="T1125" s="62"/>
      <c r="U1125" t="s">
        <v>81</v>
      </c>
    </row>
    <row r="1126" spans="1:21" x14ac:dyDescent="0.25">
      <c r="A1126" s="33">
        <v>1128</v>
      </c>
      <c r="B1126" s="24">
        <v>44215</v>
      </c>
      <c r="C1126" t="s">
        <v>39</v>
      </c>
      <c r="D1126" t="s">
        <v>41</v>
      </c>
      <c r="E1126">
        <v>2000710515</v>
      </c>
      <c r="F1126">
        <v>600</v>
      </c>
      <c r="G1126">
        <v>150</v>
      </c>
      <c r="H1126">
        <v>0</v>
      </c>
      <c r="I1126" t="s">
        <v>201</v>
      </c>
      <c r="J1126" t="s">
        <v>169</v>
      </c>
      <c r="K1126" t="s">
        <v>847</v>
      </c>
      <c r="O1126">
        <v>0</v>
      </c>
      <c r="U1126" t="s">
        <v>81</v>
      </c>
    </row>
    <row r="1127" spans="1:21" x14ac:dyDescent="0.25">
      <c r="A1127" s="33">
        <v>1129</v>
      </c>
      <c r="B1127" s="24">
        <v>44215</v>
      </c>
      <c r="C1127" t="s">
        <v>39</v>
      </c>
      <c r="D1127" t="s">
        <v>41</v>
      </c>
      <c r="E1127">
        <v>2000710516</v>
      </c>
      <c r="F1127">
        <v>600</v>
      </c>
      <c r="G1127">
        <v>150</v>
      </c>
      <c r="H1127">
        <v>0</v>
      </c>
      <c r="I1127" t="s">
        <v>201</v>
      </c>
      <c r="J1127" t="s">
        <v>169</v>
      </c>
      <c r="K1127" t="s">
        <v>867</v>
      </c>
      <c r="O1127">
        <v>0</v>
      </c>
      <c r="U1127" t="s">
        <v>81</v>
      </c>
    </row>
    <row r="1128" spans="1:21" x14ac:dyDescent="0.25">
      <c r="A1128" s="33">
        <v>1130</v>
      </c>
      <c r="B1128" s="24">
        <v>44215</v>
      </c>
      <c r="C1128" t="s">
        <v>39</v>
      </c>
      <c r="D1128" t="s">
        <v>41</v>
      </c>
      <c r="E1128">
        <v>2000710789</v>
      </c>
      <c r="F1128">
        <v>6600</v>
      </c>
      <c r="G1128">
        <v>300</v>
      </c>
      <c r="H1128">
        <v>0</v>
      </c>
      <c r="I1128" t="s">
        <v>201</v>
      </c>
      <c r="J1128" t="s">
        <v>200</v>
      </c>
      <c r="K1128" t="s">
        <v>737</v>
      </c>
      <c r="O1128">
        <v>0</v>
      </c>
      <c r="U1128" t="s">
        <v>81</v>
      </c>
    </row>
    <row r="1129" spans="1:21" x14ac:dyDescent="0.25">
      <c r="A1129" s="33">
        <v>1131</v>
      </c>
      <c r="B1129" s="24">
        <v>44215</v>
      </c>
      <c r="C1129" t="s">
        <v>39</v>
      </c>
      <c r="D1129" t="s">
        <v>41</v>
      </c>
      <c r="E1129">
        <v>2000710831</v>
      </c>
      <c r="F1129">
        <v>2000</v>
      </c>
      <c r="G1129">
        <v>160</v>
      </c>
      <c r="H1129">
        <v>0</v>
      </c>
      <c r="I1129" t="s">
        <v>201</v>
      </c>
      <c r="J1129" t="s">
        <v>193</v>
      </c>
      <c r="K1129" t="s">
        <v>686</v>
      </c>
      <c r="O1129">
        <v>0</v>
      </c>
      <c r="U1129" t="s">
        <v>81</v>
      </c>
    </row>
    <row r="1130" spans="1:21" x14ac:dyDescent="0.25">
      <c r="A1130" s="33">
        <v>1132</v>
      </c>
      <c r="B1130" s="24">
        <v>44215</v>
      </c>
      <c r="C1130" t="s">
        <v>39</v>
      </c>
      <c r="D1130" t="s">
        <v>41</v>
      </c>
      <c r="E1130">
        <v>2000709832</v>
      </c>
      <c r="F1130">
        <v>1920</v>
      </c>
      <c r="G1130">
        <v>240</v>
      </c>
      <c r="H1130">
        <v>0</v>
      </c>
      <c r="I1130" t="s">
        <v>201</v>
      </c>
      <c r="J1130" t="s">
        <v>203</v>
      </c>
      <c r="K1130" t="s">
        <v>640</v>
      </c>
      <c r="O1130">
        <v>0</v>
      </c>
      <c r="U1130" t="s">
        <v>81</v>
      </c>
    </row>
    <row r="1131" spans="1:21" x14ac:dyDescent="0.25">
      <c r="A1131" s="33">
        <v>1133</v>
      </c>
      <c r="B1131" s="24">
        <v>44215</v>
      </c>
      <c r="C1131" t="s">
        <v>39</v>
      </c>
      <c r="D1131" t="s">
        <v>41</v>
      </c>
      <c r="E1131">
        <v>2000710828</v>
      </c>
      <c r="F1131">
        <v>2000</v>
      </c>
      <c r="G1131">
        <v>150</v>
      </c>
      <c r="H1131">
        <v>0</v>
      </c>
      <c r="I1131" t="s">
        <v>201</v>
      </c>
      <c r="J1131" t="s">
        <v>193</v>
      </c>
      <c r="K1131" t="s">
        <v>683</v>
      </c>
      <c r="O1131">
        <v>0</v>
      </c>
      <c r="U1131" t="s">
        <v>81</v>
      </c>
    </row>
    <row r="1132" spans="1:21" x14ac:dyDescent="0.25">
      <c r="A1132" s="33">
        <v>1134</v>
      </c>
      <c r="B1132" s="24">
        <v>44215</v>
      </c>
      <c r="C1132" t="s">
        <v>39</v>
      </c>
      <c r="D1132" t="s">
        <v>41</v>
      </c>
      <c r="E1132">
        <v>2000710826</v>
      </c>
      <c r="F1132">
        <v>2000</v>
      </c>
      <c r="G1132">
        <v>150</v>
      </c>
      <c r="H1132">
        <v>0</v>
      </c>
      <c r="I1132" t="s">
        <v>201</v>
      </c>
      <c r="J1132" t="s">
        <v>193</v>
      </c>
      <c r="K1132" t="s">
        <v>176</v>
      </c>
      <c r="O1132">
        <v>0</v>
      </c>
      <c r="U1132" t="s">
        <v>81</v>
      </c>
    </row>
    <row r="1133" spans="1:21" x14ac:dyDescent="0.25">
      <c r="A1133" s="33">
        <v>1135</v>
      </c>
      <c r="B1133" s="24">
        <v>44215</v>
      </c>
      <c r="C1133" t="s">
        <v>39</v>
      </c>
      <c r="D1133" t="s">
        <v>41</v>
      </c>
      <c r="E1133">
        <v>2000710830</v>
      </c>
      <c r="F1133">
        <v>2000</v>
      </c>
      <c r="G1133">
        <v>160</v>
      </c>
      <c r="H1133">
        <v>0</v>
      </c>
      <c r="I1133" t="s">
        <v>201</v>
      </c>
      <c r="J1133" t="s">
        <v>193</v>
      </c>
      <c r="K1133" t="s">
        <v>650</v>
      </c>
      <c r="O1133">
        <v>0</v>
      </c>
      <c r="U1133" t="s">
        <v>81</v>
      </c>
    </row>
    <row r="1134" spans="1:21" x14ac:dyDescent="0.25">
      <c r="A1134" s="33">
        <v>1136</v>
      </c>
      <c r="B1134" s="24">
        <v>44215</v>
      </c>
      <c r="C1134" t="s">
        <v>39</v>
      </c>
      <c r="D1134" t="s">
        <v>41</v>
      </c>
      <c r="E1134">
        <v>2000710791</v>
      </c>
      <c r="F1134">
        <v>996</v>
      </c>
      <c r="G1134">
        <v>100</v>
      </c>
      <c r="H1134">
        <v>0</v>
      </c>
      <c r="I1134" t="s">
        <v>201</v>
      </c>
      <c r="J1134" t="s">
        <v>172</v>
      </c>
      <c r="K1134" t="s">
        <v>729</v>
      </c>
      <c r="O1134">
        <v>0</v>
      </c>
      <c r="U1134" t="s">
        <v>81</v>
      </c>
    </row>
    <row r="1135" spans="1:21" x14ac:dyDescent="0.25">
      <c r="A1135" s="33">
        <v>1137</v>
      </c>
      <c r="B1135" s="24">
        <v>44215</v>
      </c>
      <c r="C1135" t="s">
        <v>39</v>
      </c>
      <c r="D1135" t="s">
        <v>51</v>
      </c>
      <c r="E1135">
        <v>2000709353</v>
      </c>
      <c r="F1135">
        <v>120</v>
      </c>
      <c r="G1135">
        <v>20</v>
      </c>
      <c r="H1135">
        <v>0</v>
      </c>
      <c r="I1135" t="s">
        <v>191</v>
      </c>
      <c r="J1135" t="s">
        <v>669</v>
      </c>
      <c r="K1135" t="s">
        <v>810</v>
      </c>
      <c r="O1135">
        <v>0</v>
      </c>
      <c r="U1135" t="s">
        <v>81</v>
      </c>
    </row>
    <row r="1136" spans="1:21" x14ac:dyDescent="0.25">
      <c r="A1136" s="33">
        <v>1138</v>
      </c>
      <c r="B1136" s="24">
        <v>44215</v>
      </c>
      <c r="C1136" t="s">
        <v>39</v>
      </c>
      <c r="D1136" t="s">
        <v>51</v>
      </c>
      <c r="E1136">
        <v>2000710498</v>
      </c>
      <c r="F1136">
        <v>350</v>
      </c>
      <c r="G1136">
        <v>80</v>
      </c>
      <c r="H1136">
        <v>0</v>
      </c>
      <c r="I1136" t="s">
        <v>191</v>
      </c>
      <c r="J1136" t="s">
        <v>669</v>
      </c>
      <c r="K1136" t="s">
        <v>670</v>
      </c>
      <c r="O1136">
        <v>0</v>
      </c>
      <c r="U1136" t="s">
        <v>81</v>
      </c>
    </row>
    <row r="1137" spans="1:21" x14ac:dyDescent="0.25">
      <c r="A1137" s="33">
        <v>1139</v>
      </c>
      <c r="B1137" s="24">
        <v>44215</v>
      </c>
      <c r="C1137" t="s">
        <v>39</v>
      </c>
      <c r="D1137" t="s">
        <v>51</v>
      </c>
      <c r="E1137">
        <v>2000709545</v>
      </c>
      <c r="F1137">
        <v>700</v>
      </c>
      <c r="G1137">
        <v>35</v>
      </c>
      <c r="H1137">
        <v>0</v>
      </c>
      <c r="I1137" t="s">
        <v>191</v>
      </c>
      <c r="J1137" t="s">
        <v>709</v>
      </c>
      <c r="K1137" t="s">
        <v>743</v>
      </c>
      <c r="O1137">
        <v>0</v>
      </c>
      <c r="U1137" t="s">
        <v>81</v>
      </c>
    </row>
    <row r="1138" spans="1:21" x14ac:dyDescent="0.25">
      <c r="A1138" s="33">
        <v>1140</v>
      </c>
      <c r="B1138" s="24">
        <v>44215</v>
      </c>
      <c r="C1138" t="s">
        <v>39</v>
      </c>
      <c r="D1138" t="s">
        <v>51</v>
      </c>
      <c r="E1138">
        <v>2000709970</v>
      </c>
      <c r="F1138">
        <v>522</v>
      </c>
      <c r="G1138">
        <v>210</v>
      </c>
      <c r="H1138">
        <v>0</v>
      </c>
      <c r="I1138" t="s">
        <v>191</v>
      </c>
      <c r="J1138" t="s">
        <v>667</v>
      </c>
      <c r="K1138" t="s">
        <v>668</v>
      </c>
      <c r="O1138">
        <v>0</v>
      </c>
      <c r="U1138" t="s">
        <v>81</v>
      </c>
    </row>
    <row r="1139" spans="1:21" x14ac:dyDescent="0.25">
      <c r="A1139" s="33">
        <v>1141</v>
      </c>
      <c r="B1139" s="24">
        <v>44215</v>
      </c>
      <c r="C1139" t="s">
        <v>39</v>
      </c>
      <c r="D1139" t="s">
        <v>51</v>
      </c>
      <c r="E1139">
        <v>2000709972</v>
      </c>
      <c r="F1139">
        <v>150</v>
      </c>
      <c r="G1139">
        <v>60</v>
      </c>
      <c r="H1139">
        <v>0</v>
      </c>
      <c r="I1139" t="s">
        <v>191</v>
      </c>
      <c r="J1139" t="s">
        <v>667</v>
      </c>
      <c r="K1139" t="s">
        <v>827</v>
      </c>
      <c r="O1139">
        <v>0</v>
      </c>
      <c r="U1139" t="s">
        <v>81</v>
      </c>
    </row>
    <row r="1140" spans="1:21" x14ac:dyDescent="0.25">
      <c r="A1140" s="33">
        <v>1142</v>
      </c>
      <c r="B1140" s="24">
        <v>44215</v>
      </c>
      <c r="C1140" t="s">
        <v>39</v>
      </c>
      <c r="D1140" t="s">
        <v>51</v>
      </c>
      <c r="E1140">
        <v>2000710880</v>
      </c>
      <c r="F1140">
        <v>650</v>
      </c>
      <c r="G1140">
        <v>175</v>
      </c>
      <c r="H1140">
        <v>0</v>
      </c>
      <c r="I1140" t="s">
        <v>191</v>
      </c>
      <c r="J1140" t="s">
        <v>667</v>
      </c>
      <c r="K1140" t="s">
        <v>671</v>
      </c>
      <c r="O1140">
        <v>0</v>
      </c>
      <c r="U1140" t="s">
        <v>81</v>
      </c>
    </row>
    <row r="1141" spans="1:21" x14ac:dyDescent="0.25">
      <c r="A1141" s="33">
        <v>1143</v>
      </c>
      <c r="B1141" s="24">
        <v>44215</v>
      </c>
      <c r="C1141" t="s">
        <v>39</v>
      </c>
      <c r="D1141" t="s">
        <v>51</v>
      </c>
      <c r="E1141">
        <v>2000710530</v>
      </c>
      <c r="F1141">
        <v>167</v>
      </c>
      <c r="G1141">
        <v>46</v>
      </c>
      <c r="H1141">
        <v>0</v>
      </c>
      <c r="I1141" t="s">
        <v>191</v>
      </c>
      <c r="J1141" t="s">
        <v>669</v>
      </c>
      <c r="K1141" t="s">
        <v>801</v>
      </c>
      <c r="O1141">
        <v>0</v>
      </c>
      <c r="U1141" t="s">
        <v>81</v>
      </c>
    </row>
    <row r="1142" spans="1:21" ht="30" x14ac:dyDescent="0.25">
      <c r="A1142" s="33">
        <v>1144</v>
      </c>
      <c r="B1142" s="24">
        <v>44215</v>
      </c>
      <c r="C1142" t="s">
        <v>39</v>
      </c>
      <c r="D1142" t="s">
        <v>51</v>
      </c>
      <c r="E1142">
        <v>2000710497</v>
      </c>
      <c r="F1142">
        <v>300</v>
      </c>
      <c r="G1142">
        <v>60</v>
      </c>
      <c r="H1142">
        <v>0</v>
      </c>
      <c r="I1142" t="s">
        <v>191</v>
      </c>
      <c r="J1142" t="s">
        <v>673</v>
      </c>
      <c r="K1142" t="s">
        <v>760</v>
      </c>
      <c r="O1142">
        <v>0</v>
      </c>
      <c r="T1142" s="62" t="s">
        <v>723</v>
      </c>
      <c r="U1142" t="s">
        <v>81</v>
      </c>
    </row>
    <row r="1143" spans="1:21" x14ac:dyDescent="0.25">
      <c r="A1143" s="33">
        <v>1145</v>
      </c>
      <c r="B1143" s="24">
        <v>44215</v>
      </c>
      <c r="C1143" t="s">
        <v>39</v>
      </c>
      <c r="D1143" t="s">
        <v>51</v>
      </c>
      <c r="E1143">
        <v>2000709969</v>
      </c>
      <c r="F1143">
        <v>800</v>
      </c>
      <c r="G1143">
        <v>180</v>
      </c>
      <c r="H1143">
        <v>0</v>
      </c>
      <c r="I1143" t="s">
        <v>191</v>
      </c>
      <c r="J1143" t="s">
        <v>667</v>
      </c>
      <c r="K1143" t="s">
        <v>730</v>
      </c>
      <c r="O1143">
        <v>0</v>
      </c>
      <c r="U1143" t="s">
        <v>81</v>
      </c>
    </row>
    <row r="1144" spans="1:21" x14ac:dyDescent="0.25">
      <c r="A1144" s="33">
        <v>1146</v>
      </c>
      <c r="B1144" s="24">
        <v>44215</v>
      </c>
      <c r="C1144" t="s">
        <v>39</v>
      </c>
      <c r="D1144" t="s">
        <v>51</v>
      </c>
      <c r="E1144">
        <v>2000710502</v>
      </c>
      <c r="F1144">
        <v>800</v>
      </c>
      <c r="G1144">
        <v>120</v>
      </c>
      <c r="H1144">
        <v>0</v>
      </c>
      <c r="I1144" t="s">
        <v>191</v>
      </c>
      <c r="J1144" t="s">
        <v>667</v>
      </c>
      <c r="K1144" t="s">
        <v>730</v>
      </c>
      <c r="O1144">
        <v>0</v>
      </c>
      <c r="U1144" t="s">
        <v>81</v>
      </c>
    </row>
    <row r="1145" spans="1:21" x14ac:dyDescent="0.25">
      <c r="A1145" s="33">
        <v>1147</v>
      </c>
      <c r="B1145" s="24">
        <v>44215</v>
      </c>
      <c r="C1145" t="s">
        <v>181</v>
      </c>
      <c r="D1145" t="s">
        <v>51</v>
      </c>
      <c r="E1145">
        <v>2000710498</v>
      </c>
      <c r="F1145">
        <v>350</v>
      </c>
      <c r="G1145">
        <v>180</v>
      </c>
      <c r="H1145">
        <v>0</v>
      </c>
      <c r="I1145" t="s">
        <v>706</v>
      </c>
      <c r="J1145" t="s">
        <v>669</v>
      </c>
      <c r="K1145" t="s">
        <v>670</v>
      </c>
      <c r="O1145">
        <v>0</v>
      </c>
      <c r="U1145" t="s">
        <v>81</v>
      </c>
    </row>
    <row r="1146" spans="1:21" x14ac:dyDescent="0.25">
      <c r="A1146" s="33">
        <v>1148</v>
      </c>
      <c r="B1146" s="24">
        <v>44215</v>
      </c>
      <c r="C1146" t="s">
        <v>181</v>
      </c>
      <c r="D1146" t="s">
        <v>51</v>
      </c>
      <c r="E1146">
        <v>2000710501</v>
      </c>
      <c r="F1146">
        <v>190</v>
      </c>
      <c r="G1146">
        <v>60</v>
      </c>
      <c r="H1146">
        <v>0</v>
      </c>
      <c r="I1146" t="s">
        <v>706</v>
      </c>
      <c r="J1146" t="s">
        <v>669</v>
      </c>
      <c r="K1146" t="s">
        <v>900</v>
      </c>
      <c r="O1146">
        <v>0</v>
      </c>
      <c r="U1146" t="s">
        <v>81</v>
      </c>
    </row>
    <row r="1147" spans="1:21" x14ac:dyDescent="0.25">
      <c r="A1147" s="33">
        <v>1149</v>
      </c>
      <c r="B1147" s="24">
        <v>44215</v>
      </c>
      <c r="C1147" t="s">
        <v>181</v>
      </c>
      <c r="D1147" t="s">
        <v>51</v>
      </c>
      <c r="E1147">
        <v>2000709353</v>
      </c>
      <c r="F1147">
        <v>120</v>
      </c>
      <c r="G1147">
        <v>20</v>
      </c>
      <c r="H1147">
        <v>0</v>
      </c>
      <c r="I1147" t="s">
        <v>706</v>
      </c>
      <c r="J1147" t="s">
        <v>669</v>
      </c>
      <c r="K1147" t="s">
        <v>901</v>
      </c>
      <c r="O1147">
        <v>0</v>
      </c>
      <c r="U1147" t="s">
        <v>81</v>
      </c>
    </row>
    <row r="1148" spans="1:21" x14ac:dyDescent="0.25">
      <c r="A1148" s="33">
        <v>1150</v>
      </c>
      <c r="B1148" s="24">
        <v>44215</v>
      </c>
      <c r="C1148" t="s">
        <v>181</v>
      </c>
      <c r="D1148" t="s">
        <v>51</v>
      </c>
      <c r="E1148">
        <v>2000710530</v>
      </c>
      <c r="F1148">
        <v>167</v>
      </c>
      <c r="G1148">
        <v>15</v>
      </c>
      <c r="H1148">
        <v>0</v>
      </c>
      <c r="I1148" t="s">
        <v>706</v>
      </c>
      <c r="J1148" t="s">
        <v>669</v>
      </c>
      <c r="K1148" t="s">
        <v>902</v>
      </c>
      <c r="O1148">
        <v>0</v>
      </c>
      <c r="U1148" t="s">
        <v>81</v>
      </c>
    </row>
    <row r="1149" spans="1:21" x14ac:dyDescent="0.25">
      <c r="A1149" s="33">
        <v>1151</v>
      </c>
      <c r="B1149" s="24">
        <v>44215</v>
      </c>
      <c r="C1149" t="s">
        <v>181</v>
      </c>
      <c r="D1149" t="s">
        <v>51</v>
      </c>
      <c r="E1149">
        <v>2000709967</v>
      </c>
      <c r="F1149">
        <v>380</v>
      </c>
      <c r="G1149">
        <v>25</v>
      </c>
      <c r="H1149">
        <v>0</v>
      </c>
      <c r="I1149" t="s">
        <v>706</v>
      </c>
      <c r="J1149" t="s">
        <v>673</v>
      </c>
      <c r="K1149" t="s">
        <v>708</v>
      </c>
      <c r="O1149">
        <v>0</v>
      </c>
      <c r="U1149" t="s">
        <v>81</v>
      </c>
    </row>
    <row r="1150" spans="1:21" x14ac:dyDescent="0.25">
      <c r="A1150" s="33">
        <v>1152</v>
      </c>
      <c r="B1150" s="24">
        <v>44215</v>
      </c>
      <c r="C1150" t="s">
        <v>181</v>
      </c>
      <c r="D1150" t="s">
        <v>51</v>
      </c>
      <c r="E1150">
        <v>2000710520</v>
      </c>
      <c r="F1150">
        <v>945</v>
      </c>
      <c r="G1150">
        <v>130</v>
      </c>
      <c r="H1150">
        <v>0</v>
      </c>
      <c r="I1150" t="s">
        <v>706</v>
      </c>
      <c r="J1150" t="s">
        <v>673</v>
      </c>
      <c r="K1150" t="s">
        <v>674</v>
      </c>
      <c r="O1150">
        <v>0</v>
      </c>
      <c r="U1150" t="s">
        <v>81</v>
      </c>
    </row>
    <row r="1151" spans="1:21" x14ac:dyDescent="0.25">
      <c r="A1151" s="33">
        <v>1153</v>
      </c>
      <c r="B1151" s="24">
        <v>44215</v>
      </c>
      <c r="C1151" t="s">
        <v>181</v>
      </c>
      <c r="D1151" t="s">
        <v>51</v>
      </c>
      <c r="E1151">
        <v>2000710500</v>
      </c>
      <c r="F1151">
        <v>462</v>
      </c>
      <c r="G1151">
        <v>400</v>
      </c>
      <c r="H1151">
        <v>0</v>
      </c>
      <c r="I1151" t="s">
        <v>706</v>
      </c>
      <c r="J1151" t="s">
        <v>669</v>
      </c>
      <c r="K1151" t="s">
        <v>707</v>
      </c>
      <c r="O1151">
        <v>0</v>
      </c>
      <c r="U1151" t="s">
        <v>81</v>
      </c>
    </row>
    <row r="1152" spans="1:21" x14ac:dyDescent="0.25">
      <c r="A1152" s="33">
        <v>1154</v>
      </c>
      <c r="B1152" s="24">
        <v>44215</v>
      </c>
      <c r="C1152" t="s">
        <v>181</v>
      </c>
      <c r="D1152" t="s">
        <v>51</v>
      </c>
      <c r="E1152">
        <v>2000710499</v>
      </c>
      <c r="F1152">
        <v>10</v>
      </c>
      <c r="G1152">
        <v>10</v>
      </c>
      <c r="H1152">
        <v>0</v>
      </c>
      <c r="I1152" t="s">
        <v>706</v>
      </c>
      <c r="J1152" t="s">
        <v>669</v>
      </c>
      <c r="K1152" t="s">
        <v>903</v>
      </c>
      <c r="O1152">
        <v>0</v>
      </c>
      <c r="U1152" t="s">
        <v>81</v>
      </c>
    </row>
    <row r="1153" spans="1:21" x14ac:dyDescent="0.25">
      <c r="A1153" s="33">
        <v>1155</v>
      </c>
      <c r="B1153" s="24">
        <v>44215</v>
      </c>
      <c r="C1153" t="s">
        <v>181</v>
      </c>
      <c r="D1153" t="s">
        <v>51</v>
      </c>
      <c r="E1153">
        <v>2000711047</v>
      </c>
      <c r="F1153">
        <v>540</v>
      </c>
      <c r="G1153">
        <v>120</v>
      </c>
      <c r="H1153">
        <v>0</v>
      </c>
      <c r="I1153" t="s">
        <v>706</v>
      </c>
      <c r="J1153" t="s">
        <v>673</v>
      </c>
      <c r="K1153" t="s">
        <v>742</v>
      </c>
      <c r="O1153">
        <v>0</v>
      </c>
      <c r="U1153" t="s">
        <v>81</v>
      </c>
    </row>
    <row r="1154" spans="1:21" ht="45" x14ac:dyDescent="0.25">
      <c r="A1154" s="33">
        <v>1156</v>
      </c>
      <c r="B1154" s="24">
        <v>44215</v>
      </c>
      <c r="C1154" t="s">
        <v>181</v>
      </c>
      <c r="D1154" t="s">
        <v>51</v>
      </c>
      <c r="E1154">
        <v>2000711050</v>
      </c>
      <c r="F1154">
        <v>660</v>
      </c>
      <c r="G1154">
        <v>90</v>
      </c>
      <c r="H1154">
        <v>0</v>
      </c>
      <c r="I1154" t="s">
        <v>706</v>
      </c>
      <c r="J1154" t="s">
        <v>667</v>
      </c>
      <c r="K1154" t="s">
        <v>769</v>
      </c>
      <c r="O1154">
        <v>0</v>
      </c>
      <c r="T1154" s="62" t="s">
        <v>775</v>
      </c>
      <c r="U1154" t="s">
        <v>81</v>
      </c>
    </row>
    <row r="1155" spans="1:21" x14ac:dyDescent="0.25">
      <c r="A1155" s="33">
        <v>1157</v>
      </c>
      <c r="B1155" s="24">
        <v>44215</v>
      </c>
      <c r="C1155" t="s">
        <v>181</v>
      </c>
      <c r="D1155" t="s">
        <v>41</v>
      </c>
      <c r="E1155">
        <v>2000710788</v>
      </c>
      <c r="F1155">
        <v>4220</v>
      </c>
      <c r="G1155">
        <v>300</v>
      </c>
      <c r="H1155">
        <v>0</v>
      </c>
      <c r="I1155" t="s">
        <v>680</v>
      </c>
      <c r="J1155" t="s">
        <v>199</v>
      </c>
      <c r="K1155" t="s">
        <v>660</v>
      </c>
      <c r="O1155">
        <v>0</v>
      </c>
      <c r="U1155" t="s">
        <v>81</v>
      </c>
    </row>
    <row r="1156" spans="1:21" x14ac:dyDescent="0.25">
      <c r="A1156" s="33">
        <v>1158</v>
      </c>
      <c r="B1156" s="24">
        <v>44215</v>
      </c>
      <c r="C1156" t="s">
        <v>181</v>
      </c>
      <c r="D1156" t="s">
        <v>41</v>
      </c>
      <c r="E1156">
        <v>2000710516</v>
      </c>
      <c r="F1156">
        <v>600</v>
      </c>
      <c r="G1156">
        <v>450</v>
      </c>
      <c r="H1156">
        <v>0</v>
      </c>
      <c r="I1156" t="s">
        <v>680</v>
      </c>
      <c r="J1156" t="s">
        <v>169</v>
      </c>
      <c r="K1156" t="s">
        <v>867</v>
      </c>
      <c r="O1156">
        <v>0</v>
      </c>
      <c r="U1156" t="s">
        <v>81</v>
      </c>
    </row>
    <row r="1157" spans="1:21" x14ac:dyDescent="0.25">
      <c r="A1157" s="33">
        <v>1159</v>
      </c>
      <c r="B1157" s="24">
        <v>44215</v>
      </c>
      <c r="C1157" t="s">
        <v>181</v>
      </c>
      <c r="D1157" t="s">
        <v>41</v>
      </c>
      <c r="E1157">
        <v>2000711226</v>
      </c>
      <c r="F1157">
        <v>4212</v>
      </c>
      <c r="G1157">
        <v>200</v>
      </c>
      <c r="H1157">
        <v>0</v>
      </c>
      <c r="I1157" t="s">
        <v>680</v>
      </c>
      <c r="J1157" t="s">
        <v>645</v>
      </c>
      <c r="K1157" t="s">
        <v>659</v>
      </c>
      <c r="O1157">
        <v>0</v>
      </c>
      <c r="U1157" t="s">
        <v>81</v>
      </c>
    </row>
    <row r="1158" spans="1:21" x14ac:dyDescent="0.25">
      <c r="A1158" s="33">
        <v>1160</v>
      </c>
      <c r="B1158" s="24">
        <v>44215</v>
      </c>
      <c r="C1158" t="s">
        <v>181</v>
      </c>
      <c r="D1158" t="s">
        <v>41</v>
      </c>
      <c r="E1158">
        <v>2000711216</v>
      </c>
      <c r="F1158">
        <v>2400</v>
      </c>
      <c r="G1158">
        <v>200</v>
      </c>
      <c r="H1158">
        <v>0</v>
      </c>
      <c r="I1158" t="s">
        <v>680</v>
      </c>
      <c r="J1158" t="s">
        <v>645</v>
      </c>
      <c r="K1158" t="s">
        <v>739</v>
      </c>
      <c r="O1158">
        <v>0</v>
      </c>
      <c r="U1158" t="s">
        <v>81</v>
      </c>
    </row>
    <row r="1159" spans="1:21" x14ac:dyDescent="0.25">
      <c r="A1159" s="33">
        <v>1161</v>
      </c>
      <c r="B1159" s="24">
        <v>44215</v>
      </c>
      <c r="C1159" t="s">
        <v>181</v>
      </c>
      <c r="D1159" t="s">
        <v>41</v>
      </c>
      <c r="E1159">
        <v>2000710826</v>
      </c>
      <c r="F1159">
        <v>2000</v>
      </c>
      <c r="G1159">
        <v>150</v>
      </c>
      <c r="H1159">
        <v>0</v>
      </c>
      <c r="I1159" t="s">
        <v>680</v>
      </c>
      <c r="J1159" t="s">
        <v>193</v>
      </c>
      <c r="K1159" t="s">
        <v>176</v>
      </c>
      <c r="O1159">
        <v>0</v>
      </c>
      <c r="U1159" t="s">
        <v>81</v>
      </c>
    </row>
    <row r="1160" spans="1:21" x14ac:dyDescent="0.25">
      <c r="A1160" s="33">
        <v>1162</v>
      </c>
      <c r="B1160" s="24">
        <v>44215</v>
      </c>
      <c r="C1160" t="s">
        <v>181</v>
      </c>
      <c r="D1160" t="s">
        <v>41</v>
      </c>
      <c r="E1160">
        <v>2000710702</v>
      </c>
      <c r="F1160">
        <v>300</v>
      </c>
      <c r="G1160">
        <v>150</v>
      </c>
      <c r="H1160">
        <v>0</v>
      </c>
      <c r="I1160" t="s">
        <v>680</v>
      </c>
      <c r="J1160" t="s">
        <v>904</v>
      </c>
      <c r="K1160" t="s">
        <v>905</v>
      </c>
      <c r="O1160">
        <v>0</v>
      </c>
      <c r="U1160" t="s">
        <v>81</v>
      </c>
    </row>
    <row r="1161" spans="1:21" x14ac:dyDescent="0.25">
      <c r="A1161" s="33">
        <v>1163</v>
      </c>
      <c r="B1161" s="24">
        <v>44215</v>
      </c>
      <c r="C1161" t="s">
        <v>181</v>
      </c>
      <c r="D1161" t="s">
        <v>41</v>
      </c>
      <c r="E1161">
        <v>2000711007</v>
      </c>
      <c r="F1161">
        <v>440</v>
      </c>
      <c r="G1161">
        <v>40</v>
      </c>
      <c r="H1161">
        <v>0</v>
      </c>
      <c r="I1161" t="s">
        <v>183</v>
      </c>
      <c r="J1161" t="s">
        <v>174</v>
      </c>
      <c r="K1161" t="s">
        <v>805</v>
      </c>
      <c r="O1161">
        <v>0</v>
      </c>
      <c r="U1161" t="s">
        <v>81</v>
      </c>
    </row>
    <row r="1162" spans="1:21" x14ac:dyDescent="0.25">
      <c r="A1162" s="33">
        <v>1164</v>
      </c>
      <c r="B1162" s="24">
        <v>44215</v>
      </c>
      <c r="C1162" t="s">
        <v>181</v>
      </c>
      <c r="D1162" t="s">
        <v>41</v>
      </c>
      <c r="E1162">
        <v>2000709980</v>
      </c>
      <c r="F1162">
        <v>4192</v>
      </c>
      <c r="G1162">
        <v>120</v>
      </c>
      <c r="H1162">
        <v>0</v>
      </c>
      <c r="I1162" t="s">
        <v>183</v>
      </c>
      <c r="J1162" t="s">
        <v>200</v>
      </c>
      <c r="K1162" t="s">
        <v>653</v>
      </c>
      <c r="O1162">
        <v>0</v>
      </c>
      <c r="U1162" t="s">
        <v>81</v>
      </c>
    </row>
    <row r="1163" spans="1:21" x14ac:dyDescent="0.25">
      <c r="A1163" s="33">
        <v>1165</v>
      </c>
      <c r="B1163" s="24">
        <v>44215</v>
      </c>
      <c r="C1163" t="s">
        <v>181</v>
      </c>
      <c r="D1163" t="s">
        <v>41</v>
      </c>
      <c r="E1163">
        <v>2000710748</v>
      </c>
      <c r="F1163">
        <v>1500</v>
      </c>
      <c r="G1163">
        <v>120</v>
      </c>
      <c r="H1163">
        <v>0</v>
      </c>
      <c r="I1163" t="s">
        <v>183</v>
      </c>
      <c r="J1163" t="s">
        <v>687</v>
      </c>
      <c r="K1163" t="s">
        <v>688</v>
      </c>
      <c r="O1163">
        <v>0</v>
      </c>
      <c r="U1163" t="s">
        <v>81</v>
      </c>
    </row>
    <row r="1164" spans="1:21" x14ac:dyDescent="0.25">
      <c r="A1164" s="33">
        <v>1166</v>
      </c>
      <c r="B1164" s="24">
        <v>44215</v>
      </c>
      <c r="C1164" t="s">
        <v>181</v>
      </c>
      <c r="D1164" t="s">
        <v>41</v>
      </c>
      <c r="E1164">
        <v>2000711218</v>
      </c>
      <c r="F1164">
        <v>2400</v>
      </c>
      <c r="G1164">
        <v>160</v>
      </c>
      <c r="H1164">
        <v>0</v>
      </c>
      <c r="I1164" t="s">
        <v>183</v>
      </c>
      <c r="J1164" t="s">
        <v>645</v>
      </c>
      <c r="K1164" t="s">
        <v>721</v>
      </c>
      <c r="O1164">
        <v>0</v>
      </c>
      <c r="U1164" t="s">
        <v>81</v>
      </c>
    </row>
    <row r="1165" spans="1:21" x14ac:dyDescent="0.25">
      <c r="A1165" s="33">
        <v>1167</v>
      </c>
      <c r="B1165" s="24">
        <v>44215</v>
      </c>
      <c r="C1165" t="s">
        <v>181</v>
      </c>
      <c r="D1165" t="s">
        <v>41</v>
      </c>
      <c r="E1165">
        <v>2000711028</v>
      </c>
      <c r="F1165">
        <v>500</v>
      </c>
      <c r="G1165">
        <v>80</v>
      </c>
      <c r="H1165">
        <v>0</v>
      </c>
      <c r="I1165" t="s">
        <v>183</v>
      </c>
      <c r="J1165" t="s">
        <v>169</v>
      </c>
      <c r="K1165" t="s">
        <v>663</v>
      </c>
      <c r="O1165">
        <v>0</v>
      </c>
      <c r="U1165" t="s">
        <v>81</v>
      </c>
    </row>
    <row r="1166" spans="1:21" x14ac:dyDescent="0.25">
      <c r="A1166" s="33">
        <v>1168</v>
      </c>
      <c r="B1166" s="24">
        <v>44215</v>
      </c>
      <c r="C1166" t="s">
        <v>181</v>
      </c>
      <c r="D1166" t="s">
        <v>41</v>
      </c>
      <c r="E1166">
        <v>2000711212</v>
      </c>
      <c r="F1166">
        <v>950</v>
      </c>
      <c r="G1166">
        <v>80</v>
      </c>
      <c r="H1166">
        <v>0</v>
      </c>
      <c r="I1166" t="s">
        <v>183</v>
      </c>
      <c r="J1166" t="s">
        <v>645</v>
      </c>
      <c r="K1166" t="s">
        <v>718</v>
      </c>
      <c r="O1166">
        <v>0</v>
      </c>
      <c r="U1166" t="s">
        <v>81</v>
      </c>
    </row>
    <row r="1167" spans="1:21" x14ac:dyDescent="0.25">
      <c r="A1167" s="33">
        <v>1169</v>
      </c>
      <c r="B1167" s="24">
        <v>44215</v>
      </c>
      <c r="C1167" t="s">
        <v>181</v>
      </c>
      <c r="D1167" t="s">
        <v>41</v>
      </c>
      <c r="E1167">
        <v>2000711219</v>
      </c>
      <c r="F1167">
        <v>1300</v>
      </c>
      <c r="G1167">
        <v>20</v>
      </c>
      <c r="H1167">
        <v>0</v>
      </c>
      <c r="I1167" t="s">
        <v>183</v>
      </c>
      <c r="J1167" t="s">
        <v>645</v>
      </c>
      <c r="K1167" t="s">
        <v>718</v>
      </c>
      <c r="O1167">
        <v>0</v>
      </c>
      <c r="U1167" t="s">
        <v>81</v>
      </c>
    </row>
    <row r="1168" spans="1:21" x14ac:dyDescent="0.25">
      <c r="A1168" s="33">
        <v>1170</v>
      </c>
      <c r="B1168" s="24">
        <v>44215</v>
      </c>
      <c r="C1168" t="s">
        <v>181</v>
      </c>
      <c r="D1168" t="s">
        <v>41</v>
      </c>
      <c r="E1168">
        <v>2000710735</v>
      </c>
      <c r="F1168">
        <v>380</v>
      </c>
      <c r="G1168">
        <v>80</v>
      </c>
      <c r="H1168">
        <v>0</v>
      </c>
      <c r="I1168" t="s">
        <v>183</v>
      </c>
      <c r="J1168" t="s">
        <v>645</v>
      </c>
      <c r="K1168" t="s">
        <v>719</v>
      </c>
      <c r="O1168">
        <v>0</v>
      </c>
      <c r="U1168" t="s">
        <v>81</v>
      </c>
    </row>
    <row r="1169" spans="1:21" x14ac:dyDescent="0.25">
      <c r="A1169" s="33">
        <v>1171</v>
      </c>
      <c r="B1169" s="24">
        <v>44215</v>
      </c>
      <c r="C1169" t="s">
        <v>181</v>
      </c>
      <c r="D1169" t="s">
        <v>41</v>
      </c>
      <c r="E1169">
        <v>2000710659</v>
      </c>
      <c r="F1169">
        <v>1200</v>
      </c>
      <c r="G1169">
        <v>120</v>
      </c>
      <c r="H1169">
        <v>0</v>
      </c>
      <c r="I1169" t="s">
        <v>183</v>
      </c>
      <c r="J1169" t="s">
        <v>172</v>
      </c>
      <c r="K1169" t="s">
        <v>173</v>
      </c>
      <c r="O1169">
        <v>0</v>
      </c>
      <c r="U1169" t="s">
        <v>81</v>
      </c>
    </row>
    <row r="1170" spans="1:21" x14ac:dyDescent="0.25">
      <c r="A1170" s="33">
        <v>1172</v>
      </c>
      <c r="B1170" s="24">
        <v>44215</v>
      </c>
      <c r="C1170" t="s">
        <v>181</v>
      </c>
      <c r="D1170" t="s">
        <v>41</v>
      </c>
      <c r="E1170">
        <v>2000711007</v>
      </c>
      <c r="F1170">
        <v>440</v>
      </c>
      <c r="G1170">
        <v>30</v>
      </c>
      <c r="H1170">
        <v>0</v>
      </c>
      <c r="I1170" t="s">
        <v>198</v>
      </c>
      <c r="J1170" t="s">
        <v>174</v>
      </c>
      <c r="K1170" t="s">
        <v>805</v>
      </c>
      <c r="O1170">
        <v>0</v>
      </c>
      <c r="U1170" t="s">
        <v>81</v>
      </c>
    </row>
    <row r="1171" spans="1:21" x14ac:dyDescent="0.25">
      <c r="A1171" s="33">
        <v>1173</v>
      </c>
      <c r="B1171" s="24">
        <v>44215</v>
      </c>
      <c r="C1171" t="s">
        <v>181</v>
      </c>
      <c r="D1171" t="s">
        <v>41</v>
      </c>
      <c r="E1171">
        <v>2000710293</v>
      </c>
      <c r="F1171">
        <v>1980</v>
      </c>
      <c r="G1171">
        <v>988</v>
      </c>
      <c r="H1171">
        <v>0</v>
      </c>
      <c r="I1171" t="s">
        <v>198</v>
      </c>
      <c r="J1171" t="s">
        <v>816</v>
      </c>
      <c r="K1171" t="s">
        <v>906</v>
      </c>
      <c r="O1171">
        <v>0</v>
      </c>
      <c r="U1171" t="s">
        <v>81</v>
      </c>
    </row>
    <row r="1172" spans="1:21" x14ac:dyDescent="0.25">
      <c r="A1172" s="33">
        <v>1174</v>
      </c>
      <c r="B1172" s="24">
        <v>44215</v>
      </c>
      <c r="C1172" t="s">
        <v>181</v>
      </c>
      <c r="D1172" t="s">
        <v>41</v>
      </c>
      <c r="E1172">
        <v>2000710876</v>
      </c>
      <c r="F1172">
        <v>390</v>
      </c>
      <c r="G1172">
        <v>120</v>
      </c>
      <c r="H1172">
        <v>1</v>
      </c>
      <c r="I1172" t="s">
        <v>198</v>
      </c>
      <c r="J1172" t="s">
        <v>203</v>
      </c>
      <c r="K1172" t="s">
        <v>639</v>
      </c>
      <c r="L1172" t="s">
        <v>110</v>
      </c>
      <c r="N1172" t="s">
        <v>907</v>
      </c>
      <c r="O1172">
        <v>1</v>
      </c>
      <c r="P1172" t="s">
        <v>908</v>
      </c>
      <c r="Q1172" t="s">
        <v>909</v>
      </c>
      <c r="R1172">
        <v>3120004128</v>
      </c>
      <c r="S1172" s="36">
        <v>5.1388888888888894E-2</v>
      </c>
      <c r="U1172" t="s">
        <v>81</v>
      </c>
    </row>
    <row r="1173" spans="1:21" x14ac:dyDescent="0.25">
      <c r="A1173" s="33">
        <v>1175</v>
      </c>
      <c r="B1173" s="24">
        <v>44215</v>
      </c>
      <c r="C1173" t="s">
        <v>181</v>
      </c>
      <c r="D1173" t="s">
        <v>41</v>
      </c>
      <c r="E1173">
        <v>2000711068</v>
      </c>
      <c r="F1173">
        <v>660</v>
      </c>
      <c r="G1173">
        <v>90</v>
      </c>
      <c r="H1173">
        <v>0</v>
      </c>
      <c r="I1173" t="s">
        <v>198</v>
      </c>
      <c r="J1173" t="s">
        <v>203</v>
      </c>
      <c r="K1173" t="s">
        <v>639</v>
      </c>
      <c r="O1173">
        <v>0</v>
      </c>
      <c r="U1173" t="s">
        <v>81</v>
      </c>
    </row>
    <row r="1174" spans="1:21" x14ac:dyDescent="0.25">
      <c r="A1174" s="33">
        <v>1176</v>
      </c>
      <c r="B1174" s="24">
        <v>44215</v>
      </c>
      <c r="C1174" t="s">
        <v>181</v>
      </c>
      <c r="D1174" t="s">
        <v>41</v>
      </c>
      <c r="E1174">
        <v>2000710519</v>
      </c>
      <c r="F1174">
        <v>390</v>
      </c>
      <c r="G1174">
        <v>73</v>
      </c>
      <c r="H1174">
        <v>0</v>
      </c>
      <c r="I1174" t="s">
        <v>198</v>
      </c>
      <c r="J1174" t="s">
        <v>203</v>
      </c>
      <c r="K1174" t="s">
        <v>891</v>
      </c>
      <c r="O1174">
        <v>0</v>
      </c>
      <c r="U1174" t="s">
        <v>81</v>
      </c>
    </row>
    <row r="1175" spans="1:21" x14ac:dyDescent="0.25">
      <c r="A1175" s="33">
        <v>1177</v>
      </c>
      <c r="B1175" s="24">
        <v>44215</v>
      </c>
      <c r="C1175" t="s">
        <v>181</v>
      </c>
      <c r="D1175" t="s">
        <v>41</v>
      </c>
      <c r="E1175">
        <v>2000711340</v>
      </c>
      <c r="F1175">
        <v>2000</v>
      </c>
      <c r="G1175">
        <v>45</v>
      </c>
      <c r="H1175">
        <v>0</v>
      </c>
      <c r="I1175" t="s">
        <v>198</v>
      </c>
      <c r="J1175" t="s">
        <v>170</v>
      </c>
      <c r="K1175" t="s">
        <v>899</v>
      </c>
      <c r="O1175">
        <v>0</v>
      </c>
      <c r="U1175" t="s">
        <v>81</v>
      </c>
    </row>
    <row r="1176" spans="1:21" x14ac:dyDescent="0.25">
      <c r="A1176" s="33">
        <v>1178</v>
      </c>
      <c r="B1176" s="24">
        <v>44215</v>
      </c>
      <c r="C1176" t="s">
        <v>181</v>
      </c>
      <c r="D1176" t="s">
        <v>41</v>
      </c>
      <c r="E1176">
        <v>2000710671</v>
      </c>
      <c r="F1176">
        <v>600</v>
      </c>
      <c r="G1176">
        <v>40</v>
      </c>
      <c r="H1176">
        <v>0</v>
      </c>
      <c r="I1176" t="s">
        <v>184</v>
      </c>
      <c r="J1176" t="s">
        <v>169</v>
      </c>
      <c r="K1176" t="s">
        <v>767</v>
      </c>
      <c r="O1176">
        <v>0</v>
      </c>
      <c r="U1176" t="s">
        <v>81</v>
      </c>
    </row>
    <row r="1177" spans="1:21" x14ac:dyDescent="0.25">
      <c r="A1177" s="33">
        <v>1179</v>
      </c>
      <c r="B1177" s="24">
        <v>44215</v>
      </c>
      <c r="C1177" t="s">
        <v>181</v>
      </c>
      <c r="D1177" t="s">
        <v>41</v>
      </c>
      <c r="E1177">
        <v>2000711068</v>
      </c>
      <c r="F1177">
        <v>660</v>
      </c>
      <c r="G1177">
        <v>238</v>
      </c>
      <c r="H1177">
        <v>0</v>
      </c>
      <c r="I1177" t="s">
        <v>184</v>
      </c>
      <c r="J1177" t="s">
        <v>203</v>
      </c>
      <c r="K1177" t="s">
        <v>639</v>
      </c>
      <c r="O1177">
        <v>0</v>
      </c>
      <c r="U1177" t="s">
        <v>81</v>
      </c>
    </row>
    <row r="1178" spans="1:21" x14ac:dyDescent="0.25">
      <c r="A1178" s="33">
        <v>1180</v>
      </c>
      <c r="B1178" s="24">
        <v>44215</v>
      </c>
      <c r="C1178" t="s">
        <v>181</v>
      </c>
      <c r="D1178" t="s">
        <v>41</v>
      </c>
      <c r="E1178">
        <v>2000711876</v>
      </c>
      <c r="F1178">
        <v>390</v>
      </c>
      <c r="G1178">
        <v>60</v>
      </c>
      <c r="H1178">
        <v>0</v>
      </c>
      <c r="I1178" t="s">
        <v>184</v>
      </c>
      <c r="J1178" t="s">
        <v>203</v>
      </c>
      <c r="K1178" t="s">
        <v>639</v>
      </c>
      <c r="O1178">
        <v>0</v>
      </c>
      <c r="U1178" t="s">
        <v>81</v>
      </c>
    </row>
    <row r="1179" spans="1:21" x14ac:dyDescent="0.25">
      <c r="A1179" s="33">
        <v>1181</v>
      </c>
      <c r="B1179" s="24">
        <v>44215</v>
      </c>
      <c r="C1179" t="s">
        <v>181</v>
      </c>
      <c r="D1179" t="s">
        <v>41</v>
      </c>
      <c r="E1179">
        <v>2000710519</v>
      </c>
      <c r="F1179">
        <v>390</v>
      </c>
      <c r="G1179">
        <v>120</v>
      </c>
      <c r="H1179">
        <v>0</v>
      </c>
      <c r="I1179" t="s">
        <v>184</v>
      </c>
      <c r="J1179" t="s">
        <v>203</v>
      </c>
      <c r="K1179" t="s">
        <v>891</v>
      </c>
      <c r="O1179">
        <v>0</v>
      </c>
      <c r="U1179" t="s">
        <v>81</v>
      </c>
    </row>
    <row r="1180" spans="1:21" ht="45" x14ac:dyDescent="0.25">
      <c r="A1180" s="33">
        <v>1182</v>
      </c>
      <c r="B1180" s="24">
        <v>44215</v>
      </c>
      <c r="C1180" t="s">
        <v>181</v>
      </c>
      <c r="D1180" t="s">
        <v>41</v>
      </c>
      <c r="E1180">
        <v>2000710671</v>
      </c>
      <c r="F1180">
        <v>600</v>
      </c>
      <c r="G1180">
        <v>180</v>
      </c>
      <c r="H1180">
        <v>0</v>
      </c>
      <c r="I1180" t="s">
        <v>759</v>
      </c>
      <c r="J1180" t="s">
        <v>169</v>
      </c>
      <c r="K1180" t="s">
        <v>767</v>
      </c>
      <c r="O1180">
        <v>0</v>
      </c>
      <c r="T1180" s="62" t="s">
        <v>775</v>
      </c>
      <c r="U1180" t="s">
        <v>81</v>
      </c>
    </row>
    <row r="1181" spans="1:21" x14ac:dyDescent="0.25">
      <c r="A1181" s="33">
        <v>1183</v>
      </c>
      <c r="B1181" s="24">
        <v>44215</v>
      </c>
      <c r="C1181" t="s">
        <v>181</v>
      </c>
      <c r="D1181" t="s">
        <v>41</v>
      </c>
      <c r="E1181">
        <v>2000711340</v>
      </c>
      <c r="F1181">
        <v>2000</v>
      </c>
      <c r="G1181">
        <v>105</v>
      </c>
      <c r="H1181">
        <v>0</v>
      </c>
      <c r="I1181" t="s">
        <v>696</v>
      </c>
      <c r="J1181" t="s">
        <v>170</v>
      </c>
      <c r="K1181" t="s">
        <v>899</v>
      </c>
      <c r="O1181">
        <v>0</v>
      </c>
      <c r="U1181" t="s">
        <v>81</v>
      </c>
    </row>
    <row r="1182" spans="1:21" x14ac:dyDescent="0.25">
      <c r="A1182" s="33">
        <v>1184</v>
      </c>
      <c r="B1182" s="24">
        <v>44215</v>
      </c>
      <c r="C1182" t="s">
        <v>181</v>
      </c>
      <c r="D1182" t="s">
        <v>41</v>
      </c>
      <c r="E1182">
        <v>2000711007</v>
      </c>
      <c r="F1182">
        <v>440</v>
      </c>
      <c r="G1182">
        <v>360</v>
      </c>
      <c r="H1182">
        <v>0</v>
      </c>
      <c r="I1182" t="s">
        <v>696</v>
      </c>
      <c r="J1182" t="s">
        <v>174</v>
      </c>
      <c r="K1182" t="s">
        <v>805</v>
      </c>
      <c r="O1182">
        <v>0</v>
      </c>
      <c r="U1182" t="s">
        <v>81</v>
      </c>
    </row>
    <row r="1183" spans="1:21" x14ac:dyDescent="0.25">
      <c r="A1183" s="33">
        <v>1185</v>
      </c>
      <c r="B1183" s="24">
        <v>44215</v>
      </c>
      <c r="C1183" t="s">
        <v>181</v>
      </c>
      <c r="D1183" t="s">
        <v>41</v>
      </c>
      <c r="E1183">
        <v>2000710122</v>
      </c>
      <c r="F1183">
        <v>640</v>
      </c>
      <c r="G1183">
        <v>1</v>
      </c>
      <c r="H1183">
        <v>0</v>
      </c>
      <c r="I1183" t="s">
        <v>696</v>
      </c>
      <c r="J1183" t="s">
        <v>174</v>
      </c>
      <c r="K1183" t="s">
        <v>805</v>
      </c>
      <c r="O1183">
        <v>0</v>
      </c>
      <c r="U1183" t="s">
        <v>81</v>
      </c>
    </row>
    <row r="1184" spans="1:21" x14ac:dyDescent="0.25">
      <c r="A1184" s="33">
        <v>1186</v>
      </c>
      <c r="B1184" s="24">
        <v>44215</v>
      </c>
      <c r="C1184" t="s">
        <v>181</v>
      </c>
      <c r="D1184" t="s">
        <v>41</v>
      </c>
      <c r="E1184">
        <v>2000711011</v>
      </c>
      <c r="F1184">
        <v>120</v>
      </c>
      <c r="G1184">
        <v>40</v>
      </c>
      <c r="H1184">
        <v>0</v>
      </c>
      <c r="I1184" t="s">
        <v>696</v>
      </c>
      <c r="J1184" t="s">
        <v>174</v>
      </c>
      <c r="K1184" t="s">
        <v>204</v>
      </c>
      <c r="O1184">
        <v>0</v>
      </c>
      <c r="U1184" t="s">
        <v>81</v>
      </c>
    </row>
    <row r="1185" spans="1:21" x14ac:dyDescent="0.25">
      <c r="A1185" s="33">
        <v>1187</v>
      </c>
      <c r="B1185" s="24">
        <v>44215</v>
      </c>
      <c r="C1185" t="s">
        <v>181</v>
      </c>
      <c r="D1185" t="s">
        <v>41</v>
      </c>
      <c r="E1185">
        <v>2000711340</v>
      </c>
      <c r="F1185">
        <v>2000</v>
      </c>
      <c r="G1185">
        <v>450</v>
      </c>
      <c r="H1185">
        <v>0</v>
      </c>
      <c r="I1185" t="s">
        <v>693</v>
      </c>
      <c r="J1185" t="s">
        <v>170</v>
      </c>
      <c r="K1185" t="s">
        <v>899</v>
      </c>
      <c r="O1185">
        <v>0</v>
      </c>
      <c r="U1185" t="s">
        <v>81</v>
      </c>
    </row>
    <row r="1186" spans="1:21" x14ac:dyDescent="0.25">
      <c r="A1186" s="33">
        <v>1188</v>
      </c>
      <c r="B1186" s="24">
        <v>44215</v>
      </c>
      <c r="C1186" t="s">
        <v>181</v>
      </c>
      <c r="D1186" t="s">
        <v>41</v>
      </c>
      <c r="E1186">
        <v>2000711314</v>
      </c>
      <c r="F1186">
        <v>28</v>
      </c>
      <c r="G1186">
        <v>24</v>
      </c>
      <c r="H1186">
        <v>0</v>
      </c>
      <c r="I1186" t="s">
        <v>693</v>
      </c>
      <c r="J1186" t="s">
        <v>170</v>
      </c>
      <c r="K1186" t="s">
        <v>206</v>
      </c>
      <c r="O1186">
        <v>0</v>
      </c>
      <c r="U1186" t="s">
        <v>81</v>
      </c>
    </row>
    <row r="1187" spans="1:21" x14ac:dyDescent="0.25">
      <c r="A1187" s="33">
        <v>1189</v>
      </c>
      <c r="B1187" s="24">
        <v>44216</v>
      </c>
      <c r="C1187" t="s">
        <v>39</v>
      </c>
      <c r="D1187" t="s">
        <v>41</v>
      </c>
      <c r="E1187">
        <v>2000708034</v>
      </c>
      <c r="F1187">
        <v>838</v>
      </c>
      <c r="G1187">
        <v>120</v>
      </c>
      <c r="H1187">
        <v>0</v>
      </c>
      <c r="I1187" t="s">
        <v>201</v>
      </c>
      <c r="J1187" t="s">
        <v>645</v>
      </c>
      <c r="K1187" t="s">
        <v>910</v>
      </c>
      <c r="O1187">
        <v>0</v>
      </c>
      <c r="U1187" t="s">
        <v>81</v>
      </c>
    </row>
    <row r="1188" spans="1:21" x14ac:dyDescent="0.25">
      <c r="A1188" s="33">
        <v>1190</v>
      </c>
      <c r="B1188" s="24">
        <v>44216</v>
      </c>
      <c r="C1188" t="s">
        <v>39</v>
      </c>
      <c r="D1188" t="s">
        <v>41</v>
      </c>
      <c r="E1188">
        <v>2000711225</v>
      </c>
      <c r="F1188">
        <v>1980</v>
      </c>
      <c r="G1188">
        <v>150</v>
      </c>
      <c r="H1188" t="s">
        <v>911</v>
      </c>
      <c r="I1188" t="s">
        <v>201</v>
      </c>
      <c r="J1188" t="s">
        <v>761</v>
      </c>
      <c r="K1188" t="s">
        <v>813</v>
      </c>
      <c r="O1188" t="s">
        <v>911</v>
      </c>
      <c r="U1188" t="s">
        <v>81</v>
      </c>
    </row>
    <row r="1189" spans="1:21" x14ac:dyDescent="0.25">
      <c r="A1189" s="33">
        <v>1191</v>
      </c>
      <c r="B1189" s="24">
        <v>44216</v>
      </c>
      <c r="C1189" t="s">
        <v>39</v>
      </c>
      <c r="D1189" t="s">
        <v>41</v>
      </c>
      <c r="E1189">
        <v>2000711215</v>
      </c>
      <c r="F1189">
        <v>2400</v>
      </c>
      <c r="G1189">
        <v>200</v>
      </c>
      <c r="H1189">
        <v>0</v>
      </c>
      <c r="I1189" t="s">
        <v>201</v>
      </c>
      <c r="J1189" t="s">
        <v>645</v>
      </c>
      <c r="K1189" t="s">
        <v>756</v>
      </c>
      <c r="O1189">
        <v>0</v>
      </c>
      <c r="U1189" t="s">
        <v>81</v>
      </c>
    </row>
    <row r="1190" spans="1:21" x14ac:dyDescent="0.25">
      <c r="A1190" s="33">
        <v>1192</v>
      </c>
      <c r="B1190" s="24">
        <v>44216</v>
      </c>
      <c r="C1190" t="s">
        <v>39</v>
      </c>
      <c r="D1190" t="s">
        <v>41</v>
      </c>
      <c r="E1190">
        <v>2000709832</v>
      </c>
      <c r="F1190">
        <v>1920</v>
      </c>
      <c r="G1190">
        <v>240</v>
      </c>
      <c r="H1190">
        <v>0</v>
      </c>
      <c r="I1190" t="s">
        <v>201</v>
      </c>
      <c r="J1190" t="s">
        <v>203</v>
      </c>
      <c r="K1190" t="s">
        <v>640</v>
      </c>
      <c r="O1190">
        <v>0</v>
      </c>
      <c r="U1190" t="s">
        <v>81</v>
      </c>
    </row>
    <row r="1191" spans="1:21" x14ac:dyDescent="0.25">
      <c r="A1191" s="33">
        <v>1193</v>
      </c>
      <c r="B1191" s="24">
        <v>44216</v>
      </c>
      <c r="C1191" t="s">
        <v>39</v>
      </c>
      <c r="D1191" t="s">
        <v>41</v>
      </c>
      <c r="E1191">
        <v>2000711217</v>
      </c>
      <c r="F1191">
        <v>2400</v>
      </c>
      <c r="G1191">
        <v>150</v>
      </c>
      <c r="H1191">
        <v>0</v>
      </c>
      <c r="I1191" t="s">
        <v>201</v>
      </c>
      <c r="J1191" t="s">
        <v>645</v>
      </c>
      <c r="K1191" t="s">
        <v>658</v>
      </c>
      <c r="O1191">
        <v>0</v>
      </c>
      <c r="U1191" t="s">
        <v>81</v>
      </c>
    </row>
    <row r="1192" spans="1:21" x14ac:dyDescent="0.25">
      <c r="A1192" s="33">
        <v>1194</v>
      </c>
      <c r="B1192" s="24">
        <v>44216</v>
      </c>
      <c r="C1192" t="s">
        <v>39</v>
      </c>
      <c r="D1192" t="s">
        <v>41</v>
      </c>
      <c r="E1192">
        <v>2000711495</v>
      </c>
      <c r="F1192">
        <v>3285</v>
      </c>
      <c r="G1192">
        <v>240</v>
      </c>
      <c r="H1192">
        <v>0</v>
      </c>
      <c r="I1192" t="s">
        <v>201</v>
      </c>
      <c r="J1192" t="s">
        <v>169</v>
      </c>
      <c r="K1192" t="s">
        <v>652</v>
      </c>
      <c r="O1192">
        <v>0</v>
      </c>
      <c r="U1192" t="s">
        <v>81</v>
      </c>
    </row>
    <row r="1193" spans="1:21" x14ac:dyDescent="0.25">
      <c r="A1193" s="33">
        <v>1195</v>
      </c>
      <c r="B1193" s="24">
        <v>44216</v>
      </c>
      <c r="C1193" t="s">
        <v>39</v>
      </c>
      <c r="D1193" t="s">
        <v>41</v>
      </c>
      <c r="E1193">
        <v>2000710515</v>
      </c>
      <c r="F1193">
        <v>600</v>
      </c>
      <c r="G1193">
        <v>150</v>
      </c>
      <c r="H1193">
        <v>0</v>
      </c>
      <c r="I1193" t="s">
        <v>201</v>
      </c>
      <c r="J1193" t="s">
        <v>169</v>
      </c>
      <c r="K1193" t="s">
        <v>847</v>
      </c>
      <c r="O1193">
        <v>0</v>
      </c>
      <c r="U1193" t="s">
        <v>81</v>
      </c>
    </row>
    <row r="1194" spans="1:21" x14ac:dyDescent="0.25">
      <c r="A1194" s="33">
        <v>1196</v>
      </c>
      <c r="B1194" s="24">
        <v>44216</v>
      </c>
      <c r="C1194" t="s">
        <v>39</v>
      </c>
      <c r="D1194" t="s">
        <v>41</v>
      </c>
      <c r="E1194">
        <v>2000711078</v>
      </c>
      <c r="F1194">
        <v>2000</v>
      </c>
      <c r="G1194">
        <v>160</v>
      </c>
      <c r="H1194">
        <v>0</v>
      </c>
      <c r="I1194" t="s">
        <v>201</v>
      </c>
      <c r="J1194" t="s">
        <v>193</v>
      </c>
      <c r="K1194" t="s">
        <v>686</v>
      </c>
      <c r="O1194">
        <v>0</v>
      </c>
      <c r="U1194" t="s">
        <v>81</v>
      </c>
    </row>
    <row r="1195" spans="1:21" x14ac:dyDescent="0.25">
      <c r="A1195" s="33">
        <v>1197</v>
      </c>
      <c r="B1195" s="24">
        <v>44216</v>
      </c>
      <c r="C1195" t="s">
        <v>39</v>
      </c>
      <c r="D1195" t="s">
        <v>41</v>
      </c>
      <c r="E1195">
        <v>2000709832</v>
      </c>
      <c r="F1195">
        <v>1920</v>
      </c>
      <c r="G1195">
        <v>240</v>
      </c>
      <c r="H1195">
        <v>0</v>
      </c>
      <c r="I1195" t="s">
        <v>201</v>
      </c>
      <c r="J1195" t="s">
        <v>203</v>
      </c>
      <c r="K1195" t="s">
        <v>640</v>
      </c>
      <c r="O1195">
        <v>0</v>
      </c>
      <c r="U1195" t="s">
        <v>81</v>
      </c>
    </row>
    <row r="1196" spans="1:21" x14ac:dyDescent="0.25">
      <c r="A1196" s="33">
        <v>1198</v>
      </c>
      <c r="B1196" s="24">
        <v>44216</v>
      </c>
      <c r="C1196" t="s">
        <v>39</v>
      </c>
      <c r="D1196" t="s">
        <v>41</v>
      </c>
      <c r="E1196">
        <v>2000708025</v>
      </c>
      <c r="F1196">
        <v>2620</v>
      </c>
      <c r="G1196">
        <v>220</v>
      </c>
      <c r="H1196">
        <v>0</v>
      </c>
      <c r="I1196" t="s">
        <v>201</v>
      </c>
      <c r="J1196" t="s">
        <v>203</v>
      </c>
      <c r="K1196" t="s">
        <v>640</v>
      </c>
      <c r="O1196">
        <v>0</v>
      </c>
      <c r="U1196" t="s">
        <v>81</v>
      </c>
    </row>
    <row r="1197" spans="1:21" x14ac:dyDescent="0.25">
      <c r="A1197" s="33">
        <v>1199</v>
      </c>
      <c r="B1197" s="24">
        <v>44216</v>
      </c>
      <c r="C1197" t="s">
        <v>39</v>
      </c>
      <c r="D1197" t="s">
        <v>41</v>
      </c>
      <c r="E1197">
        <v>2000697519</v>
      </c>
      <c r="F1197">
        <v>530</v>
      </c>
      <c r="G1197">
        <v>23</v>
      </c>
      <c r="H1197">
        <v>0</v>
      </c>
      <c r="I1197" t="s">
        <v>201</v>
      </c>
      <c r="J1197" t="s">
        <v>203</v>
      </c>
      <c r="K1197" t="s">
        <v>640</v>
      </c>
      <c r="O1197">
        <v>0</v>
      </c>
      <c r="U1197" t="s">
        <v>81</v>
      </c>
    </row>
    <row r="1198" spans="1:21" x14ac:dyDescent="0.25">
      <c r="A1198" s="33">
        <v>1200</v>
      </c>
      <c r="B1198" s="24">
        <v>44216</v>
      </c>
      <c r="C1198" t="s">
        <v>39</v>
      </c>
      <c r="D1198" t="s">
        <v>41</v>
      </c>
      <c r="E1198">
        <v>2000711228</v>
      </c>
      <c r="F1198">
        <v>7860</v>
      </c>
      <c r="G1198">
        <v>300</v>
      </c>
      <c r="H1198">
        <v>0</v>
      </c>
      <c r="I1198" t="s">
        <v>201</v>
      </c>
      <c r="J1198" t="s">
        <v>200</v>
      </c>
      <c r="K1198" t="s">
        <v>737</v>
      </c>
      <c r="O1198">
        <v>0</v>
      </c>
      <c r="U1198" t="s">
        <v>81</v>
      </c>
    </row>
    <row r="1199" spans="1:21" x14ac:dyDescent="0.25">
      <c r="A1199" s="33">
        <v>1201</v>
      </c>
      <c r="B1199" s="24">
        <v>44216</v>
      </c>
      <c r="C1199" t="s">
        <v>39</v>
      </c>
      <c r="D1199" t="s">
        <v>41</v>
      </c>
      <c r="E1199">
        <v>2000711459</v>
      </c>
      <c r="F1199">
        <v>1800</v>
      </c>
      <c r="G1199">
        <v>160</v>
      </c>
      <c r="H1199">
        <v>0</v>
      </c>
      <c r="I1199" t="s">
        <v>201</v>
      </c>
      <c r="J1199" t="s">
        <v>745</v>
      </c>
      <c r="K1199" t="s">
        <v>746</v>
      </c>
      <c r="O1199">
        <v>0</v>
      </c>
      <c r="U1199" t="s">
        <v>81</v>
      </c>
    </row>
    <row r="1200" spans="1:21" x14ac:dyDescent="0.25">
      <c r="A1200" s="33">
        <v>1202</v>
      </c>
      <c r="B1200" s="24">
        <v>44216</v>
      </c>
      <c r="C1200" t="s">
        <v>39</v>
      </c>
      <c r="D1200" t="s">
        <v>41</v>
      </c>
      <c r="E1200">
        <v>2000711011</v>
      </c>
      <c r="F1200">
        <v>120</v>
      </c>
      <c r="G1200">
        <v>80</v>
      </c>
      <c r="H1200">
        <v>0</v>
      </c>
      <c r="I1200" t="s">
        <v>666</v>
      </c>
      <c r="J1200" t="s">
        <v>174</v>
      </c>
      <c r="K1200" t="s">
        <v>204</v>
      </c>
      <c r="O1200">
        <v>0</v>
      </c>
      <c r="U1200" t="s">
        <v>81</v>
      </c>
    </row>
    <row r="1201" spans="1:21" ht="45" x14ac:dyDescent="0.25">
      <c r="A1201" s="33">
        <v>1203</v>
      </c>
      <c r="B1201" s="24">
        <v>44216</v>
      </c>
      <c r="C1201" t="s">
        <v>39</v>
      </c>
      <c r="D1201" t="s">
        <v>41</v>
      </c>
      <c r="E1201">
        <v>2000710813</v>
      </c>
      <c r="F1201">
        <v>80</v>
      </c>
      <c r="G1201">
        <v>80</v>
      </c>
      <c r="H1201">
        <v>0</v>
      </c>
      <c r="I1201" t="s">
        <v>666</v>
      </c>
      <c r="J1201" t="s">
        <v>174</v>
      </c>
      <c r="K1201" t="s">
        <v>717</v>
      </c>
      <c r="O1201">
        <v>0</v>
      </c>
      <c r="T1201" s="62" t="s">
        <v>775</v>
      </c>
      <c r="U1201" t="s">
        <v>81</v>
      </c>
    </row>
    <row r="1202" spans="1:21" x14ac:dyDescent="0.25">
      <c r="A1202" s="33">
        <v>1204</v>
      </c>
      <c r="B1202" s="24">
        <v>44216</v>
      </c>
      <c r="C1202" t="s">
        <v>39</v>
      </c>
      <c r="D1202" t="s">
        <v>41</v>
      </c>
      <c r="E1202">
        <v>2000708984</v>
      </c>
      <c r="F1202">
        <v>120</v>
      </c>
      <c r="G1202">
        <v>3</v>
      </c>
      <c r="H1202">
        <v>0</v>
      </c>
      <c r="I1202" t="s">
        <v>666</v>
      </c>
      <c r="J1202" t="s">
        <v>174</v>
      </c>
      <c r="K1202" t="s">
        <v>662</v>
      </c>
      <c r="O1202">
        <v>0</v>
      </c>
      <c r="U1202" t="s">
        <v>81</v>
      </c>
    </row>
    <row r="1203" spans="1:21" x14ac:dyDescent="0.25">
      <c r="A1203" s="33">
        <v>1205</v>
      </c>
      <c r="B1203" s="24">
        <v>44216</v>
      </c>
      <c r="C1203" t="s">
        <v>39</v>
      </c>
      <c r="D1203" t="s">
        <v>41</v>
      </c>
      <c r="E1203">
        <v>2000711373</v>
      </c>
      <c r="F1203">
        <v>400</v>
      </c>
      <c r="G1203">
        <v>240</v>
      </c>
      <c r="H1203">
        <v>0</v>
      </c>
      <c r="I1203" t="s">
        <v>666</v>
      </c>
      <c r="J1203" t="s">
        <v>174</v>
      </c>
      <c r="K1203" t="s">
        <v>805</v>
      </c>
      <c r="O1203">
        <v>0</v>
      </c>
      <c r="U1203" t="s">
        <v>81</v>
      </c>
    </row>
    <row r="1204" spans="1:21" x14ac:dyDescent="0.25">
      <c r="A1204" s="33">
        <v>1206</v>
      </c>
      <c r="B1204" s="24">
        <v>44216</v>
      </c>
      <c r="C1204" t="s">
        <v>39</v>
      </c>
      <c r="D1204" t="s">
        <v>41</v>
      </c>
      <c r="E1204">
        <v>2000710882</v>
      </c>
      <c r="F1204">
        <v>150</v>
      </c>
      <c r="G1204">
        <v>120</v>
      </c>
      <c r="H1204">
        <v>0</v>
      </c>
      <c r="I1204" t="s">
        <v>666</v>
      </c>
      <c r="J1204" t="s">
        <v>687</v>
      </c>
      <c r="K1204" t="s">
        <v>688</v>
      </c>
      <c r="O1204">
        <v>0</v>
      </c>
      <c r="U1204" t="s">
        <v>81</v>
      </c>
    </row>
    <row r="1205" spans="1:21" x14ac:dyDescent="0.25">
      <c r="A1205" s="33">
        <v>1207</v>
      </c>
      <c r="B1205" s="24">
        <v>44216</v>
      </c>
      <c r="C1205" t="s">
        <v>39</v>
      </c>
      <c r="D1205" t="s">
        <v>41</v>
      </c>
      <c r="E1205">
        <v>2000711373</v>
      </c>
      <c r="F1205">
        <v>400</v>
      </c>
      <c r="G1205">
        <v>40</v>
      </c>
      <c r="H1205">
        <v>0</v>
      </c>
      <c r="I1205" t="s">
        <v>666</v>
      </c>
      <c r="J1205" t="s">
        <v>174</v>
      </c>
      <c r="K1205" t="s">
        <v>805</v>
      </c>
      <c r="O1205">
        <v>0</v>
      </c>
      <c r="U1205" t="s">
        <v>81</v>
      </c>
    </row>
    <row r="1206" spans="1:21" x14ac:dyDescent="0.25">
      <c r="A1206" s="33">
        <v>1208</v>
      </c>
      <c r="B1206" s="24">
        <v>44216</v>
      </c>
      <c r="C1206" t="s">
        <v>39</v>
      </c>
      <c r="D1206" t="s">
        <v>41</v>
      </c>
      <c r="E1206">
        <v>2000693526</v>
      </c>
      <c r="F1206">
        <v>2624</v>
      </c>
      <c r="G1206">
        <v>40</v>
      </c>
      <c r="H1206">
        <v>0</v>
      </c>
      <c r="I1206" t="s">
        <v>666</v>
      </c>
      <c r="J1206" t="s">
        <v>655</v>
      </c>
      <c r="K1206" t="s">
        <v>656</v>
      </c>
      <c r="O1206">
        <v>0</v>
      </c>
      <c r="T1206" t="s">
        <v>912</v>
      </c>
      <c r="U1206" t="s">
        <v>81</v>
      </c>
    </row>
    <row r="1207" spans="1:21" x14ac:dyDescent="0.25">
      <c r="A1207" s="33">
        <v>1209</v>
      </c>
      <c r="B1207" s="24">
        <v>44216</v>
      </c>
      <c r="C1207" t="s">
        <v>39</v>
      </c>
      <c r="D1207" t="s">
        <v>41</v>
      </c>
      <c r="E1207">
        <v>2000693793</v>
      </c>
      <c r="F1207">
        <v>2640</v>
      </c>
      <c r="G1207">
        <v>40</v>
      </c>
      <c r="H1207">
        <v>0</v>
      </c>
      <c r="I1207" t="s">
        <v>666</v>
      </c>
      <c r="J1207" t="s">
        <v>655</v>
      </c>
      <c r="K1207" t="s">
        <v>656</v>
      </c>
      <c r="O1207">
        <v>0</v>
      </c>
      <c r="T1207" t="s">
        <v>912</v>
      </c>
      <c r="U1207" t="s">
        <v>81</v>
      </c>
    </row>
    <row r="1208" spans="1:21" x14ac:dyDescent="0.25">
      <c r="A1208" s="33">
        <v>1210</v>
      </c>
      <c r="B1208" s="24">
        <v>44216</v>
      </c>
      <c r="C1208" t="s">
        <v>39</v>
      </c>
      <c r="D1208" t="s">
        <v>41</v>
      </c>
      <c r="E1208">
        <v>2000695157</v>
      </c>
      <c r="F1208">
        <v>1056</v>
      </c>
      <c r="G1208">
        <v>40</v>
      </c>
      <c r="H1208">
        <v>0</v>
      </c>
      <c r="I1208" t="s">
        <v>666</v>
      </c>
      <c r="J1208" t="s">
        <v>655</v>
      </c>
      <c r="K1208" t="s">
        <v>656</v>
      </c>
      <c r="O1208">
        <v>0</v>
      </c>
      <c r="T1208" t="s">
        <v>913</v>
      </c>
      <c r="U1208" t="s">
        <v>81</v>
      </c>
    </row>
    <row r="1209" spans="1:21" x14ac:dyDescent="0.25">
      <c r="A1209" s="33">
        <v>1211</v>
      </c>
      <c r="B1209" s="24">
        <v>44216</v>
      </c>
      <c r="C1209" t="s">
        <v>39</v>
      </c>
      <c r="D1209" t="s">
        <v>41</v>
      </c>
      <c r="E1209">
        <v>2000694372</v>
      </c>
      <c r="F1209">
        <v>1328</v>
      </c>
      <c r="G1209">
        <v>40</v>
      </c>
      <c r="H1209">
        <v>0</v>
      </c>
      <c r="I1209" t="s">
        <v>666</v>
      </c>
      <c r="J1209" t="s">
        <v>655</v>
      </c>
      <c r="K1209" t="s">
        <v>656</v>
      </c>
      <c r="O1209">
        <v>0</v>
      </c>
      <c r="T1209" t="s">
        <v>913</v>
      </c>
      <c r="U1209" t="s">
        <v>81</v>
      </c>
    </row>
    <row r="1210" spans="1:21" x14ac:dyDescent="0.25">
      <c r="A1210" s="33">
        <v>1212</v>
      </c>
      <c r="B1210" s="24">
        <v>44216</v>
      </c>
      <c r="C1210" t="s">
        <v>39</v>
      </c>
      <c r="D1210" t="s">
        <v>41</v>
      </c>
      <c r="E1210">
        <v>2000711002</v>
      </c>
      <c r="F1210">
        <v>1470</v>
      </c>
      <c r="G1210">
        <v>390</v>
      </c>
      <c r="H1210">
        <v>0</v>
      </c>
      <c r="I1210" t="s">
        <v>661</v>
      </c>
      <c r="J1210" t="s">
        <v>169</v>
      </c>
      <c r="K1210" t="s">
        <v>637</v>
      </c>
      <c r="O1210">
        <v>0</v>
      </c>
      <c r="U1210" t="s">
        <v>81</v>
      </c>
    </row>
    <row r="1211" spans="1:21" x14ac:dyDescent="0.25">
      <c r="A1211" s="33">
        <v>1213</v>
      </c>
      <c r="B1211" s="24">
        <v>44216</v>
      </c>
      <c r="C1211" t="s">
        <v>39</v>
      </c>
      <c r="D1211" t="s">
        <v>41</v>
      </c>
      <c r="E1211">
        <v>2000711340</v>
      </c>
      <c r="F1211">
        <v>2000</v>
      </c>
      <c r="G1211">
        <v>515</v>
      </c>
      <c r="H1211">
        <v>0</v>
      </c>
      <c r="I1211" t="s">
        <v>178</v>
      </c>
      <c r="J1211" t="s">
        <v>170</v>
      </c>
      <c r="K1211" t="s">
        <v>899</v>
      </c>
      <c r="O1211">
        <v>0</v>
      </c>
      <c r="U1211" t="s">
        <v>81</v>
      </c>
    </row>
    <row r="1212" spans="1:21" x14ac:dyDescent="0.25">
      <c r="A1212" s="33">
        <v>1214</v>
      </c>
      <c r="B1212" s="24">
        <v>44216</v>
      </c>
      <c r="C1212" t="s">
        <v>39</v>
      </c>
      <c r="D1212" t="s">
        <v>41</v>
      </c>
      <c r="E1212">
        <v>2000711069</v>
      </c>
      <c r="F1212">
        <v>480</v>
      </c>
      <c r="G1212">
        <v>80</v>
      </c>
      <c r="H1212">
        <v>0</v>
      </c>
      <c r="I1212" t="s">
        <v>178</v>
      </c>
      <c r="J1212" t="s">
        <v>203</v>
      </c>
      <c r="K1212" t="s">
        <v>768</v>
      </c>
      <c r="O1212">
        <v>0</v>
      </c>
      <c r="U1212" t="s">
        <v>81</v>
      </c>
    </row>
    <row r="1213" spans="1:21" x14ac:dyDescent="0.25">
      <c r="A1213" s="33">
        <v>1215</v>
      </c>
      <c r="B1213" s="24">
        <v>44216</v>
      </c>
      <c r="C1213" t="s">
        <v>39</v>
      </c>
      <c r="D1213" t="s">
        <v>41</v>
      </c>
      <c r="E1213">
        <v>2000711219</v>
      </c>
      <c r="F1213">
        <v>1300</v>
      </c>
      <c r="G1213">
        <v>100</v>
      </c>
      <c r="H1213">
        <v>0</v>
      </c>
      <c r="I1213" t="s">
        <v>642</v>
      </c>
      <c r="J1213" t="s">
        <v>645</v>
      </c>
      <c r="K1213" t="s">
        <v>718</v>
      </c>
      <c r="O1213">
        <v>0</v>
      </c>
      <c r="U1213" t="s">
        <v>81</v>
      </c>
    </row>
    <row r="1214" spans="1:21" x14ac:dyDescent="0.25">
      <c r="A1214" s="33">
        <v>1216</v>
      </c>
      <c r="B1214" s="24">
        <v>44216</v>
      </c>
      <c r="C1214" t="s">
        <v>39</v>
      </c>
      <c r="D1214" t="s">
        <v>41</v>
      </c>
      <c r="E1214">
        <v>2000711161</v>
      </c>
      <c r="F1214">
        <v>180</v>
      </c>
      <c r="G1214">
        <v>20</v>
      </c>
      <c r="H1214">
        <v>0</v>
      </c>
      <c r="I1214" t="s">
        <v>642</v>
      </c>
      <c r="J1214" t="s">
        <v>645</v>
      </c>
      <c r="K1214" t="s">
        <v>752</v>
      </c>
      <c r="O1214">
        <v>0</v>
      </c>
      <c r="U1214" t="s">
        <v>81</v>
      </c>
    </row>
    <row r="1215" spans="1:21" x14ac:dyDescent="0.25">
      <c r="A1215" s="33">
        <v>1217</v>
      </c>
      <c r="B1215" s="24">
        <v>44216</v>
      </c>
      <c r="C1215" t="s">
        <v>39</v>
      </c>
      <c r="D1215" t="s">
        <v>41</v>
      </c>
      <c r="E1215">
        <v>2000711159</v>
      </c>
      <c r="F1215">
        <v>160</v>
      </c>
      <c r="G1215">
        <v>20</v>
      </c>
      <c r="H1215">
        <v>0</v>
      </c>
      <c r="I1215" t="s">
        <v>642</v>
      </c>
      <c r="J1215" t="s">
        <v>645</v>
      </c>
      <c r="K1215" t="s">
        <v>720</v>
      </c>
      <c r="O1215">
        <v>0</v>
      </c>
      <c r="U1215" t="s">
        <v>81</v>
      </c>
    </row>
    <row r="1216" spans="1:21" x14ac:dyDescent="0.25">
      <c r="A1216" s="33">
        <v>1218</v>
      </c>
      <c r="B1216" s="24">
        <v>44216</v>
      </c>
      <c r="C1216" t="s">
        <v>39</v>
      </c>
      <c r="D1216" t="s">
        <v>41</v>
      </c>
      <c r="E1216">
        <v>2000710835</v>
      </c>
      <c r="F1216">
        <v>2000</v>
      </c>
      <c r="G1216">
        <v>140</v>
      </c>
      <c r="H1216">
        <v>0</v>
      </c>
      <c r="I1216" t="s">
        <v>642</v>
      </c>
      <c r="J1216" t="s">
        <v>193</v>
      </c>
      <c r="K1216" t="s">
        <v>647</v>
      </c>
      <c r="O1216">
        <v>0</v>
      </c>
      <c r="U1216" t="s">
        <v>81</v>
      </c>
    </row>
    <row r="1217" spans="1:21" x14ac:dyDescent="0.25">
      <c r="A1217" s="33">
        <v>1219</v>
      </c>
      <c r="B1217" s="24">
        <v>44216</v>
      </c>
      <c r="C1217" t="s">
        <v>39</v>
      </c>
      <c r="D1217" t="s">
        <v>41</v>
      </c>
      <c r="E1217">
        <v>2000711160</v>
      </c>
      <c r="F1217">
        <v>220</v>
      </c>
      <c r="G1217">
        <v>20</v>
      </c>
      <c r="H1217">
        <v>0</v>
      </c>
      <c r="I1217" t="s">
        <v>642</v>
      </c>
      <c r="J1217" t="s">
        <v>645</v>
      </c>
      <c r="K1217" t="s">
        <v>719</v>
      </c>
      <c r="O1217">
        <v>0</v>
      </c>
      <c r="U1217" t="s">
        <v>81</v>
      </c>
    </row>
    <row r="1218" spans="1:21" x14ac:dyDescent="0.25">
      <c r="A1218" s="33">
        <v>1220</v>
      </c>
      <c r="B1218" s="24">
        <v>44216</v>
      </c>
      <c r="C1218" t="s">
        <v>39</v>
      </c>
      <c r="D1218" t="s">
        <v>41</v>
      </c>
      <c r="E1218">
        <v>2000711333</v>
      </c>
      <c r="F1218">
        <v>1250</v>
      </c>
      <c r="G1218">
        <v>100</v>
      </c>
      <c r="H1218">
        <v>0</v>
      </c>
      <c r="I1218" t="s">
        <v>642</v>
      </c>
      <c r="J1218" t="s">
        <v>172</v>
      </c>
      <c r="K1218" t="s">
        <v>724</v>
      </c>
      <c r="O1218">
        <v>0</v>
      </c>
      <c r="U1218" t="s">
        <v>81</v>
      </c>
    </row>
    <row r="1219" spans="1:21" x14ac:dyDescent="0.25">
      <c r="A1219" s="33">
        <v>1221</v>
      </c>
      <c r="B1219" s="24">
        <v>44216</v>
      </c>
      <c r="C1219" t="s">
        <v>39</v>
      </c>
      <c r="D1219" t="s">
        <v>41</v>
      </c>
      <c r="E1219">
        <v>2000711334</v>
      </c>
      <c r="F1219">
        <v>1300</v>
      </c>
      <c r="G1219">
        <v>120</v>
      </c>
      <c r="H1219">
        <v>0</v>
      </c>
      <c r="I1219" t="s">
        <v>642</v>
      </c>
      <c r="J1219" t="s">
        <v>172</v>
      </c>
      <c r="K1219" t="s">
        <v>173</v>
      </c>
      <c r="O1219">
        <v>0</v>
      </c>
      <c r="U1219" t="s">
        <v>81</v>
      </c>
    </row>
    <row r="1220" spans="1:21" x14ac:dyDescent="0.25">
      <c r="A1220" s="33">
        <v>1222</v>
      </c>
      <c r="B1220" s="24">
        <v>44216</v>
      </c>
      <c r="C1220" t="s">
        <v>39</v>
      </c>
      <c r="D1220" t="s">
        <v>41</v>
      </c>
      <c r="E1220">
        <v>2000711162</v>
      </c>
      <c r="F1220">
        <v>440</v>
      </c>
      <c r="G1220">
        <v>80</v>
      </c>
      <c r="H1220">
        <v>0</v>
      </c>
      <c r="I1220" t="s">
        <v>642</v>
      </c>
      <c r="J1220" t="s">
        <v>645</v>
      </c>
      <c r="K1220" t="s">
        <v>690</v>
      </c>
      <c r="O1220">
        <v>0</v>
      </c>
      <c r="U1220" t="s">
        <v>81</v>
      </c>
    </row>
    <row r="1221" spans="1:21" x14ac:dyDescent="0.25">
      <c r="A1221" s="33">
        <v>1223</v>
      </c>
      <c r="B1221" s="24">
        <v>44216</v>
      </c>
      <c r="C1221" t="s">
        <v>39</v>
      </c>
      <c r="D1221" t="s">
        <v>41</v>
      </c>
      <c r="E1221">
        <v>2000711340</v>
      </c>
      <c r="F1221">
        <v>2000</v>
      </c>
      <c r="G1221">
        <v>100</v>
      </c>
      <c r="H1221">
        <v>0</v>
      </c>
      <c r="I1221" t="s">
        <v>180</v>
      </c>
      <c r="J1221" t="s">
        <v>170</v>
      </c>
      <c r="K1221" t="s">
        <v>899</v>
      </c>
      <c r="O1221">
        <v>0</v>
      </c>
      <c r="U1221" t="s">
        <v>81</v>
      </c>
    </row>
    <row r="1222" spans="1:21" x14ac:dyDescent="0.25">
      <c r="A1222" s="33">
        <v>1224</v>
      </c>
      <c r="B1222" s="24">
        <v>44216</v>
      </c>
      <c r="C1222" t="s">
        <v>39</v>
      </c>
      <c r="D1222" t="s">
        <v>41</v>
      </c>
      <c r="E1222">
        <v>2000711002</v>
      </c>
      <c r="F1222">
        <v>1470</v>
      </c>
      <c r="G1222">
        <v>225</v>
      </c>
      <c r="H1222">
        <v>0</v>
      </c>
      <c r="I1222" t="s">
        <v>665</v>
      </c>
      <c r="J1222" t="s">
        <v>169</v>
      </c>
      <c r="K1222" t="s">
        <v>637</v>
      </c>
      <c r="O1222">
        <v>0</v>
      </c>
      <c r="U1222" t="s">
        <v>81</v>
      </c>
    </row>
    <row r="1223" spans="1:21" x14ac:dyDescent="0.25">
      <c r="A1223" s="33">
        <v>1225</v>
      </c>
      <c r="B1223" s="24">
        <v>44216</v>
      </c>
      <c r="C1223" t="s">
        <v>39</v>
      </c>
      <c r="D1223" t="s">
        <v>41</v>
      </c>
      <c r="E1223">
        <v>2000711364</v>
      </c>
      <c r="F1223">
        <v>1000</v>
      </c>
      <c r="G1223">
        <v>90</v>
      </c>
      <c r="H1223">
        <v>0</v>
      </c>
      <c r="I1223" t="s">
        <v>665</v>
      </c>
      <c r="J1223" t="s">
        <v>169</v>
      </c>
      <c r="K1223" t="s">
        <v>179</v>
      </c>
      <c r="O1223">
        <v>0</v>
      </c>
      <c r="U1223" t="s">
        <v>81</v>
      </c>
    </row>
    <row r="1224" spans="1:21" x14ac:dyDescent="0.25">
      <c r="A1224" s="33">
        <v>1226</v>
      </c>
      <c r="B1224" s="24">
        <v>44216</v>
      </c>
      <c r="C1224" t="s">
        <v>39</v>
      </c>
      <c r="D1224" t="s">
        <v>41</v>
      </c>
      <c r="E1224">
        <v>2000711340</v>
      </c>
      <c r="F1224">
        <v>2000</v>
      </c>
      <c r="G1224">
        <v>45</v>
      </c>
      <c r="H1224">
        <v>0</v>
      </c>
      <c r="I1224" t="s">
        <v>665</v>
      </c>
      <c r="J1224" t="s">
        <v>169</v>
      </c>
      <c r="K1224" t="s">
        <v>899</v>
      </c>
      <c r="O1224">
        <v>0</v>
      </c>
      <c r="U1224" t="s">
        <v>81</v>
      </c>
    </row>
    <row r="1225" spans="1:21" x14ac:dyDescent="0.25">
      <c r="A1225" s="33">
        <v>1227</v>
      </c>
      <c r="B1225" s="24">
        <v>44216</v>
      </c>
      <c r="C1225" t="s">
        <v>39</v>
      </c>
      <c r="D1225" t="s">
        <v>41</v>
      </c>
      <c r="E1225">
        <v>2000711361</v>
      </c>
      <c r="F1225">
        <v>2400</v>
      </c>
      <c r="G1225">
        <v>90</v>
      </c>
      <c r="H1225">
        <v>0</v>
      </c>
      <c r="I1225" t="s">
        <v>665</v>
      </c>
      <c r="J1225" t="s">
        <v>170</v>
      </c>
      <c r="K1225" t="s">
        <v>899</v>
      </c>
      <c r="O1225">
        <v>0</v>
      </c>
      <c r="U1225" t="s">
        <v>81</v>
      </c>
    </row>
    <row r="1226" spans="1:21" x14ac:dyDescent="0.25">
      <c r="A1226" s="33">
        <v>1228</v>
      </c>
      <c r="B1226" s="24">
        <v>44216</v>
      </c>
      <c r="C1226" t="s">
        <v>39</v>
      </c>
      <c r="D1226" t="s">
        <v>41</v>
      </c>
      <c r="E1226">
        <v>2000711002</v>
      </c>
      <c r="F1226">
        <v>1470</v>
      </c>
      <c r="G1226">
        <v>45</v>
      </c>
      <c r="H1226">
        <v>0</v>
      </c>
      <c r="I1226" t="s">
        <v>191</v>
      </c>
      <c r="J1226" t="s">
        <v>169</v>
      </c>
      <c r="K1226" t="s">
        <v>637</v>
      </c>
      <c r="O1226">
        <v>0</v>
      </c>
      <c r="U1226" t="s">
        <v>81</v>
      </c>
    </row>
    <row r="1227" spans="1:21" x14ac:dyDescent="0.25">
      <c r="A1227" s="33">
        <v>1229</v>
      </c>
      <c r="B1227" s="24">
        <v>44216</v>
      </c>
      <c r="C1227" t="s">
        <v>39</v>
      </c>
      <c r="D1227" t="s">
        <v>51</v>
      </c>
      <c r="E1227">
        <v>2000711498</v>
      </c>
      <c r="F1227">
        <v>350</v>
      </c>
      <c r="G1227">
        <v>88</v>
      </c>
      <c r="H1227">
        <v>0</v>
      </c>
      <c r="I1227" t="s">
        <v>191</v>
      </c>
      <c r="J1227" t="s">
        <v>669</v>
      </c>
      <c r="K1227" t="s">
        <v>670</v>
      </c>
      <c r="O1227">
        <v>0</v>
      </c>
      <c r="U1227" t="s">
        <v>81</v>
      </c>
    </row>
    <row r="1228" spans="1:21" x14ac:dyDescent="0.25">
      <c r="A1228" s="33">
        <v>1230</v>
      </c>
      <c r="B1228" s="24">
        <v>44216</v>
      </c>
      <c r="C1228" t="s">
        <v>39</v>
      </c>
      <c r="D1228" t="s">
        <v>51</v>
      </c>
      <c r="E1228">
        <v>2000711497</v>
      </c>
      <c r="F1228">
        <v>300</v>
      </c>
      <c r="G1228">
        <v>105</v>
      </c>
      <c r="H1228">
        <v>0</v>
      </c>
      <c r="I1228" t="s">
        <v>191</v>
      </c>
      <c r="J1228" t="s">
        <v>667</v>
      </c>
      <c r="K1228" t="s">
        <v>671</v>
      </c>
      <c r="O1228">
        <v>0</v>
      </c>
      <c r="U1228" t="s">
        <v>81</v>
      </c>
    </row>
    <row r="1229" spans="1:21" x14ac:dyDescent="0.25">
      <c r="A1229" s="33">
        <v>1231</v>
      </c>
      <c r="B1229" s="24">
        <v>44216</v>
      </c>
      <c r="C1229" t="s">
        <v>39</v>
      </c>
      <c r="D1229" t="s">
        <v>51</v>
      </c>
      <c r="E1229">
        <v>2000711046</v>
      </c>
      <c r="F1229">
        <v>600</v>
      </c>
      <c r="G1229">
        <v>130</v>
      </c>
      <c r="H1229">
        <v>0</v>
      </c>
      <c r="I1229" t="s">
        <v>191</v>
      </c>
      <c r="J1229" t="s">
        <v>669</v>
      </c>
      <c r="K1229" t="s">
        <v>834</v>
      </c>
      <c r="O1229">
        <v>0</v>
      </c>
      <c r="U1229" t="s">
        <v>81</v>
      </c>
    </row>
    <row r="1230" spans="1:21" x14ac:dyDescent="0.25">
      <c r="A1230" s="33">
        <v>1232</v>
      </c>
      <c r="B1230" s="24">
        <v>44216</v>
      </c>
      <c r="C1230" t="s">
        <v>39</v>
      </c>
      <c r="D1230" t="s">
        <v>51</v>
      </c>
      <c r="E1230">
        <v>2000710500</v>
      </c>
      <c r="F1230">
        <v>462</v>
      </c>
      <c r="G1230">
        <v>50</v>
      </c>
      <c r="H1230">
        <v>0</v>
      </c>
      <c r="I1230" t="s">
        <v>191</v>
      </c>
      <c r="J1230" t="s">
        <v>669</v>
      </c>
      <c r="K1230" t="s">
        <v>707</v>
      </c>
      <c r="O1230">
        <v>0</v>
      </c>
      <c r="U1230" t="s">
        <v>81</v>
      </c>
    </row>
    <row r="1231" spans="1:21" x14ac:dyDescent="0.25">
      <c r="A1231" s="33">
        <v>1233</v>
      </c>
      <c r="B1231" s="24">
        <v>44216</v>
      </c>
      <c r="C1231" t="s">
        <v>39</v>
      </c>
      <c r="D1231" t="s">
        <v>51</v>
      </c>
      <c r="E1231">
        <v>2000711050</v>
      </c>
      <c r="F1231">
        <v>660</v>
      </c>
      <c r="G1231">
        <v>120</v>
      </c>
      <c r="H1231">
        <v>0</v>
      </c>
      <c r="I1231" t="s">
        <v>191</v>
      </c>
      <c r="J1231" t="s">
        <v>667</v>
      </c>
      <c r="K1231" t="s">
        <v>769</v>
      </c>
      <c r="O1231">
        <v>0</v>
      </c>
      <c r="U1231" t="s">
        <v>81</v>
      </c>
    </row>
    <row r="1232" spans="1:21" x14ac:dyDescent="0.25">
      <c r="A1232" s="33">
        <v>1234</v>
      </c>
      <c r="B1232" s="24">
        <v>44216</v>
      </c>
      <c r="C1232" t="s">
        <v>39</v>
      </c>
      <c r="D1232" t="s">
        <v>51</v>
      </c>
      <c r="E1232">
        <v>2000711496</v>
      </c>
      <c r="F1232">
        <v>350</v>
      </c>
      <c r="G1232">
        <v>210</v>
      </c>
      <c r="H1232">
        <v>0</v>
      </c>
      <c r="I1232" t="s">
        <v>191</v>
      </c>
      <c r="J1232" t="s">
        <v>667</v>
      </c>
      <c r="K1232" t="s">
        <v>882</v>
      </c>
      <c r="O1232">
        <v>0</v>
      </c>
      <c r="U1232" t="s">
        <v>81</v>
      </c>
    </row>
    <row r="1233" spans="1:21" x14ac:dyDescent="0.25">
      <c r="A1233" s="33">
        <v>1235</v>
      </c>
      <c r="B1233" s="24">
        <v>44216</v>
      </c>
      <c r="C1233" t="s">
        <v>39</v>
      </c>
      <c r="D1233" t="s">
        <v>51</v>
      </c>
      <c r="E1233">
        <v>2000711045</v>
      </c>
      <c r="F1233">
        <v>1000</v>
      </c>
      <c r="G1233">
        <v>140</v>
      </c>
      <c r="H1233">
        <v>0</v>
      </c>
      <c r="I1233" t="s">
        <v>191</v>
      </c>
      <c r="J1233" t="s">
        <v>673</v>
      </c>
      <c r="K1233" t="s">
        <v>672</v>
      </c>
      <c r="O1233">
        <v>0</v>
      </c>
      <c r="U1233" t="s">
        <v>81</v>
      </c>
    </row>
    <row r="1234" spans="1:21" x14ac:dyDescent="0.25">
      <c r="A1234" s="33">
        <v>1236</v>
      </c>
      <c r="B1234" s="24">
        <v>44216</v>
      </c>
      <c r="C1234" t="s">
        <v>181</v>
      </c>
      <c r="D1234" t="s">
        <v>41</v>
      </c>
      <c r="E1234">
        <v>2000711069</v>
      </c>
      <c r="F1234">
        <v>480</v>
      </c>
      <c r="G1234">
        <v>396</v>
      </c>
      <c r="H1234">
        <v>0</v>
      </c>
      <c r="I1234" t="s">
        <v>198</v>
      </c>
      <c r="J1234" t="s">
        <v>203</v>
      </c>
      <c r="K1234" t="s">
        <v>768</v>
      </c>
      <c r="O1234">
        <v>0</v>
      </c>
      <c r="U1234" t="s">
        <v>81</v>
      </c>
    </row>
    <row r="1235" spans="1:21" x14ac:dyDescent="0.25">
      <c r="A1235" s="33">
        <v>1237</v>
      </c>
      <c r="B1235" s="24">
        <v>44216</v>
      </c>
      <c r="C1235" t="s">
        <v>181</v>
      </c>
      <c r="D1235" t="s">
        <v>41</v>
      </c>
      <c r="E1235">
        <v>2000711389</v>
      </c>
      <c r="F1235">
        <v>600</v>
      </c>
      <c r="G1235">
        <v>199</v>
      </c>
      <c r="H1235">
        <v>0</v>
      </c>
      <c r="I1235" t="s">
        <v>198</v>
      </c>
      <c r="J1235" t="s">
        <v>203</v>
      </c>
      <c r="K1235" t="s">
        <v>914</v>
      </c>
      <c r="O1235">
        <v>0</v>
      </c>
      <c r="U1235" t="s">
        <v>81</v>
      </c>
    </row>
    <row r="1236" spans="1:21" x14ac:dyDescent="0.25">
      <c r="A1236" s="33">
        <v>1238</v>
      </c>
      <c r="B1236" s="24">
        <v>44216</v>
      </c>
      <c r="C1236" t="s">
        <v>181</v>
      </c>
      <c r="D1236" t="s">
        <v>41</v>
      </c>
      <c r="E1236">
        <v>2000711075</v>
      </c>
      <c r="F1236">
        <v>2000</v>
      </c>
      <c r="G1236">
        <v>150</v>
      </c>
      <c r="H1236">
        <v>0</v>
      </c>
      <c r="I1236" t="s">
        <v>183</v>
      </c>
      <c r="J1236" t="s">
        <v>193</v>
      </c>
      <c r="K1236" t="s">
        <v>176</v>
      </c>
      <c r="O1236">
        <v>0</v>
      </c>
      <c r="U1236" t="s">
        <v>81</v>
      </c>
    </row>
    <row r="1237" spans="1:21" x14ac:dyDescent="0.25">
      <c r="A1237" s="33">
        <v>1239</v>
      </c>
      <c r="B1237" s="24">
        <v>44216</v>
      </c>
      <c r="C1237" t="s">
        <v>181</v>
      </c>
      <c r="D1237" t="s">
        <v>41</v>
      </c>
      <c r="E1237">
        <v>2000709832</v>
      </c>
      <c r="F1237">
        <v>1920</v>
      </c>
      <c r="G1237">
        <v>120</v>
      </c>
      <c r="H1237">
        <v>0</v>
      </c>
      <c r="I1237" t="s">
        <v>183</v>
      </c>
      <c r="J1237" t="s">
        <v>828</v>
      </c>
      <c r="K1237" t="s">
        <v>915</v>
      </c>
      <c r="O1237">
        <v>0</v>
      </c>
      <c r="U1237" t="s">
        <v>81</v>
      </c>
    </row>
    <row r="1238" spans="1:21" x14ac:dyDescent="0.25">
      <c r="A1238" s="33">
        <v>1240</v>
      </c>
      <c r="B1238" s="24">
        <v>44216</v>
      </c>
      <c r="C1238" t="s">
        <v>181</v>
      </c>
      <c r="D1238" t="s">
        <v>41</v>
      </c>
      <c r="E1238">
        <v>2000711077</v>
      </c>
      <c r="F1238">
        <v>2000</v>
      </c>
      <c r="G1238">
        <v>130</v>
      </c>
      <c r="H1238">
        <v>0</v>
      </c>
      <c r="I1238" t="s">
        <v>183</v>
      </c>
      <c r="J1238" t="s">
        <v>193</v>
      </c>
      <c r="K1238" t="s">
        <v>650</v>
      </c>
      <c r="O1238">
        <v>0</v>
      </c>
      <c r="U1238" t="s">
        <v>81</v>
      </c>
    </row>
    <row r="1239" spans="1:21" x14ac:dyDescent="0.25">
      <c r="A1239" s="33">
        <v>1241</v>
      </c>
      <c r="B1239" s="24">
        <v>44216</v>
      </c>
      <c r="C1239" t="s">
        <v>181</v>
      </c>
      <c r="D1239" t="s">
        <v>41</v>
      </c>
      <c r="E1239">
        <v>2000710790</v>
      </c>
      <c r="F1239">
        <v>1980</v>
      </c>
      <c r="G1239">
        <v>1979</v>
      </c>
      <c r="H1239">
        <v>0</v>
      </c>
      <c r="I1239" t="s">
        <v>183</v>
      </c>
      <c r="J1239" t="s">
        <v>816</v>
      </c>
      <c r="K1239" t="s">
        <v>916</v>
      </c>
      <c r="O1239">
        <v>0</v>
      </c>
      <c r="U1239" t="s">
        <v>81</v>
      </c>
    </row>
    <row r="1240" spans="1:21" ht="30" x14ac:dyDescent="0.25">
      <c r="A1240" s="33">
        <v>1242</v>
      </c>
      <c r="B1240" s="24">
        <v>44216</v>
      </c>
      <c r="C1240" t="s">
        <v>181</v>
      </c>
      <c r="D1240" t="s">
        <v>41</v>
      </c>
      <c r="E1240">
        <v>2000711330</v>
      </c>
      <c r="F1240">
        <v>1150</v>
      </c>
      <c r="G1240">
        <v>100</v>
      </c>
      <c r="H1240">
        <v>0</v>
      </c>
      <c r="I1240" t="s">
        <v>183</v>
      </c>
      <c r="J1240" t="s">
        <v>172</v>
      </c>
      <c r="K1240" t="s">
        <v>725</v>
      </c>
      <c r="O1240">
        <v>0</v>
      </c>
      <c r="T1240" s="62" t="s">
        <v>723</v>
      </c>
      <c r="U1240" t="s">
        <v>81</v>
      </c>
    </row>
    <row r="1241" spans="1:21" x14ac:dyDescent="0.25">
      <c r="A1241" s="33">
        <v>1243</v>
      </c>
      <c r="B1241" s="24">
        <v>44216</v>
      </c>
      <c r="C1241" t="s">
        <v>181</v>
      </c>
      <c r="D1241" t="s">
        <v>41</v>
      </c>
      <c r="E1241">
        <v>2000711221</v>
      </c>
      <c r="F1241">
        <v>2400</v>
      </c>
      <c r="G1241">
        <v>200</v>
      </c>
      <c r="H1241">
        <v>0</v>
      </c>
      <c r="I1241" t="s">
        <v>183</v>
      </c>
      <c r="J1241" t="s">
        <v>645</v>
      </c>
      <c r="K1241" t="s">
        <v>756</v>
      </c>
      <c r="O1241">
        <v>0</v>
      </c>
      <c r="U1241" t="s">
        <v>81</v>
      </c>
    </row>
    <row r="1242" spans="1:21" x14ac:dyDescent="0.25">
      <c r="A1242" s="33">
        <v>1244</v>
      </c>
      <c r="B1242" s="24">
        <v>44216</v>
      </c>
      <c r="C1242" t="s">
        <v>181</v>
      </c>
      <c r="D1242" t="s">
        <v>41</v>
      </c>
      <c r="E1242">
        <v>2000711361</v>
      </c>
      <c r="F1242">
        <v>2400</v>
      </c>
      <c r="G1242">
        <v>90</v>
      </c>
      <c r="H1242">
        <v>0</v>
      </c>
      <c r="I1242" t="s">
        <v>789</v>
      </c>
      <c r="J1242" t="s">
        <v>170</v>
      </c>
      <c r="K1242" t="s">
        <v>899</v>
      </c>
      <c r="O1242">
        <v>0</v>
      </c>
      <c r="U1242" t="s">
        <v>81</v>
      </c>
    </row>
    <row r="1243" spans="1:21" x14ac:dyDescent="0.25">
      <c r="A1243" s="33">
        <v>1245</v>
      </c>
      <c r="B1243" s="24">
        <v>44216</v>
      </c>
      <c r="C1243" t="s">
        <v>181</v>
      </c>
      <c r="D1243" t="s">
        <v>41</v>
      </c>
      <c r="E1243">
        <v>2000709832</v>
      </c>
      <c r="F1243">
        <v>1920</v>
      </c>
      <c r="G1243">
        <v>120</v>
      </c>
      <c r="H1243">
        <v>0</v>
      </c>
      <c r="I1243" t="s">
        <v>680</v>
      </c>
      <c r="J1243" t="s">
        <v>203</v>
      </c>
      <c r="K1243" t="s">
        <v>640</v>
      </c>
      <c r="O1243">
        <v>0</v>
      </c>
      <c r="U1243" t="s">
        <v>81</v>
      </c>
    </row>
    <row r="1244" spans="1:21" x14ac:dyDescent="0.25">
      <c r="A1244" s="33">
        <v>1246</v>
      </c>
      <c r="B1244" s="24">
        <v>44216</v>
      </c>
      <c r="C1244" t="s">
        <v>181</v>
      </c>
      <c r="D1244" t="s">
        <v>41</v>
      </c>
      <c r="E1244">
        <v>2000710658</v>
      </c>
      <c r="F1244">
        <v>1200</v>
      </c>
      <c r="G1244">
        <v>200</v>
      </c>
      <c r="H1244">
        <v>0</v>
      </c>
      <c r="I1244" t="s">
        <v>680</v>
      </c>
      <c r="J1244" t="s">
        <v>172</v>
      </c>
      <c r="K1244" t="s">
        <v>725</v>
      </c>
      <c r="O1244">
        <v>0</v>
      </c>
      <c r="U1244" t="s">
        <v>81</v>
      </c>
    </row>
    <row r="1245" spans="1:21" x14ac:dyDescent="0.25">
      <c r="A1245" s="33">
        <v>1247</v>
      </c>
      <c r="B1245" s="24">
        <v>44216</v>
      </c>
      <c r="C1245" t="s">
        <v>181</v>
      </c>
      <c r="D1245" t="s">
        <v>41</v>
      </c>
      <c r="E1245">
        <v>2000711459</v>
      </c>
      <c r="F1245">
        <v>1800</v>
      </c>
      <c r="G1245">
        <v>440</v>
      </c>
      <c r="H1245">
        <v>0</v>
      </c>
      <c r="I1245" t="s">
        <v>680</v>
      </c>
      <c r="J1245" t="s">
        <v>745</v>
      </c>
      <c r="K1245" t="s">
        <v>746</v>
      </c>
      <c r="O1245">
        <v>0</v>
      </c>
      <c r="U1245" t="s">
        <v>81</v>
      </c>
    </row>
    <row r="1246" spans="1:21" ht="30" x14ac:dyDescent="0.25">
      <c r="A1246" s="33">
        <v>1248</v>
      </c>
      <c r="B1246" s="24">
        <v>44216</v>
      </c>
      <c r="C1246" t="s">
        <v>181</v>
      </c>
      <c r="D1246" t="s">
        <v>41</v>
      </c>
      <c r="E1246">
        <v>2000711227</v>
      </c>
      <c r="F1246">
        <v>4230</v>
      </c>
      <c r="G1246">
        <v>300</v>
      </c>
      <c r="H1246">
        <v>0</v>
      </c>
      <c r="I1246" t="s">
        <v>680</v>
      </c>
      <c r="J1246" t="s">
        <v>199</v>
      </c>
      <c r="K1246" t="s">
        <v>660</v>
      </c>
      <c r="O1246">
        <v>0</v>
      </c>
      <c r="T1246" s="62" t="s">
        <v>723</v>
      </c>
      <c r="U1246" t="s">
        <v>81</v>
      </c>
    </row>
    <row r="1247" spans="1:21" x14ac:dyDescent="0.25">
      <c r="A1247" s="33">
        <v>1249</v>
      </c>
      <c r="B1247" s="24">
        <v>44216</v>
      </c>
      <c r="C1247" t="s">
        <v>181</v>
      </c>
      <c r="D1247" t="s">
        <v>41</v>
      </c>
      <c r="E1247">
        <v>2000710294</v>
      </c>
      <c r="F1247">
        <v>1280</v>
      </c>
      <c r="G1247">
        <v>40</v>
      </c>
      <c r="H1247">
        <v>0</v>
      </c>
      <c r="I1247" t="s">
        <v>680</v>
      </c>
      <c r="J1247" t="s">
        <v>745</v>
      </c>
      <c r="K1247" t="s">
        <v>746</v>
      </c>
      <c r="O1247">
        <v>0</v>
      </c>
      <c r="U1247" t="s">
        <v>81</v>
      </c>
    </row>
    <row r="1248" spans="1:21" x14ac:dyDescent="0.25">
      <c r="A1248" s="33">
        <v>1250</v>
      </c>
      <c r="B1248" s="24">
        <v>44216</v>
      </c>
      <c r="C1248" t="s">
        <v>181</v>
      </c>
      <c r="D1248" t="s">
        <v>41</v>
      </c>
      <c r="E1248">
        <v>2000711222</v>
      </c>
      <c r="F1248">
        <v>2400</v>
      </c>
      <c r="G1248">
        <v>200</v>
      </c>
      <c r="H1248">
        <v>0</v>
      </c>
      <c r="I1248" t="s">
        <v>680</v>
      </c>
      <c r="J1248" t="s">
        <v>645</v>
      </c>
      <c r="K1248" t="s">
        <v>739</v>
      </c>
      <c r="O1248">
        <v>0</v>
      </c>
      <c r="U1248" t="s">
        <v>81</v>
      </c>
    </row>
    <row r="1249" spans="1:21" x14ac:dyDescent="0.25">
      <c r="A1249" s="33">
        <v>1251</v>
      </c>
      <c r="B1249" s="24">
        <v>44216</v>
      </c>
      <c r="C1249" t="s">
        <v>181</v>
      </c>
      <c r="D1249" t="s">
        <v>41</v>
      </c>
      <c r="E1249">
        <v>2000711331</v>
      </c>
      <c r="F1249">
        <v>1250</v>
      </c>
      <c r="G1249">
        <v>200</v>
      </c>
      <c r="H1249">
        <v>0</v>
      </c>
      <c r="I1249" t="s">
        <v>680</v>
      </c>
      <c r="J1249" t="s">
        <v>172</v>
      </c>
      <c r="K1249" t="s">
        <v>725</v>
      </c>
      <c r="O1249">
        <v>0</v>
      </c>
      <c r="U1249" t="s">
        <v>81</v>
      </c>
    </row>
    <row r="1250" spans="1:21" x14ac:dyDescent="0.25">
      <c r="A1250" s="33">
        <v>1252</v>
      </c>
      <c r="B1250" s="24">
        <v>44216</v>
      </c>
      <c r="C1250" t="s">
        <v>181</v>
      </c>
      <c r="D1250" t="s">
        <v>41</v>
      </c>
      <c r="E1250">
        <v>2000711076</v>
      </c>
      <c r="F1250">
        <v>2000</v>
      </c>
      <c r="G1250">
        <v>200</v>
      </c>
      <c r="H1250">
        <v>0</v>
      </c>
      <c r="I1250" t="s">
        <v>680</v>
      </c>
      <c r="J1250" t="s">
        <v>193</v>
      </c>
      <c r="K1250" t="s">
        <v>683</v>
      </c>
      <c r="O1250">
        <v>0</v>
      </c>
      <c r="U1250" t="s">
        <v>81</v>
      </c>
    </row>
    <row r="1251" spans="1:21" x14ac:dyDescent="0.25">
      <c r="A1251" s="33">
        <v>1253</v>
      </c>
      <c r="B1251" s="24">
        <v>44216</v>
      </c>
      <c r="C1251" t="s">
        <v>181</v>
      </c>
      <c r="D1251" t="s">
        <v>41</v>
      </c>
      <c r="E1251">
        <v>2000711340</v>
      </c>
      <c r="F1251">
        <v>2000</v>
      </c>
      <c r="G1251">
        <v>80</v>
      </c>
      <c r="H1251">
        <v>0</v>
      </c>
      <c r="I1251" t="s">
        <v>693</v>
      </c>
      <c r="J1251" t="s">
        <v>170</v>
      </c>
      <c r="K1251" t="s">
        <v>899</v>
      </c>
      <c r="O1251">
        <v>0</v>
      </c>
      <c r="U1251" t="s">
        <v>81</v>
      </c>
    </row>
    <row r="1252" spans="1:21" x14ac:dyDescent="0.25">
      <c r="A1252" s="33">
        <v>1254</v>
      </c>
      <c r="B1252" s="24">
        <v>44216</v>
      </c>
      <c r="C1252" t="s">
        <v>181</v>
      </c>
      <c r="D1252" t="s">
        <v>41</v>
      </c>
      <c r="E1252">
        <v>2000711361</v>
      </c>
      <c r="F1252">
        <v>2400</v>
      </c>
      <c r="G1252">
        <v>450</v>
      </c>
      <c r="H1252">
        <v>0</v>
      </c>
      <c r="I1252" t="s">
        <v>693</v>
      </c>
      <c r="J1252" t="s">
        <v>170</v>
      </c>
      <c r="K1252" t="s">
        <v>899</v>
      </c>
      <c r="O1252">
        <v>0</v>
      </c>
      <c r="U1252" t="s">
        <v>81</v>
      </c>
    </row>
    <row r="1253" spans="1:21" x14ac:dyDescent="0.25">
      <c r="A1253" s="33">
        <v>1255</v>
      </c>
      <c r="B1253" s="24">
        <v>44216</v>
      </c>
      <c r="C1253" t="s">
        <v>181</v>
      </c>
      <c r="D1253" t="s">
        <v>41</v>
      </c>
      <c r="E1253">
        <v>2000711340</v>
      </c>
      <c r="F1253">
        <v>2000</v>
      </c>
      <c r="G1253">
        <v>90</v>
      </c>
      <c r="H1253">
        <v>0</v>
      </c>
      <c r="I1253" t="s">
        <v>706</v>
      </c>
      <c r="J1253" t="s">
        <v>170</v>
      </c>
      <c r="K1253" t="s">
        <v>899</v>
      </c>
      <c r="O1253">
        <v>0</v>
      </c>
      <c r="U1253" t="s">
        <v>81</v>
      </c>
    </row>
    <row r="1254" spans="1:21" x14ac:dyDescent="0.25">
      <c r="A1254" s="33">
        <v>1256</v>
      </c>
      <c r="B1254" s="24">
        <v>44216</v>
      </c>
      <c r="C1254" t="s">
        <v>181</v>
      </c>
      <c r="D1254" t="s">
        <v>41</v>
      </c>
      <c r="E1254">
        <v>2000711361</v>
      </c>
      <c r="F1254">
        <v>2400</v>
      </c>
      <c r="G1254">
        <v>90</v>
      </c>
      <c r="H1254">
        <v>0</v>
      </c>
      <c r="I1254" t="s">
        <v>706</v>
      </c>
      <c r="J1254" t="s">
        <v>170</v>
      </c>
      <c r="K1254" t="s">
        <v>899</v>
      </c>
      <c r="O1254">
        <v>0</v>
      </c>
      <c r="U1254" t="s">
        <v>81</v>
      </c>
    </row>
    <row r="1255" spans="1:21" x14ac:dyDescent="0.25">
      <c r="A1255" s="33">
        <v>1257</v>
      </c>
      <c r="B1255" s="24">
        <v>44216</v>
      </c>
      <c r="C1255" t="s">
        <v>181</v>
      </c>
      <c r="D1255" t="s">
        <v>41</v>
      </c>
      <c r="E1255">
        <v>2000711544</v>
      </c>
      <c r="F1255">
        <v>190</v>
      </c>
      <c r="G1255">
        <v>105</v>
      </c>
      <c r="H1255">
        <v>0</v>
      </c>
      <c r="I1255" t="s">
        <v>184</v>
      </c>
      <c r="J1255" t="s">
        <v>745</v>
      </c>
      <c r="K1255" t="s">
        <v>836</v>
      </c>
      <c r="O1255">
        <v>0</v>
      </c>
      <c r="U1255" t="s">
        <v>81</v>
      </c>
    </row>
    <row r="1256" spans="1:21" x14ac:dyDescent="0.25">
      <c r="A1256" s="33">
        <v>1258</v>
      </c>
      <c r="B1256" s="24">
        <v>44216</v>
      </c>
      <c r="C1256" t="s">
        <v>181</v>
      </c>
      <c r="D1256" t="s">
        <v>41</v>
      </c>
      <c r="E1256">
        <v>2000711361</v>
      </c>
      <c r="F1256">
        <v>2400</v>
      </c>
      <c r="G1256">
        <v>225</v>
      </c>
      <c r="H1256">
        <v>0</v>
      </c>
      <c r="I1256" t="s">
        <v>759</v>
      </c>
      <c r="J1256" t="s">
        <v>170</v>
      </c>
      <c r="K1256" t="s">
        <v>899</v>
      </c>
      <c r="O1256">
        <v>0</v>
      </c>
      <c r="U1256" t="s">
        <v>81</v>
      </c>
    </row>
    <row r="1257" spans="1:21" x14ac:dyDescent="0.25">
      <c r="A1257" s="33">
        <v>1259</v>
      </c>
      <c r="B1257" s="24">
        <v>44216</v>
      </c>
      <c r="C1257" t="s">
        <v>181</v>
      </c>
      <c r="D1257" t="s">
        <v>41</v>
      </c>
      <c r="E1257">
        <v>2000711373</v>
      </c>
      <c r="F1257">
        <v>400</v>
      </c>
      <c r="G1257">
        <v>119</v>
      </c>
      <c r="H1257">
        <v>0</v>
      </c>
      <c r="I1257" t="s">
        <v>696</v>
      </c>
      <c r="J1257" t="s">
        <v>174</v>
      </c>
      <c r="K1257" t="s">
        <v>805</v>
      </c>
      <c r="O1257">
        <v>0</v>
      </c>
      <c r="U1257" t="s">
        <v>81</v>
      </c>
    </row>
    <row r="1258" spans="1:21" x14ac:dyDescent="0.25">
      <c r="A1258" s="33">
        <v>1260</v>
      </c>
      <c r="B1258" s="24">
        <v>44216</v>
      </c>
      <c r="C1258" t="s">
        <v>181</v>
      </c>
      <c r="D1258" t="s">
        <v>41</v>
      </c>
      <c r="E1258">
        <v>2000711494</v>
      </c>
      <c r="F1258">
        <v>594</v>
      </c>
      <c r="G1258">
        <v>380</v>
      </c>
      <c r="H1258">
        <v>0</v>
      </c>
      <c r="I1258" t="s">
        <v>696</v>
      </c>
      <c r="J1258" t="s">
        <v>174</v>
      </c>
      <c r="K1258" t="s">
        <v>177</v>
      </c>
      <c r="O1258">
        <v>0</v>
      </c>
      <c r="U1258" t="s">
        <v>81</v>
      </c>
    </row>
    <row r="1259" spans="1:21" ht="60" x14ac:dyDescent="0.25">
      <c r="A1259" s="33">
        <v>1261</v>
      </c>
      <c r="B1259" s="24">
        <v>44216</v>
      </c>
      <c r="C1259" t="s">
        <v>181</v>
      </c>
      <c r="D1259" t="s">
        <v>41</v>
      </c>
      <c r="E1259">
        <v>2000711220</v>
      </c>
      <c r="F1259">
        <v>1120</v>
      </c>
      <c r="G1259">
        <v>90</v>
      </c>
      <c r="H1259">
        <v>0</v>
      </c>
      <c r="I1259" t="s">
        <v>185</v>
      </c>
      <c r="J1259" t="s">
        <v>645</v>
      </c>
      <c r="K1259" t="s">
        <v>790</v>
      </c>
      <c r="O1259">
        <v>0</v>
      </c>
      <c r="T1259" s="62" t="s">
        <v>821</v>
      </c>
      <c r="U1259" t="s">
        <v>81</v>
      </c>
    </row>
    <row r="1260" spans="1:21" x14ac:dyDescent="0.25">
      <c r="A1260" s="33">
        <v>1262</v>
      </c>
      <c r="B1260" s="24">
        <v>44216</v>
      </c>
      <c r="C1260" t="s">
        <v>181</v>
      </c>
      <c r="D1260" t="s">
        <v>41</v>
      </c>
      <c r="E1260">
        <v>2000711333</v>
      </c>
      <c r="F1260">
        <v>1250</v>
      </c>
      <c r="G1260">
        <v>20</v>
      </c>
      <c r="H1260">
        <v>0</v>
      </c>
      <c r="I1260" t="s">
        <v>185</v>
      </c>
      <c r="J1260" t="s">
        <v>172</v>
      </c>
      <c r="K1260" t="s">
        <v>724</v>
      </c>
      <c r="O1260">
        <v>0</v>
      </c>
      <c r="U1260" t="s">
        <v>81</v>
      </c>
    </row>
    <row r="1261" spans="1:21" x14ac:dyDescent="0.25">
      <c r="A1261" s="33">
        <v>1263</v>
      </c>
      <c r="B1261" s="24">
        <v>44216</v>
      </c>
      <c r="C1261" t="s">
        <v>181</v>
      </c>
      <c r="D1261" t="s">
        <v>41</v>
      </c>
      <c r="E1261">
        <v>2000710881</v>
      </c>
      <c r="F1261">
        <v>900</v>
      </c>
      <c r="G1261">
        <v>80</v>
      </c>
      <c r="H1261">
        <v>0</v>
      </c>
      <c r="I1261" t="s">
        <v>185</v>
      </c>
      <c r="J1261" t="s">
        <v>687</v>
      </c>
      <c r="K1261" t="s">
        <v>757</v>
      </c>
      <c r="O1261">
        <v>0</v>
      </c>
      <c r="U1261" t="s">
        <v>81</v>
      </c>
    </row>
    <row r="1262" spans="1:21" x14ac:dyDescent="0.25">
      <c r="A1262" s="33">
        <v>1264</v>
      </c>
      <c r="B1262" s="24">
        <v>44216</v>
      </c>
      <c r="C1262" t="s">
        <v>181</v>
      </c>
      <c r="D1262" t="s">
        <v>41</v>
      </c>
      <c r="E1262">
        <v>2000710670</v>
      </c>
      <c r="F1262">
        <v>360</v>
      </c>
      <c r="G1262">
        <v>2</v>
      </c>
      <c r="H1262">
        <v>0</v>
      </c>
      <c r="I1262" t="s">
        <v>185</v>
      </c>
      <c r="J1262" t="s">
        <v>169</v>
      </c>
      <c r="K1262" t="s">
        <v>892</v>
      </c>
      <c r="O1262">
        <v>0</v>
      </c>
      <c r="U1262" t="s">
        <v>81</v>
      </c>
    </row>
    <row r="1263" spans="1:21" x14ac:dyDescent="0.25">
      <c r="A1263" s="33">
        <v>1265</v>
      </c>
      <c r="B1263" s="24">
        <v>44216</v>
      </c>
      <c r="C1263" t="s">
        <v>181</v>
      </c>
      <c r="D1263" t="s">
        <v>41</v>
      </c>
      <c r="E1263">
        <v>2000694372</v>
      </c>
      <c r="F1263">
        <v>1328</v>
      </c>
      <c r="G1263">
        <v>52</v>
      </c>
      <c r="H1263">
        <v>0</v>
      </c>
      <c r="I1263" t="s">
        <v>185</v>
      </c>
      <c r="J1263" t="s">
        <v>655</v>
      </c>
      <c r="K1263" t="s">
        <v>656</v>
      </c>
      <c r="O1263">
        <v>0</v>
      </c>
      <c r="U1263" t="s">
        <v>81</v>
      </c>
    </row>
    <row r="1264" spans="1:21" x14ac:dyDescent="0.25">
      <c r="A1264" s="33">
        <v>1266</v>
      </c>
      <c r="B1264" s="24">
        <v>44216</v>
      </c>
      <c r="C1264" t="s">
        <v>181</v>
      </c>
      <c r="D1264" t="s">
        <v>41</v>
      </c>
      <c r="E1264">
        <v>2000693793</v>
      </c>
      <c r="F1264">
        <v>2640</v>
      </c>
      <c r="G1264">
        <v>120</v>
      </c>
      <c r="H1264">
        <v>0</v>
      </c>
      <c r="I1264" t="s">
        <v>185</v>
      </c>
      <c r="J1264" t="s">
        <v>655</v>
      </c>
      <c r="K1264" t="s">
        <v>656</v>
      </c>
      <c r="O1264">
        <v>0</v>
      </c>
      <c r="U1264" t="s">
        <v>81</v>
      </c>
    </row>
    <row r="1265" spans="1:21" x14ac:dyDescent="0.25">
      <c r="A1265" s="33">
        <v>1267</v>
      </c>
      <c r="B1265" s="24">
        <v>44216</v>
      </c>
      <c r="C1265" t="s">
        <v>181</v>
      </c>
      <c r="D1265" t="s">
        <v>41</v>
      </c>
      <c r="E1265">
        <v>2000695158</v>
      </c>
      <c r="F1265">
        <v>1360</v>
      </c>
      <c r="G1265">
        <v>40</v>
      </c>
      <c r="H1265">
        <v>0</v>
      </c>
      <c r="I1265" t="s">
        <v>185</v>
      </c>
      <c r="J1265" t="s">
        <v>655</v>
      </c>
      <c r="K1265" t="s">
        <v>656</v>
      </c>
      <c r="O1265">
        <v>0</v>
      </c>
      <c r="U1265" t="s">
        <v>81</v>
      </c>
    </row>
    <row r="1266" spans="1:21" x14ac:dyDescent="0.25">
      <c r="A1266" s="33">
        <v>1268</v>
      </c>
      <c r="B1266" s="24">
        <v>44216</v>
      </c>
      <c r="C1266" t="s">
        <v>181</v>
      </c>
      <c r="D1266" t="s">
        <v>41</v>
      </c>
      <c r="E1266">
        <v>2000711224</v>
      </c>
      <c r="F1266">
        <v>2400</v>
      </c>
      <c r="G1266">
        <v>40</v>
      </c>
      <c r="H1266">
        <v>0</v>
      </c>
      <c r="I1266" t="s">
        <v>185</v>
      </c>
      <c r="J1266" t="s">
        <v>645</v>
      </c>
      <c r="K1266" t="s">
        <v>721</v>
      </c>
      <c r="O1266">
        <v>0</v>
      </c>
      <c r="U1266" t="s">
        <v>81</v>
      </c>
    </row>
    <row r="1267" spans="1:21" x14ac:dyDescent="0.25">
      <c r="A1267" s="33">
        <v>1269</v>
      </c>
      <c r="B1267" s="24">
        <v>44216</v>
      </c>
      <c r="C1267" t="s">
        <v>181</v>
      </c>
      <c r="D1267" t="s">
        <v>41</v>
      </c>
      <c r="E1267">
        <v>2000693526</v>
      </c>
      <c r="F1267">
        <v>2624</v>
      </c>
      <c r="G1267">
        <v>80</v>
      </c>
      <c r="H1267">
        <v>0</v>
      </c>
      <c r="I1267" t="s">
        <v>185</v>
      </c>
      <c r="J1267" t="s">
        <v>655</v>
      </c>
      <c r="K1267" t="s">
        <v>656</v>
      </c>
      <c r="O1267">
        <v>0</v>
      </c>
      <c r="U1267" t="s">
        <v>81</v>
      </c>
    </row>
    <row r="1268" spans="1:21" x14ac:dyDescent="0.25">
      <c r="A1268" s="33">
        <v>1270</v>
      </c>
      <c r="B1268" s="24">
        <v>44216</v>
      </c>
      <c r="C1268" t="s">
        <v>181</v>
      </c>
      <c r="D1268" t="s">
        <v>41</v>
      </c>
      <c r="E1268">
        <v>2000695157</v>
      </c>
      <c r="F1268">
        <v>1056</v>
      </c>
      <c r="G1268">
        <v>80</v>
      </c>
      <c r="H1268">
        <v>0</v>
      </c>
      <c r="I1268" t="s">
        <v>185</v>
      </c>
      <c r="J1268" t="s">
        <v>655</v>
      </c>
      <c r="K1268" t="s">
        <v>656</v>
      </c>
      <c r="O1268">
        <v>0</v>
      </c>
      <c r="U1268" t="s">
        <v>81</v>
      </c>
    </row>
    <row r="1269" spans="1:21" x14ac:dyDescent="0.25">
      <c r="A1269" s="33">
        <v>1271</v>
      </c>
      <c r="B1269" s="24">
        <v>44216</v>
      </c>
      <c r="C1269" t="s">
        <v>181</v>
      </c>
      <c r="D1269" t="s">
        <v>41</v>
      </c>
      <c r="E1269">
        <v>2000695931</v>
      </c>
      <c r="F1269">
        <v>1328</v>
      </c>
      <c r="G1269">
        <v>40</v>
      </c>
      <c r="H1269">
        <v>0</v>
      </c>
      <c r="I1269" t="s">
        <v>185</v>
      </c>
      <c r="J1269" t="s">
        <v>655</v>
      </c>
      <c r="K1269" t="s">
        <v>656</v>
      </c>
      <c r="O1269">
        <v>0</v>
      </c>
      <c r="U1269" t="s">
        <v>81</v>
      </c>
    </row>
    <row r="1270" spans="1:21" x14ac:dyDescent="0.25">
      <c r="A1270" s="33">
        <v>1272</v>
      </c>
      <c r="B1270" s="24">
        <v>44216</v>
      </c>
      <c r="C1270" t="s">
        <v>181</v>
      </c>
      <c r="D1270" t="s">
        <v>41</v>
      </c>
      <c r="E1270">
        <v>2000711335</v>
      </c>
      <c r="F1270">
        <v>1150</v>
      </c>
      <c r="G1270">
        <v>30</v>
      </c>
      <c r="H1270">
        <v>0</v>
      </c>
      <c r="I1270" t="s">
        <v>185</v>
      </c>
      <c r="J1270" t="s">
        <v>172</v>
      </c>
      <c r="K1270" t="s">
        <v>692</v>
      </c>
      <c r="O1270">
        <v>0</v>
      </c>
      <c r="U1270" t="s">
        <v>81</v>
      </c>
    </row>
    <row r="1271" spans="1:21" x14ac:dyDescent="0.25">
      <c r="A1271" s="33">
        <v>1273</v>
      </c>
      <c r="B1271" s="24">
        <v>44216</v>
      </c>
      <c r="C1271" t="s">
        <v>181</v>
      </c>
      <c r="D1271" t="s">
        <v>51</v>
      </c>
      <c r="E1271">
        <v>2000711048</v>
      </c>
      <c r="F1271">
        <v>411</v>
      </c>
      <c r="G1271">
        <v>411</v>
      </c>
      <c r="H1271">
        <v>0</v>
      </c>
      <c r="I1271" t="s">
        <v>706</v>
      </c>
      <c r="J1271" t="s">
        <v>673</v>
      </c>
      <c r="K1271" t="s">
        <v>791</v>
      </c>
      <c r="O1271">
        <v>0</v>
      </c>
      <c r="U1271" t="s">
        <v>81</v>
      </c>
    </row>
    <row r="1272" spans="1:21" x14ac:dyDescent="0.25">
      <c r="A1272" s="33">
        <v>1274</v>
      </c>
      <c r="B1272" s="24">
        <v>44216</v>
      </c>
      <c r="C1272" t="s">
        <v>181</v>
      </c>
      <c r="D1272" t="s">
        <v>51</v>
      </c>
      <c r="E1272">
        <v>2000711302</v>
      </c>
      <c r="F1272">
        <v>380</v>
      </c>
      <c r="G1272">
        <v>90</v>
      </c>
      <c r="H1272">
        <v>0</v>
      </c>
      <c r="I1272" t="s">
        <v>706</v>
      </c>
      <c r="J1272" t="s">
        <v>669</v>
      </c>
      <c r="K1272" t="s">
        <v>741</v>
      </c>
      <c r="O1272">
        <v>0</v>
      </c>
      <c r="U1272" t="s">
        <v>81</v>
      </c>
    </row>
    <row r="1273" spans="1:21" x14ac:dyDescent="0.25">
      <c r="A1273" s="33">
        <v>1275</v>
      </c>
      <c r="B1273" s="24">
        <v>44216</v>
      </c>
      <c r="C1273" t="s">
        <v>181</v>
      </c>
      <c r="D1273" t="s">
        <v>51</v>
      </c>
      <c r="E1273">
        <v>2000711501</v>
      </c>
      <c r="F1273">
        <v>650</v>
      </c>
      <c r="G1273">
        <v>70</v>
      </c>
      <c r="H1273">
        <v>0</v>
      </c>
      <c r="I1273" t="s">
        <v>706</v>
      </c>
      <c r="J1273" t="s">
        <v>667</v>
      </c>
      <c r="K1273" t="s">
        <v>671</v>
      </c>
      <c r="O1273">
        <v>0</v>
      </c>
      <c r="U1273" t="s">
        <v>81</v>
      </c>
    </row>
    <row r="1274" spans="1:21" x14ac:dyDescent="0.25">
      <c r="A1274" s="33">
        <v>1276</v>
      </c>
      <c r="B1274" s="24">
        <v>44216</v>
      </c>
      <c r="C1274" t="s">
        <v>181</v>
      </c>
      <c r="D1274" t="s">
        <v>51</v>
      </c>
      <c r="E1274">
        <v>2000711502</v>
      </c>
      <c r="F1274">
        <v>699</v>
      </c>
      <c r="G1274">
        <v>192</v>
      </c>
      <c r="H1274">
        <v>0</v>
      </c>
      <c r="I1274" t="s">
        <v>706</v>
      </c>
      <c r="J1274" t="s">
        <v>709</v>
      </c>
      <c r="K1274" t="s">
        <v>710</v>
      </c>
      <c r="O1274">
        <v>0</v>
      </c>
      <c r="U1274" t="s">
        <v>81</v>
      </c>
    </row>
    <row r="1275" spans="1:21" x14ac:dyDescent="0.25">
      <c r="A1275" s="33">
        <v>1277</v>
      </c>
      <c r="B1275" s="24">
        <v>44216</v>
      </c>
      <c r="C1275" t="s">
        <v>181</v>
      </c>
      <c r="D1275" t="s">
        <v>51</v>
      </c>
      <c r="E1275">
        <v>2000711504</v>
      </c>
      <c r="F1275">
        <v>660</v>
      </c>
      <c r="G1275">
        <v>150</v>
      </c>
      <c r="H1275">
        <v>0</v>
      </c>
      <c r="I1275" t="s">
        <v>706</v>
      </c>
      <c r="J1275" t="s">
        <v>667</v>
      </c>
      <c r="K1275" t="s">
        <v>769</v>
      </c>
      <c r="O1275">
        <v>0</v>
      </c>
      <c r="U1275" t="s">
        <v>81</v>
      </c>
    </row>
    <row r="1276" spans="1:21" x14ac:dyDescent="0.25">
      <c r="A1276" s="33">
        <v>1278</v>
      </c>
      <c r="B1276" s="24">
        <v>44216</v>
      </c>
      <c r="C1276" t="s">
        <v>181</v>
      </c>
      <c r="D1276" t="s">
        <v>51</v>
      </c>
      <c r="E1276">
        <v>2000711503</v>
      </c>
      <c r="F1276">
        <v>655</v>
      </c>
      <c r="G1276">
        <v>10</v>
      </c>
      <c r="H1276">
        <v>0</v>
      </c>
      <c r="I1276" t="s">
        <v>706</v>
      </c>
      <c r="J1276" t="s">
        <v>669</v>
      </c>
      <c r="K1276" t="s">
        <v>848</v>
      </c>
      <c r="O1276">
        <v>0</v>
      </c>
      <c r="U1276" t="s">
        <v>81</v>
      </c>
    </row>
    <row r="1277" spans="1:21" x14ac:dyDescent="0.25">
      <c r="A1277" s="33">
        <v>1279</v>
      </c>
      <c r="B1277" s="24">
        <v>44217</v>
      </c>
      <c r="C1277" t="s">
        <v>39</v>
      </c>
      <c r="D1277" t="s">
        <v>41</v>
      </c>
      <c r="E1277">
        <v>2000711494</v>
      </c>
      <c r="F1277">
        <v>594</v>
      </c>
      <c r="G1277">
        <v>196</v>
      </c>
      <c r="H1277">
        <v>0</v>
      </c>
      <c r="I1277" t="s">
        <v>666</v>
      </c>
      <c r="J1277" t="s">
        <v>174</v>
      </c>
      <c r="K1277" t="s">
        <v>177</v>
      </c>
      <c r="O1277">
        <v>0</v>
      </c>
      <c r="U1277" t="s">
        <v>81</v>
      </c>
    </row>
    <row r="1278" spans="1:21" x14ac:dyDescent="0.25">
      <c r="A1278" s="33">
        <v>1280</v>
      </c>
      <c r="B1278" s="24">
        <v>44217</v>
      </c>
      <c r="C1278" t="s">
        <v>39</v>
      </c>
      <c r="D1278" t="s">
        <v>41</v>
      </c>
      <c r="E1278">
        <v>2000711322</v>
      </c>
      <c r="F1278">
        <v>900</v>
      </c>
      <c r="G1278">
        <v>80</v>
      </c>
      <c r="H1278">
        <v>0</v>
      </c>
      <c r="I1278" t="s">
        <v>666</v>
      </c>
      <c r="J1278" t="s">
        <v>917</v>
      </c>
      <c r="K1278" t="s">
        <v>688</v>
      </c>
      <c r="O1278">
        <v>0</v>
      </c>
      <c r="U1278" t="s">
        <v>81</v>
      </c>
    </row>
    <row r="1279" spans="1:21" x14ac:dyDescent="0.25">
      <c r="A1279" s="33">
        <v>1281</v>
      </c>
      <c r="B1279" s="24">
        <v>44217</v>
      </c>
      <c r="C1279" t="s">
        <v>39</v>
      </c>
      <c r="D1279" t="s">
        <v>41</v>
      </c>
      <c r="E1279">
        <v>2000709980</v>
      </c>
      <c r="F1279">
        <v>4192</v>
      </c>
      <c r="G1279">
        <v>80</v>
      </c>
      <c r="H1279">
        <v>0</v>
      </c>
      <c r="I1279" t="s">
        <v>666</v>
      </c>
      <c r="J1279" t="s">
        <v>200</v>
      </c>
      <c r="K1279" t="s">
        <v>653</v>
      </c>
      <c r="O1279">
        <v>0</v>
      </c>
      <c r="U1279" t="s">
        <v>81</v>
      </c>
    </row>
    <row r="1280" spans="1:21" x14ac:dyDescent="0.25">
      <c r="A1280" s="33">
        <v>1282</v>
      </c>
      <c r="B1280" s="24">
        <v>44217</v>
      </c>
      <c r="C1280" t="s">
        <v>39</v>
      </c>
      <c r="D1280" t="s">
        <v>41</v>
      </c>
      <c r="E1280">
        <v>2000711987</v>
      </c>
      <c r="F1280">
        <v>471</v>
      </c>
      <c r="G1280">
        <v>80</v>
      </c>
      <c r="H1280">
        <v>0</v>
      </c>
      <c r="I1280" t="s">
        <v>666</v>
      </c>
      <c r="J1280" t="s">
        <v>202</v>
      </c>
      <c r="K1280" t="s">
        <v>797</v>
      </c>
      <c r="O1280">
        <v>0</v>
      </c>
      <c r="U1280" t="s">
        <v>81</v>
      </c>
    </row>
    <row r="1281" spans="1:21" x14ac:dyDescent="0.25">
      <c r="A1281" s="33">
        <v>1283</v>
      </c>
      <c r="B1281" s="24">
        <v>44217</v>
      </c>
      <c r="C1281" t="s">
        <v>39</v>
      </c>
      <c r="D1281" t="s">
        <v>41</v>
      </c>
      <c r="E1281">
        <v>2000711374</v>
      </c>
      <c r="F1281">
        <v>40</v>
      </c>
      <c r="G1281">
        <v>40</v>
      </c>
      <c r="H1281">
        <v>0</v>
      </c>
      <c r="I1281" t="s">
        <v>666</v>
      </c>
      <c r="J1281" t="s">
        <v>174</v>
      </c>
      <c r="K1281" t="s">
        <v>717</v>
      </c>
      <c r="O1281">
        <v>0</v>
      </c>
      <c r="U1281" t="s">
        <v>81</v>
      </c>
    </row>
    <row r="1282" spans="1:21" x14ac:dyDescent="0.25">
      <c r="A1282" s="33">
        <v>1284</v>
      </c>
      <c r="B1282" s="24">
        <v>44217</v>
      </c>
      <c r="C1282" t="s">
        <v>39</v>
      </c>
      <c r="D1282" t="s">
        <v>41</v>
      </c>
      <c r="E1282">
        <v>2000711683</v>
      </c>
      <c r="F1282">
        <v>440</v>
      </c>
      <c r="G1282">
        <v>180</v>
      </c>
      <c r="H1282">
        <v>0</v>
      </c>
      <c r="I1282" t="s">
        <v>666</v>
      </c>
      <c r="J1282" t="s">
        <v>174</v>
      </c>
      <c r="K1282" t="s">
        <v>805</v>
      </c>
      <c r="O1282">
        <v>0</v>
      </c>
      <c r="U1282" t="s">
        <v>81</v>
      </c>
    </row>
    <row r="1283" spans="1:21" x14ac:dyDescent="0.25">
      <c r="A1283" s="33">
        <v>1285</v>
      </c>
      <c r="B1283" s="24">
        <v>44217</v>
      </c>
      <c r="C1283" t="s">
        <v>39</v>
      </c>
      <c r="D1283" t="s">
        <v>41</v>
      </c>
      <c r="E1283">
        <v>2000709832</v>
      </c>
      <c r="F1283">
        <v>1920</v>
      </c>
      <c r="G1283">
        <v>240</v>
      </c>
      <c r="H1283">
        <v>0</v>
      </c>
      <c r="I1283" t="s">
        <v>201</v>
      </c>
      <c r="J1283" t="s">
        <v>203</v>
      </c>
      <c r="K1283" t="s">
        <v>640</v>
      </c>
      <c r="O1283">
        <v>0</v>
      </c>
      <c r="U1283" t="s">
        <v>81</v>
      </c>
    </row>
    <row r="1284" spans="1:21" x14ac:dyDescent="0.25">
      <c r="A1284" s="33">
        <v>1286</v>
      </c>
      <c r="B1284" s="24">
        <v>44217</v>
      </c>
      <c r="C1284" t="s">
        <v>39</v>
      </c>
      <c r="D1284" t="s">
        <v>41</v>
      </c>
      <c r="E1284">
        <v>2000711223</v>
      </c>
      <c r="F1284">
        <v>2400</v>
      </c>
      <c r="G1284">
        <v>150</v>
      </c>
      <c r="H1284">
        <v>0</v>
      </c>
      <c r="I1284" t="s">
        <v>201</v>
      </c>
      <c r="J1284" t="s">
        <v>645</v>
      </c>
      <c r="K1284" t="s">
        <v>658</v>
      </c>
      <c r="O1284">
        <v>0</v>
      </c>
      <c r="U1284" t="s">
        <v>81</v>
      </c>
    </row>
    <row r="1285" spans="1:21" x14ac:dyDescent="0.25">
      <c r="A1285" s="33">
        <v>1287</v>
      </c>
      <c r="B1285" s="24">
        <v>44217</v>
      </c>
      <c r="C1285" t="s">
        <v>39</v>
      </c>
      <c r="D1285" t="s">
        <v>41</v>
      </c>
      <c r="E1285">
        <v>2000710702</v>
      </c>
      <c r="F1285">
        <v>300</v>
      </c>
      <c r="G1285">
        <v>150</v>
      </c>
      <c r="H1285">
        <v>0</v>
      </c>
      <c r="I1285" t="s">
        <v>201</v>
      </c>
      <c r="J1285" t="s">
        <v>918</v>
      </c>
      <c r="K1285" t="s">
        <v>905</v>
      </c>
      <c r="O1285">
        <v>0</v>
      </c>
      <c r="U1285" t="s">
        <v>81</v>
      </c>
    </row>
    <row r="1286" spans="1:21" x14ac:dyDescent="0.25">
      <c r="A1286" s="33">
        <v>1288</v>
      </c>
      <c r="B1286" s="24">
        <v>44217</v>
      </c>
      <c r="C1286" t="s">
        <v>39</v>
      </c>
      <c r="D1286" t="s">
        <v>41</v>
      </c>
      <c r="E1286">
        <v>2000711459</v>
      </c>
      <c r="F1286">
        <v>1800</v>
      </c>
      <c r="G1286">
        <v>480</v>
      </c>
      <c r="H1286">
        <v>0</v>
      </c>
      <c r="I1286" t="s">
        <v>201</v>
      </c>
      <c r="J1286" t="s">
        <v>745</v>
      </c>
      <c r="K1286" t="s">
        <v>746</v>
      </c>
      <c r="O1286">
        <v>0</v>
      </c>
      <c r="U1286" t="s">
        <v>81</v>
      </c>
    </row>
    <row r="1287" spans="1:21" x14ac:dyDescent="0.25">
      <c r="A1287" s="33">
        <v>1289</v>
      </c>
      <c r="B1287" s="24">
        <v>44217</v>
      </c>
      <c r="C1287" t="s">
        <v>39</v>
      </c>
      <c r="D1287" t="s">
        <v>41</v>
      </c>
      <c r="E1287">
        <v>2000711465</v>
      </c>
      <c r="F1287">
        <v>6600</v>
      </c>
      <c r="G1287">
        <v>300</v>
      </c>
      <c r="H1287">
        <v>0</v>
      </c>
      <c r="I1287" t="s">
        <v>201</v>
      </c>
      <c r="J1287" t="s">
        <v>200</v>
      </c>
      <c r="K1287" t="s">
        <v>737</v>
      </c>
      <c r="O1287">
        <v>0</v>
      </c>
      <c r="U1287" t="s">
        <v>81</v>
      </c>
    </row>
    <row r="1288" spans="1:21" x14ac:dyDescent="0.25">
      <c r="A1288" s="33">
        <v>1290</v>
      </c>
      <c r="B1288" s="24">
        <v>44217</v>
      </c>
      <c r="C1288" t="s">
        <v>39</v>
      </c>
      <c r="D1288" t="s">
        <v>41</v>
      </c>
      <c r="E1288">
        <v>2000711380</v>
      </c>
      <c r="F1288">
        <v>2000</v>
      </c>
      <c r="G1288">
        <v>160</v>
      </c>
      <c r="H1288">
        <v>0</v>
      </c>
      <c r="I1288" t="s">
        <v>201</v>
      </c>
      <c r="J1288" t="s">
        <v>193</v>
      </c>
      <c r="K1288" t="s">
        <v>686</v>
      </c>
      <c r="O1288">
        <v>0</v>
      </c>
      <c r="U1288" t="s">
        <v>81</v>
      </c>
    </row>
    <row r="1289" spans="1:21" x14ac:dyDescent="0.25">
      <c r="A1289" s="33">
        <v>1291</v>
      </c>
      <c r="B1289" s="24">
        <v>44217</v>
      </c>
      <c r="C1289" t="s">
        <v>39</v>
      </c>
      <c r="D1289" t="s">
        <v>41</v>
      </c>
      <c r="E1289">
        <v>2000711984</v>
      </c>
      <c r="F1289">
        <v>471</v>
      </c>
      <c r="G1289">
        <v>80</v>
      </c>
      <c r="H1289">
        <v>0</v>
      </c>
      <c r="I1289" t="s">
        <v>201</v>
      </c>
      <c r="J1289" t="s">
        <v>202</v>
      </c>
      <c r="K1289" t="s">
        <v>830</v>
      </c>
      <c r="O1289">
        <v>0</v>
      </c>
      <c r="U1289" t="s">
        <v>81</v>
      </c>
    </row>
    <row r="1290" spans="1:21" x14ac:dyDescent="0.25">
      <c r="A1290" s="33">
        <v>1292</v>
      </c>
      <c r="B1290" s="24">
        <v>44217</v>
      </c>
      <c r="C1290" t="s">
        <v>39</v>
      </c>
      <c r="D1290" t="s">
        <v>41</v>
      </c>
      <c r="E1290">
        <v>2000711985</v>
      </c>
      <c r="F1290">
        <v>471</v>
      </c>
      <c r="G1290">
        <v>100</v>
      </c>
      <c r="H1290">
        <v>0</v>
      </c>
      <c r="I1290" t="s">
        <v>201</v>
      </c>
      <c r="J1290" t="s">
        <v>202</v>
      </c>
      <c r="K1290" t="s">
        <v>919</v>
      </c>
      <c r="O1290">
        <v>0</v>
      </c>
      <c r="U1290" t="s">
        <v>81</v>
      </c>
    </row>
    <row r="1291" spans="1:21" x14ac:dyDescent="0.25">
      <c r="A1291" s="33">
        <v>1293</v>
      </c>
      <c r="B1291" s="24">
        <v>44217</v>
      </c>
      <c r="C1291" t="s">
        <v>39</v>
      </c>
      <c r="D1291" t="s">
        <v>41</v>
      </c>
      <c r="E1291">
        <v>2000711986</v>
      </c>
      <c r="F1291">
        <v>471</v>
      </c>
      <c r="G1291">
        <v>80</v>
      </c>
      <c r="H1291">
        <v>0</v>
      </c>
      <c r="I1291" t="s">
        <v>201</v>
      </c>
      <c r="J1291" t="s">
        <v>202</v>
      </c>
      <c r="K1291" t="s">
        <v>920</v>
      </c>
      <c r="O1291">
        <v>0</v>
      </c>
      <c r="U1291" t="s">
        <v>81</v>
      </c>
    </row>
    <row r="1292" spans="1:21" x14ac:dyDescent="0.25">
      <c r="A1292" s="33">
        <v>1294</v>
      </c>
      <c r="B1292" s="24">
        <v>44217</v>
      </c>
      <c r="C1292" t="s">
        <v>39</v>
      </c>
      <c r="D1292" t="s">
        <v>41</v>
      </c>
      <c r="E1292">
        <v>2000711377</v>
      </c>
      <c r="F1292">
        <v>2000</v>
      </c>
      <c r="G1292">
        <v>150</v>
      </c>
      <c r="H1292">
        <v>0</v>
      </c>
      <c r="I1292" t="s">
        <v>201</v>
      </c>
      <c r="J1292" t="s">
        <v>193</v>
      </c>
      <c r="K1292" t="s">
        <v>176</v>
      </c>
      <c r="O1292">
        <v>0</v>
      </c>
      <c r="U1292" t="s">
        <v>81</v>
      </c>
    </row>
    <row r="1293" spans="1:21" x14ac:dyDescent="0.25">
      <c r="A1293" s="33">
        <v>1295</v>
      </c>
      <c r="B1293" s="24">
        <v>44217</v>
      </c>
      <c r="C1293" t="s">
        <v>39</v>
      </c>
      <c r="D1293" t="s">
        <v>41</v>
      </c>
      <c r="E1293">
        <v>2000711332</v>
      </c>
      <c r="F1293">
        <v>1300</v>
      </c>
      <c r="G1293">
        <v>200</v>
      </c>
      <c r="H1293">
        <v>0</v>
      </c>
      <c r="I1293" t="s">
        <v>201</v>
      </c>
      <c r="J1293" t="s">
        <v>172</v>
      </c>
      <c r="K1293" t="s">
        <v>725</v>
      </c>
      <c r="O1293">
        <v>0</v>
      </c>
      <c r="U1293" t="s">
        <v>81</v>
      </c>
    </row>
    <row r="1294" spans="1:21" x14ac:dyDescent="0.25">
      <c r="A1294" s="33">
        <v>1296</v>
      </c>
      <c r="B1294" s="24">
        <v>44217</v>
      </c>
      <c r="C1294" t="s">
        <v>39</v>
      </c>
      <c r="D1294" t="s">
        <v>41</v>
      </c>
      <c r="E1294">
        <v>2000711381</v>
      </c>
      <c r="F1294">
        <v>2000</v>
      </c>
      <c r="G1294">
        <v>140</v>
      </c>
      <c r="H1294">
        <v>0</v>
      </c>
      <c r="I1294" t="s">
        <v>642</v>
      </c>
      <c r="J1294" t="s">
        <v>193</v>
      </c>
      <c r="K1294" t="s">
        <v>647</v>
      </c>
      <c r="O1294">
        <v>0</v>
      </c>
      <c r="U1294" t="s">
        <v>81</v>
      </c>
    </row>
    <row r="1295" spans="1:21" x14ac:dyDescent="0.25">
      <c r="A1295" s="33">
        <v>1297</v>
      </c>
      <c r="B1295" s="24">
        <v>44217</v>
      </c>
      <c r="C1295" t="s">
        <v>39</v>
      </c>
      <c r="D1295" t="s">
        <v>41</v>
      </c>
      <c r="E1295">
        <v>2000711385</v>
      </c>
      <c r="F1295">
        <v>500</v>
      </c>
      <c r="G1295">
        <v>80</v>
      </c>
      <c r="H1295">
        <v>0</v>
      </c>
      <c r="I1295" t="s">
        <v>642</v>
      </c>
      <c r="J1295" t="s">
        <v>645</v>
      </c>
      <c r="K1295" t="s">
        <v>690</v>
      </c>
      <c r="O1295">
        <v>0</v>
      </c>
      <c r="U1295" t="s">
        <v>81</v>
      </c>
    </row>
    <row r="1296" spans="1:21" x14ac:dyDescent="0.25">
      <c r="A1296" s="33">
        <v>1298</v>
      </c>
      <c r="B1296" s="24">
        <v>44217</v>
      </c>
      <c r="C1296" t="s">
        <v>39</v>
      </c>
      <c r="D1296" t="s">
        <v>41</v>
      </c>
      <c r="E1296">
        <v>2000711224</v>
      </c>
      <c r="F1296">
        <v>2400</v>
      </c>
      <c r="G1296">
        <v>120</v>
      </c>
      <c r="H1296">
        <v>0</v>
      </c>
      <c r="I1296" t="s">
        <v>642</v>
      </c>
      <c r="J1296" t="s">
        <v>645</v>
      </c>
      <c r="K1296" t="s">
        <v>721</v>
      </c>
      <c r="O1296">
        <v>0</v>
      </c>
      <c r="U1296" t="s">
        <v>81</v>
      </c>
    </row>
    <row r="1297" spans="1:21" x14ac:dyDescent="0.25">
      <c r="A1297" s="33">
        <v>1299</v>
      </c>
      <c r="B1297" s="24">
        <v>44217</v>
      </c>
      <c r="C1297" t="s">
        <v>39</v>
      </c>
      <c r="D1297" t="s">
        <v>41</v>
      </c>
      <c r="E1297">
        <v>2000711388</v>
      </c>
      <c r="F1297">
        <v>2400</v>
      </c>
      <c r="G1297">
        <v>130</v>
      </c>
      <c r="H1297">
        <v>0</v>
      </c>
      <c r="I1297" t="s">
        <v>642</v>
      </c>
      <c r="J1297" t="s">
        <v>645</v>
      </c>
      <c r="K1297" t="s">
        <v>765</v>
      </c>
      <c r="O1297">
        <v>0</v>
      </c>
      <c r="U1297" t="s">
        <v>81</v>
      </c>
    </row>
    <row r="1298" spans="1:21" x14ac:dyDescent="0.25">
      <c r="A1298" s="33">
        <v>1300</v>
      </c>
      <c r="B1298" s="24">
        <v>44217</v>
      </c>
      <c r="C1298" t="s">
        <v>39</v>
      </c>
      <c r="D1298" t="s">
        <v>41</v>
      </c>
      <c r="E1298">
        <v>2000711384</v>
      </c>
      <c r="F1298">
        <v>180</v>
      </c>
      <c r="G1298">
        <v>20</v>
      </c>
      <c r="H1298">
        <v>0</v>
      </c>
      <c r="I1298" t="s">
        <v>642</v>
      </c>
      <c r="J1298" t="s">
        <v>645</v>
      </c>
      <c r="K1298" t="s">
        <v>734</v>
      </c>
      <c r="O1298">
        <v>0</v>
      </c>
      <c r="U1298" t="s">
        <v>81</v>
      </c>
    </row>
    <row r="1299" spans="1:21" x14ac:dyDescent="0.25">
      <c r="A1299" s="33">
        <v>1301</v>
      </c>
      <c r="B1299" s="24">
        <v>44217</v>
      </c>
      <c r="C1299" t="s">
        <v>39</v>
      </c>
      <c r="D1299" t="s">
        <v>41</v>
      </c>
      <c r="E1299">
        <v>2000711529</v>
      </c>
      <c r="F1299">
        <v>3700</v>
      </c>
      <c r="G1299">
        <v>120</v>
      </c>
      <c r="H1299">
        <v>0</v>
      </c>
      <c r="I1299" t="s">
        <v>642</v>
      </c>
      <c r="J1299" t="s">
        <v>172</v>
      </c>
      <c r="K1299" t="s">
        <v>173</v>
      </c>
      <c r="O1299">
        <v>0</v>
      </c>
      <c r="U1299" t="s">
        <v>81</v>
      </c>
    </row>
    <row r="1300" spans="1:21" x14ac:dyDescent="0.25">
      <c r="A1300" s="33">
        <v>1302</v>
      </c>
      <c r="B1300" s="24">
        <v>44217</v>
      </c>
      <c r="C1300" t="s">
        <v>39</v>
      </c>
      <c r="D1300" t="s">
        <v>41</v>
      </c>
      <c r="E1300">
        <v>2000711725</v>
      </c>
      <c r="F1300">
        <v>480</v>
      </c>
      <c r="G1300">
        <v>80</v>
      </c>
      <c r="H1300">
        <v>0</v>
      </c>
      <c r="I1300" t="s">
        <v>642</v>
      </c>
      <c r="J1300" t="s">
        <v>645</v>
      </c>
      <c r="K1300" t="s">
        <v>720</v>
      </c>
      <c r="O1300">
        <v>0</v>
      </c>
      <c r="U1300" t="s">
        <v>81</v>
      </c>
    </row>
    <row r="1301" spans="1:21" x14ac:dyDescent="0.25">
      <c r="A1301" s="33">
        <v>1303</v>
      </c>
      <c r="B1301" s="24">
        <v>44217</v>
      </c>
      <c r="C1301" t="s">
        <v>39</v>
      </c>
      <c r="D1301" t="s">
        <v>41</v>
      </c>
      <c r="E1301">
        <v>2000711825</v>
      </c>
      <c r="F1301">
        <v>1140</v>
      </c>
      <c r="G1301">
        <v>40</v>
      </c>
      <c r="H1301">
        <v>0</v>
      </c>
      <c r="I1301" t="s">
        <v>642</v>
      </c>
      <c r="J1301" t="s">
        <v>645</v>
      </c>
      <c r="K1301" t="s">
        <v>721</v>
      </c>
      <c r="O1301">
        <v>0</v>
      </c>
      <c r="U1301" t="s">
        <v>81</v>
      </c>
    </row>
    <row r="1302" spans="1:21" x14ac:dyDescent="0.25">
      <c r="A1302" s="33">
        <v>1304</v>
      </c>
      <c r="B1302" s="24">
        <v>44217</v>
      </c>
      <c r="C1302" t="s">
        <v>39</v>
      </c>
      <c r="D1302" t="s">
        <v>41</v>
      </c>
      <c r="E1302">
        <v>2000711361</v>
      </c>
      <c r="F1302">
        <v>2400</v>
      </c>
      <c r="G1302">
        <v>100</v>
      </c>
      <c r="H1302">
        <v>1</v>
      </c>
      <c r="I1302" t="s">
        <v>180</v>
      </c>
      <c r="J1302" t="s">
        <v>170</v>
      </c>
      <c r="K1302" t="s">
        <v>899</v>
      </c>
      <c r="L1302" t="s">
        <v>87</v>
      </c>
      <c r="N1302" t="s">
        <v>921</v>
      </c>
      <c r="O1302">
        <v>1</v>
      </c>
      <c r="P1302" t="s">
        <v>922</v>
      </c>
      <c r="Q1302" t="s">
        <v>923</v>
      </c>
      <c r="R1302">
        <v>6840005679</v>
      </c>
      <c r="S1302" s="36">
        <v>0.52430555555555558</v>
      </c>
      <c r="U1302" t="s">
        <v>81</v>
      </c>
    </row>
    <row r="1303" spans="1:21" x14ac:dyDescent="0.25">
      <c r="A1303" s="33">
        <v>1305</v>
      </c>
      <c r="B1303" s="24">
        <v>44217</v>
      </c>
      <c r="C1303" t="s">
        <v>39</v>
      </c>
      <c r="D1303" t="s">
        <v>41</v>
      </c>
      <c r="E1303">
        <v>2000711361</v>
      </c>
      <c r="F1303">
        <v>2400</v>
      </c>
      <c r="G1303">
        <v>65</v>
      </c>
      <c r="H1303">
        <v>1</v>
      </c>
      <c r="I1303" t="s">
        <v>180</v>
      </c>
      <c r="J1303" t="s">
        <v>170</v>
      </c>
      <c r="K1303" t="s">
        <v>899</v>
      </c>
      <c r="L1303" t="s">
        <v>114</v>
      </c>
      <c r="M1303" t="s">
        <v>924</v>
      </c>
      <c r="N1303" t="s">
        <v>189</v>
      </c>
      <c r="O1303">
        <v>1</v>
      </c>
      <c r="P1303" t="s">
        <v>925</v>
      </c>
      <c r="Q1303" t="s">
        <v>926</v>
      </c>
      <c r="R1303">
        <v>6840005942</v>
      </c>
      <c r="S1303" s="36">
        <v>0.6875</v>
      </c>
      <c r="U1303" t="s">
        <v>81</v>
      </c>
    </row>
    <row r="1304" spans="1:21" x14ac:dyDescent="0.25">
      <c r="A1304" s="33">
        <v>1306</v>
      </c>
      <c r="B1304" s="24">
        <v>44217</v>
      </c>
      <c r="C1304" t="s">
        <v>39</v>
      </c>
      <c r="D1304" t="s">
        <v>41</v>
      </c>
      <c r="E1304">
        <v>2000711340</v>
      </c>
      <c r="F1304">
        <v>2000</v>
      </c>
      <c r="G1304">
        <v>45</v>
      </c>
      <c r="H1304">
        <v>0</v>
      </c>
      <c r="I1304" t="s">
        <v>180</v>
      </c>
      <c r="J1304" t="s">
        <v>170</v>
      </c>
      <c r="K1304" t="s">
        <v>899</v>
      </c>
      <c r="O1304">
        <v>0</v>
      </c>
      <c r="U1304" t="s">
        <v>81</v>
      </c>
    </row>
    <row r="1305" spans="1:21" x14ac:dyDescent="0.25">
      <c r="A1305" s="33">
        <v>1307</v>
      </c>
      <c r="B1305" s="24">
        <v>44217</v>
      </c>
      <c r="C1305" t="s">
        <v>39</v>
      </c>
      <c r="D1305" t="s">
        <v>41</v>
      </c>
      <c r="E1305">
        <v>2000710671</v>
      </c>
      <c r="F1305">
        <v>600</v>
      </c>
      <c r="G1305">
        <v>89</v>
      </c>
      <c r="H1305">
        <v>0</v>
      </c>
      <c r="I1305" t="s">
        <v>180</v>
      </c>
      <c r="J1305" t="s">
        <v>169</v>
      </c>
      <c r="K1305" t="s">
        <v>767</v>
      </c>
      <c r="O1305">
        <v>0</v>
      </c>
      <c r="U1305" t="s">
        <v>81</v>
      </c>
    </row>
    <row r="1306" spans="1:21" x14ac:dyDescent="0.25">
      <c r="A1306" s="33">
        <v>1308</v>
      </c>
      <c r="B1306" s="24">
        <v>44217</v>
      </c>
      <c r="C1306" t="s">
        <v>39</v>
      </c>
      <c r="D1306" t="s">
        <v>41</v>
      </c>
      <c r="E1306">
        <v>2000711683</v>
      </c>
      <c r="F1306">
        <v>440</v>
      </c>
      <c r="G1306">
        <v>160</v>
      </c>
      <c r="H1306">
        <v>0</v>
      </c>
      <c r="I1306" t="s">
        <v>180</v>
      </c>
      <c r="J1306" t="s">
        <v>174</v>
      </c>
      <c r="K1306" t="s">
        <v>805</v>
      </c>
      <c r="O1306">
        <v>0</v>
      </c>
      <c r="U1306" t="s">
        <v>81</v>
      </c>
    </row>
    <row r="1307" spans="1:21" x14ac:dyDescent="0.25">
      <c r="A1307" s="33">
        <v>1309</v>
      </c>
      <c r="B1307" s="24">
        <v>44217</v>
      </c>
      <c r="C1307" t="s">
        <v>39</v>
      </c>
      <c r="D1307" t="s">
        <v>41</v>
      </c>
      <c r="E1307">
        <v>2000711068</v>
      </c>
      <c r="F1307">
        <v>660</v>
      </c>
      <c r="G1307">
        <v>110</v>
      </c>
      <c r="H1307">
        <v>0</v>
      </c>
      <c r="I1307" t="s">
        <v>168</v>
      </c>
      <c r="J1307" t="s">
        <v>203</v>
      </c>
      <c r="K1307" t="s">
        <v>639</v>
      </c>
      <c r="O1307">
        <v>0</v>
      </c>
      <c r="U1307" t="s">
        <v>81</v>
      </c>
    </row>
    <row r="1308" spans="1:21" x14ac:dyDescent="0.25">
      <c r="A1308" s="33">
        <v>1310</v>
      </c>
      <c r="B1308" s="24">
        <v>44217</v>
      </c>
      <c r="C1308" t="s">
        <v>39</v>
      </c>
      <c r="D1308" t="s">
        <v>41</v>
      </c>
      <c r="E1308">
        <v>2000710876</v>
      </c>
      <c r="F1308">
        <v>390</v>
      </c>
      <c r="G1308">
        <v>150</v>
      </c>
      <c r="H1308">
        <v>0</v>
      </c>
      <c r="I1308" t="s">
        <v>168</v>
      </c>
      <c r="J1308" t="s">
        <v>203</v>
      </c>
      <c r="K1308" t="s">
        <v>639</v>
      </c>
      <c r="O1308">
        <v>0</v>
      </c>
      <c r="U1308" t="s">
        <v>81</v>
      </c>
    </row>
    <row r="1309" spans="1:21" x14ac:dyDescent="0.25">
      <c r="A1309" s="33">
        <v>1311</v>
      </c>
      <c r="B1309" s="24">
        <v>44217</v>
      </c>
      <c r="C1309" t="s">
        <v>39</v>
      </c>
      <c r="D1309" t="s">
        <v>41</v>
      </c>
      <c r="E1309">
        <v>2000711544</v>
      </c>
      <c r="F1309">
        <v>190</v>
      </c>
      <c r="G1309">
        <v>5</v>
      </c>
      <c r="H1309">
        <v>0</v>
      </c>
      <c r="I1309" t="s">
        <v>168</v>
      </c>
      <c r="J1309" t="s">
        <v>745</v>
      </c>
      <c r="K1309" t="s">
        <v>836</v>
      </c>
      <c r="O1309">
        <v>0</v>
      </c>
      <c r="U1309" t="s">
        <v>81</v>
      </c>
    </row>
    <row r="1310" spans="1:21" x14ac:dyDescent="0.25">
      <c r="A1310" s="33">
        <v>1312</v>
      </c>
      <c r="B1310" s="24">
        <v>44217</v>
      </c>
      <c r="C1310" t="s">
        <v>39</v>
      </c>
      <c r="D1310" t="s">
        <v>41</v>
      </c>
      <c r="E1310">
        <v>2000711361</v>
      </c>
      <c r="F1310">
        <v>2400</v>
      </c>
      <c r="G1310">
        <v>17</v>
      </c>
      <c r="H1310">
        <v>0</v>
      </c>
      <c r="I1310" t="s">
        <v>661</v>
      </c>
      <c r="J1310" t="s">
        <v>170</v>
      </c>
      <c r="K1310" t="s">
        <v>899</v>
      </c>
      <c r="O1310">
        <v>0</v>
      </c>
      <c r="U1310" t="s">
        <v>81</v>
      </c>
    </row>
    <row r="1311" spans="1:21" x14ac:dyDescent="0.25">
      <c r="A1311" s="33">
        <v>1313</v>
      </c>
      <c r="B1311" s="24">
        <v>44217</v>
      </c>
      <c r="C1311" t="s">
        <v>39</v>
      </c>
      <c r="D1311" t="s">
        <v>41</v>
      </c>
      <c r="E1311">
        <v>2000710804</v>
      </c>
      <c r="F1311">
        <v>1030</v>
      </c>
      <c r="G1311">
        <v>490</v>
      </c>
      <c r="H1311">
        <v>0</v>
      </c>
      <c r="I1311" t="s">
        <v>661</v>
      </c>
      <c r="J1311" t="s">
        <v>698</v>
      </c>
      <c r="K1311" t="s">
        <v>786</v>
      </c>
      <c r="O1311">
        <v>0</v>
      </c>
      <c r="U1311" t="s">
        <v>81</v>
      </c>
    </row>
    <row r="1312" spans="1:21" x14ac:dyDescent="0.25">
      <c r="A1312" s="33">
        <v>1314</v>
      </c>
      <c r="B1312" s="24">
        <v>44217</v>
      </c>
      <c r="C1312" t="s">
        <v>39</v>
      </c>
      <c r="D1312" t="s">
        <v>41</v>
      </c>
      <c r="E1312">
        <v>2000710139</v>
      </c>
      <c r="F1312">
        <v>994</v>
      </c>
      <c r="G1312">
        <v>94</v>
      </c>
      <c r="H1312">
        <v>0</v>
      </c>
      <c r="I1312" t="s">
        <v>661</v>
      </c>
      <c r="J1312" t="s">
        <v>698</v>
      </c>
      <c r="K1312" t="s">
        <v>786</v>
      </c>
      <c r="O1312">
        <v>0</v>
      </c>
      <c r="U1312" t="s">
        <v>81</v>
      </c>
    </row>
    <row r="1313" spans="1:21" x14ac:dyDescent="0.25">
      <c r="A1313" s="33">
        <v>1315</v>
      </c>
      <c r="B1313" s="24">
        <v>44217</v>
      </c>
      <c r="C1313" t="s">
        <v>39</v>
      </c>
      <c r="D1313" t="s">
        <v>41</v>
      </c>
      <c r="E1313">
        <v>2000711362</v>
      </c>
      <c r="F1313">
        <v>720</v>
      </c>
      <c r="G1313">
        <v>90</v>
      </c>
      <c r="H1313">
        <v>0</v>
      </c>
      <c r="I1313" t="s">
        <v>661</v>
      </c>
      <c r="J1313" t="s">
        <v>698</v>
      </c>
      <c r="K1313" t="s">
        <v>786</v>
      </c>
      <c r="O1313">
        <v>0</v>
      </c>
      <c r="U1313" t="s">
        <v>81</v>
      </c>
    </row>
    <row r="1314" spans="1:21" x14ac:dyDescent="0.25">
      <c r="A1314" s="33">
        <v>1316</v>
      </c>
      <c r="B1314" s="24">
        <v>44217</v>
      </c>
      <c r="C1314" t="s">
        <v>39</v>
      </c>
      <c r="D1314" t="s">
        <v>41</v>
      </c>
      <c r="E1314">
        <v>2000711361</v>
      </c>
      <c r="F1314">
        <v>2400</v>
      </c>
      <c r="G1314">
        <v>65</v>
      </c>
      <c r="H1314">
        <v>0</v>
      </c>
      <c r="I1314" t="s">
        <v>661</v>
      </c>
      <c r="J1314" t="s">
        <v>170</v>
      </c>
      <c r="K1314" t="s">
        <v>899</v>
      </c>
      <c r="O1314">
        <v>0</v>
      </c>
      <c r="U1314" t="s">
        <v>81</v>
      </c>
    </row>
    <row r="1315" spans="1:21" x14ac:dyDescent="0.25">
      <c r="A1315" s="33">
        <v>1317</v>
      </c>
      <c r="B1315" s="24">
        <v>44217</v>
      </c>
      <c r="C1315" t="s">
        <v>39</v>
      </c>
      <c r="D1315" t="s">
        <v>41</v>
      </c>
      <c r="E1315">
        <v>2000711544</v>
      </c>
      <c r="F1315">
        <v>190</v>
      </c>
      <c r="G1315">
        <v>20</v>
      </c>
      <c r="H1315">
        <v>0</v>
      </c>
      <c r="I1315" t="s">
        <v>191</v>
      </c>
      <c r="J1315" t="s">
        <v>745</v>
      </c>
      <c r="K1315" t="s">
        <v>836</v>
      </c>
      <c r="O1315">
        <v>0</v>
      </c>
      <c r="U1315" t="s">
        <v>81</v>
      </c>
    </row>
    <row r="1316" spans="1:21" x14ac:dyDescent="0.25">
      <c r="A1316" s="33">
        <v>1318</v>
      </c>
      <c r="B1316" s="24">
        <v>44217</v>
      </c>
      <c r="C1316" t="s">
        <v>39</v>
      </c>
      <c r="D1316" t="s">
        <v>41</v>
      </c>
      <c r="E1316">
        <v>2000711361</v>
      </c>
      <c r="F1316">
        <v>2400</v>
      </c>
      <c r="G1316">
        <v>180</v>
      </c>
      <c r="H1316">
        <v>0</v>
      </c>
      <c r="I1316" t="s">
        <v>191</v>
      </c>
      <c r="J1316" t="s">
        <v>170</v>
      </c>
      <c r="K1316" t="s">
        <v>899</v>
      </c>
      <c r="O1316">
        <v>0</v>
      </c>
      <c r="U1316" t="s">
        <v>81</v>
      </c>
    </row>
    <row r="1317" spans="1:21" x14ac:dyDescent="0.25">
      <c r="A1317" s="33">
        <v>1319</v>
      </c>
      <c r="B1317" s="24">
        <v>44217</v>
      </c>
      <c r="C1317" t="s">
        <v>39</v>
      </c>
      <c r="D1317" t="s">
        <v>41</v>
      </c>
      <c r="E1317">
        <v>2000708949</v>
      </c>
      <c r="F1317">
        <v>1020</v>
      </c>
      <c r="G1317">
        <v>30</v>
      </c>
      <c r="H1317">
        <v>0</v>
      </c>
      <c r="I1317" t="s">
        <v>191</v>
      </c>
      <c r="J1317" t="s">
        <v>169</v>
      </c>
      <c r="K1317" t="s">
        <v>637</v>
      </c>
      <c r="O1317">
        <v>0</v>
      </c>
      <c r="U1317" t="s">
        <v>81</v>
      </c>
    </row>
    <row r="1318" spans="1:21" x14ac:dyDescent="0.25">
      <c r="A1318" s="33">
        <v>1320</v>
      </c>
      <c r="B1318" s="24">
        <v>44217</v>
      </c>
      <c r="C1318" t="s">
        <v>39</v>
      </c>
      <c r="D1318" t="s">
        <v>41</v>
      </c>
      <c r="E1318">
        <v>2000711674</v>
      </c>
      <c r="F1318">
        <v>2000</v>
      </c>
      <c r="G1318">
        <v>140</v>
      </c>
      <c r="H1318">
        <v>0</v>
      </c>
      <c r="I1318" t="s">
        <v>665</v>
      </c>
      <c r="J1318" t="s">
        <v>169</v>
      </c>
      <c r="K1318" t="s">
        <v>179</v>
      </c>
      <c r="O1318">
        <v>0</v>
      </c>
      <c r="U1318" t="s">
        <v>81</v>
      </c>
    </row>
    <row r="1319" spans="1:21" x14ac:dyDescent="0.25">
      <c r="A1319" s="33">
        <v>1321</v>
      </c>
      <c r="B1319" s="24">
        <v>44217</v>
      </c>
      <c r="C1319" t="s">
        <v>39</v>
      </c>
      <c r="D1319" t="s">
        <v>41</v>
      </c>
      <c r="E1319">
        <v>2000711389</v>
      </c>
      <c r="F1319">
        <v>600</v>
      </c>
      <c r="G1319">
        <v>190</v>
      </c>
      <c r="H1319">
        <v>0</v>
      </c>
      <c r="I1319" t="s">
        <v>178</v>
      </c>
      <c r="J1319" t="s">
        <v>203</v>
      </c>
      <c r="K1319" t="s">
        <v>639</v>
      </c>
      <c r="O1319">
        <v>0</v>
      </c>
      <c r="U1319" t="s">
        <v>81</v>
      </c>
    </row>
    <row r="1320" spans="1:21" x14ac:dyDescent="0.25">
      <c r="A1320" s="33">
        <v>1322</v>
      </c>
      <c r="B1320" s="24">
        <v>44217</v>
      </c>
      <c r="C1320" t="s">
        <v>39</v>
      </c>
      <c r="D1320" t="s">
        <v>41</v>
      </c>
      <c r="E1320">
        <v>2000710876</v>
      </c>
      <c r="F1320">
        <v>390</v>
      </c>
      <c r="G1320">
        <v>60</v>
      </c>
      <c r="H1320">
        <v>0</v>
      </c>
      <c r="I1320" t="s">
        <v>178</v>
      </c>
      <c r="J1320" t="s">
        <v>203</v>
      </c>
      <c r="K1320" t="s">
        <v>639</v>
      </c>
      <c r="O1320">
        <v>0</v>
      </c>
      <c r="U1320" t="s">
        <v>81</v>
      </c>
    </row>
    <row r="1321" spans="1:21" x14ac:dyDescent="0.25">
      <c r="A1321" s="33">
        <v>1323</v>
      </c>
      <c r="B1321" s="24">
        <v>44217</v>
      </c>
      <c r="C1321" t="s">
        <v>39</v>
      </c>
      <c r="D1321" t="s">
        <v>41</v>
      </c>
      <c r="E1321">
        <v>2000711068</v>
      </c>
      <c r="F1321">
        <v>660</v>
      </c>
      <c r="G1321">
        <v>160</v>
      </c>
      <c r="H1321">
        <v>0</v>
      </c>
      <c r="I1321" t="s">
        <v>178</v>
      </c>
      <c r="J1321" t="s">
        <v>203</v>
      </c>
      <c r="K1321" t="s">
        <v>639</v>
      </c>
      <c r="O1321">
        <v>0</v>
      </c>
      <c r="U1321" t="s">
        <v>81</v>
      </c>
    </row>
    <row r="1322" spans="1:21" x14ac:dyDescent="0.25">
      <c r="A1322" s="33">
        <v>1324</v>
      </c>
      <c r="B1322" s="24">
        <v>44217</v>
      </c>
      <c r="C1322" t="s">
        <v>39</v>
      </c>
      <c r="D1322" t="s">
        <v>51</v>
      </c>
      <c r="E1322">
        <v>2000711503</v>
      </c>
      <c r="F1322">
        <v>655</v>
      </c>
      <c r="G1322">
        <v>110</v>
      </c>
      <c r="H1322">
        <v>0</v>
      </c>
      <c r="I1322" t="s">
        <v>191</v>
      </c>
      <c r="J1322" t="s">
        <v>669</v>
      </c>
      <c r="K1322" t="s">
        <v>848</v>
      </c>
      <c r="O1322">
        <v>0</v>
      </c>
      <c r="U1322" t="s">
        <v>81</v>
      </c>
    </row>
    <row r="1323" spans="1:21" x14ac:dyDescent="0.25">
      <c r="A1323" s="33">
        <v>1325</v>
      </c>
      <c r="B1323" s="24">
        <v>44217</v>
      </c>
      <c r="C1323" t="s">
        <v>39</v>
      </c>
      <c r="D1323" t="s">
        <v>51</v>
      </c>
      <c r="E1323">
        <v>2000711500</v>
      </c>
      <c r="F1323">
        <v>380</v>
      </c>
      <c r="G1323">
        <v>45</v>
      </c>
      <c r="H1323">
        <v>0</v>
      </c>
      <c r="I1323" t="s">
        <v>191</v>
      </c>
      <c r="J1323" t="s">
        <v>669</v>
      </c>
      <c r="K1323" t="s">
        <v>802</v>
      </c>
      <c r="O1323">
        <v>0</v>
      </c>
      <c r="U1323" t="s">
        <v>81</v>
      </c>
    </row>
    <row r="1324" spans="1:21" x14ac:dyDescent="0.25">
      <c r="A1324" s="33">
        <v>1326</v>
      </c>
      <c r="B1324" s="24">
        <v>44217</v>
      </c>
      <c r="C1324" t="s">
        <v>39</v>
      </c>
      <c r="D1324" t="s">
        <v>51</v>
      </c>
      <c r="E1324">
        <v>2000711501</v>
      </c>
      <c r="F1324">
        <v>650</v>
      </c>
      <c r="G1324">
        <v>175</v>
      </c>
      <c r="H1324">
        <v>0</v>
      </c>
      <c r="I1324" t="s">
        <v>191</v>
      </c>
      <c r="J1324" t="s">
        <v>667</v>
      </c>
      <c r="K1324" t="s">
        <v>671</v>
      </c>
      <c r="O1324">
        <v>0</v>
      </c>
      <c r="U1324" t="s">
        <v>81</v>
      </c>
    </row>
    <row r="1325" spans="1:21" x14ac:dyDescent="0.25">
      <c r="A1325" s="33">
        <v>1327</v>
      </c>
      <c r="B1325" s="24">
        <v>44217</v>
      </c>
      <c r="C1325" t="s">
        <v>39</v>
      </c>
      <c r="D1325" t="s">
        <v>51</v>
      </c>
      <c r="E1325">
        <v>2000711049</v>
      </c>
      <c r="F1325">
        <v>800</v>
      </c>
      <c r="G1325">
        <v>180</v>
      </c>
      <c r="H1325">
        <v>0</v>
      </c>
      <c r="I1325" t="s">
        <v>191</v>
      </c>
      <c r="J1325" t="s">
        <v>667</v>
      </c>
      <c r="K1325" t="s">
        <v>730</v>
      </c>
      <c r="O1325">
        <v>0</v>
      </c>
      <c r="U1325" t="s">
        <v>81</v>
      </c>
    </row>
    <row r="1326" spans="1:21" x14ac:dyDescent="0.25">
      <c r="A1326" s="33">
        <v>1328</v>
      </c>
      <c r="B1326" s="24">
        <v>44217</v>
      </c>
      <c r="C1326" t="s">
        <v>39</v>
      </c>
      <c r="D1326" t="s">
        <v>51</v>
      </c>
      <c r="E1326">
        <v>2000711499</v>
      </c>
      <c r="F1326">
        <v>350</v>
      </c>
      <c r="G1326">
        <v>80</v>
      </c>
      <c r="H1326">
        <v>0</v>
      </c>
      <c r="I1326" t="s">
        <v>191</v>
      </c>
      <c r="J1326" t="s">
        <v>673</v>
      </c>
      <c r="K1326" t="s">
        <v>760</v>
      </c>
      <c r="O1326">
        <v>0</v>
      </c>
      <c r="U1326" t="s">
        <v>81</v>
      </c>
    </row>
    <row r="1327" spans="1:21" x14ac:dyDescent="0.25">
      <c r="A1327" s="33">
        <v>1329</v>
      </c>
      <c r="B1327" s="24">
        <v>44217</v>
      </c>
      <c r="C1327" t="s">
        <v>181</v>
      </c>
      <c r="D1327" t="s">
        <v>41</v>
      </c>
      <c r="E1327">
        <v>2000711068</v>
      </c>
      <c r="F1327">
        <v>660</v>
      </c>
      <c r="G1327">
        <v>10</v>
      </c>
      <c r="H1327">
        <v>0</v>
      </c>
      <c r="I1327" t="s">
        <v>184</v>
      </c>
      <c r="J1327" t="s">
        <v>203</v>
      </c>
      <c r="K1327" t="s">
        <v>639</v>
      </c>
      <c r="O1327">
        <v>0</v>
      </c>
      <c r="U1327" t="s">
        <v>81</v>
      </c>
    </row>
    <row r="1328" spans="1:21" x14ac:dyDescent="0.25">
      <c r="A1328" s="33">
        <v>1330</v>
      </c>
      <c r="B1328" s="24">
        <v>44217</v>
      </c>
      <c r="C1328" t="s">
        <v>181</v>
      </c>
      <c r="D1328" t="s">
        <v>41</v>
      </c>
      <c r="E1328">
        <v>2000711389</v>
      </c>
      <c r="F1328">
        <v>600</v>
      </c>
      <c r="G1328">
        <v>60</v>
      </c>
      <c r="H1328">
        <v>0</v>
      </c>
      <c r="I1328" t="s">
        <v>184</v>
      </c>
      <c r="J1328" t="s">
        <v>203</v>
      </c>
      <c r="K1328" t="s">
        <v>639</v>
      </c>
      <c r="O1328">
        <v>0</v>
      </c>
      <c r="U1328" t="s">
        <v>81</v>
      </c>
    </row>
    <row r="1329" spans="1:21" x14ac:dyDescent="0.25">
      <c r="A1329" s="33">
        <v>1331</v>
      </c>
      <c r="B1329" s="24">
        <v>44217</v>
      </c>
      <c r="C1329" t="s">
        <v>181</v>
      </c>
      <c r="D1329" t="s">
        <v>41</v>
      </c>
      <c r="E1329">
        <v>2000711722</v>
      </c>
      <c r="F1329">
        <v>630</v>
      </c>
      <c r="G1329">
        <v>30</v>
      </c>
      <c r="H1329">
        <v>0</v>
      </c>
      <c r="I1329" t="s">
        <v>184</v>
      </c>
      <c r="J1329" t="s">
        <v>203</v>
      </c>
      <c r="K1329" t="s">
        <v>768</v>
      </c>
      <c r="O1329">
        <v>0</v>
      </c>
      <c r="U1329" t="s">
        <v>81</v>
      </c>
    </row>
    <row r="1330" spans="1:21" x14ac:dyDescent="0.25">
      <c r="A1330" s="33">
        <v>1332</v>
      </c>
      <c r="B1330" s="24">
        <v>44217</v>
      </c>
      <c r="C1330" t="s">
        <v>181</v>
      </c>
      <c r="D1330" t="s">
        <v>41</v>
      </c>
      <c r="E1330">
        <v>2000711390</v>
      </c>
      <c r="F1330">
        <v>300</v>
      </c>
      <c r="G1330">
        <v>188</v>
      </c>
      <c r="H1330">
        <v>0</v>
      </c>
      <c r="I1330" t="s">
        <v>184</v>
      </c>
      <c r="J1330" t="s">
        <v>203</v>
      </c>
      <c r="K1330" t="s">
        <v>785</v>
      </c>
      <c r="O1330">
        <v>0</v>
      </c>
      <c r="U1330" t="s">
        <v>81</v>
      </c>
    </row>
    <row r="1331" spans="1:21" x14ac:dyDescent="0.25">
      <c r="A1331" s="33">
        <v>1333</v>
      </c>
      <c r="B1331" s="24">
        <v>44217</v>
      </c>
      <c r="C1331" t="s">
        <v>181</v>
      </c>
      <c r="D1331" t="s">
        <v>41</v>
      </c>
      <c r="E1331">
        <v>2000711068</v>
      </c>
      <c r="F1331">
        <v>660</v>
      </c>
      <c r="G1331">
        <v>20</v>
      </c>
      <c r="H1331">
        <v>0</v>
      </c>
      <c r="I1331" t="s">
        <v>198</v>
      </c>
      <c r="J1331" t="s">
        <v>203</v>
      </c>
      <c r="K1331" t="s">
        <v>639</v>
      </c>
      <c r="O1331">
        <v>0</v>
      </c>
      <c r="U1331" t="s">
        <v>81</v>
      </c>
    </row>
    <row r="1332" spans="1:21" x14ac:dyDescent="0.25">
      <c r="A1332" s="33">
        <v>1334</v>
      </c>
      <c r="B1332" s="24">
        <v>44217</v>
      </c>
      <c r="C1332" t="s">
        <v>181</v>
      </c>
      <c r="D1332" t="s">
        <v>41</v>
      </c>
      <c r="E1332">
        <v>2000711234</v>
      </c>
      <c r="F1332">
        <v>5592</v>
      </c>
      <c r="G1332">
        <v>1260</v>
      </c>
      <c r="H1332">
        <v>0</v>
      </c>
      <c r="I1332" t="s">
        <v>198</v>
      </c>
      <c r="J1332" t="s">
        <v>816</v>
      </c>
      <c r="K1332" t="s">
        <v>927</v>
      </c>
      <c r="O1332">
        <v>0</v>
      </c>
      <c r="U1332" t="s">
        <v>81</v>
      </c>
    </row>
    <row r="1333" spans="1:21" x14ac:dyDescent="0.25">
      <c r="A1333" s="33">
        <v>1335</v>
      </c>
      <c r="B1333" s="24">
        <v>44217</v>
      </c>
      <c r="C1333" t="s">
        <v>181</v>
      </c>
      <c r="D1333" t="s">
        <v>41</v>
      </c>
      <c r="E1333">
        <v>2000711722</v>
      </c>
      <c r="F1333">
        <v>630</v>
      </c>
      <c r="G1333">
        <v>60</v>
      </c>
      <c r="H1333">
        <v>0</v>
      </c>
      <c r="I1333" t="s">
        <v>198</v>
      </c>
      <c r="J1333" t="s">
        <v>203</v>
      </c>
      <c r="K1333" t="s">
        <v>768</v>
      </c>
      <c r="O1333">
        <v>0</v>
      </c>
      <c r="U1333" t="s">
        <v>81</v>
      </c>
    </row>
    <row r="1334" spans="1:21" x14ac:dyDescent="0.25">
      <c r="A1334" s="33">
        <v>1336</v>
      </c>
      <c r="B1334" s="24">
        <v>44217</v>
      </c>
      <c r="C1334" t="s">
        <v>181</v>
      </c>
      <c r="D1334" t="s">
        <v>41</v>
      </c>
      <c r="E1334">
        <v>2000711390</v>
      </c>
      <c r="F1334">
        <v>300</v>
      </c>
      <c r="G1334">
        <v>60</v>
      </c>
      <c r="H1334">
        <v>0</v>
      </c>
      <c r="I1334" t="s">
        <v>198</v>
      </c>
      <c r="J1334" t="s">
        <v>203</v>
      </c>
      <c r="K1334" t="s">
        <v>785</v>
      </c>
      <c r="O1334">
        <v>0</v>
      </c>
      <c r="U1334" t="s">
        <v>81</v>
      </c>
    </row>
    <row r="1335" spans="1:21" ht="60" x14ac:dyDescent="0.25">
      <c r="A1335" s="33">
        <v>1337</v>
      </c>
      <c r="B1335" s="24">
        <v>44217</v>
      </c>
      <c r="C1335" t="s">
        <v>181</v>
      </c>
      <c r="D1335" t="s">
        <v>41</v>
      </c>
      <c r="E1335">
        <v>2000711569</v>
      </c>
      <c r="F1335">
        <v>1337</v>
      </c>
      <c r="G1335">
        <v>850</v>
      </c>
      <c r="H1335">
        <v>0</v>
      </c>
      <c r="I1335" t="s">
        <v>198</v>
      </c>
      <c r="J1335" t="s">
        <v>745</v>
      </c>
      <c r="K1335" t="s">
        <v>857</v>
      </c>
      <c r="O1335">
        <v>0</v>
      </c>
      <c r="T1335" s="62" t="s">
        <v>821</v>
      </c>
      <c r="U1335" t="s">
        <v>81</v>
      </c>
    </row>
    <row r="1336" spans="1:21" x14ac:dyDescent="0.25">
      <c r="A1336" s="33">
        <v>1338</v>
      </c>
      <c r="B1336" s="24">
        <v>44217</v>
      </c>
      <c r="C1336" t="s">
        <v>181</v>
      </c>
      <c r="D1336" t="s">
        <v>41</v>
      </c>
      <c r="E1336">
        <v>2000711544</v>
      </c>
      <c r="F1336">
        <v>190</v>
      </c>
      <c r="G1336">
        <v>55</v>
      </c>
      <c r="H1336">
        <v>0</v>
      </c>
      <c r="I1336" t="s">
        <v>759</v>
      </c>
      <c r="J1336" t="s">
        <v>745</v>
      </c>
      <c r="K1336" t="s">
        <v>836</v>
      </c>
      <c r="O1336">
        <v>0</v>
      </c>
      <c r="U1336" t="s">
        <v>81</v>
      </c>
    </row>
    <row r="1337" spans="1:21" x14ac:dyDescent="0.25">
      <c r="A1337" s="33">
        <v>1339</v>
      </c>
      <c r="B1337" s="24">
        <v>44217</v>
      </c>
      <c r="C1337" t="s">
        <v>181</v>
      </c>
      <c r="D1337" t="s">
        <v>41</v>
      </c>
      <c r="E1337">
        <v>2000711529</v>
      </c>
      <c r="F1337">
        <v>3700</v>
      </c>
      <c r="G1337">
        <v>100</v>
      </c>
      <c r="H1337">
        <v>0</v>
      </c>
      <c r="I1337" t="s">
        <v>185</v>
      </c>
      <c r="J1337" t="s">
        <v>172</v>
      </c>
      <c r="K1337" t="s">
        <v>173</v>
      </c>
      <c r="O1337">
        <v>0</v>
      </c>
      <c r="U1337" t="s">
        <v>81</v>
      </c>
    </row>
    <row r="1338" spans="1:21" x14ac:dyDescent="0.25">
      <c r="A1338" s="33">
        <v>1340</v>
      </c>
      <c r="B1338" s="24">
        <v>44217</v>
      </c>
      <c r="C1338" t="s">
        <v>181</v>
      </c>
      <c r="D1338" t="s">
        <v>41</v>
      </c>
      <c r="E1338">
        <v>2000711825</v>
      </c>
      <c r="F1338">
        <v>1140</v>
      </c>
      <c r="G1338">
        <v>40</v>
      </c>
      <c r="H1338">
        <v>0</v>
      </c>
      <c r="I1338" t="s">
        <v>185</v>
      </c>
      <c r="J1338" t="s">
        <v>645</v>
      </c>
      <c r="K1338" t="s">
        <v>694</v>
      </c>
      <c r="O1338">
        <v>0</v>
      </c>
      <c r="U1338" t="s">
        <v>81</v>
      </c>
    </row>
    <row r="1339" spans="1:21" x14ac:dyDescent="0.25">
      <c r="A1339" s="33">
        <v>1341</v>
      </c>
      <c r="B1339" s="24">
        <v>44217</v>
      </c>
      <c r="C1339" t="s">
        <v>181</v>
      </c>
      <c r="D1339" t="s">
        <v>41</v>
      </c>
      <c r="E1339">
        <v>2000711323</v>
      </c>
      <c r="F1339">
        <v>1500</v>
      </c>
      <c r="G1339">
        <v>120</v>
      </c>
      <c r="H1339">
        <v>0</v>
      </c>
      <c r="I1339" t="s">
        <v>185</v>
      </c>
      <c r="J1339" t="s">
        <v>687</v>
      </c>
      <c r="K1339" t="s">
        <v>688</v>
      </c>
      <c r="O1339">
        <v>0</v>
      </c>
      <c r="U1339" t="s">
        <v>81</v>
      </c>
    </row>
    <row r="1340" spans="1:21" x14ac:dyDescent="0.25">
      <c r="A1340" s="33">
        <v>1342</v>
      </c>
      <c r="B1340" s="24">
        <v>44217</v>
      </c>
      <c r="C1340" t="s">
        <v>181</v>
      </c>
      <c r="D1340" t="s">
        <v>41</v>
      </c>
      <c r="E1340">
        <v>2000711537</v>
      </c>
      <c r="F1340">
        <v>1520</v>
      </c>
      <c r="G1340">
        <v>120</v>
      </c>
      <c r="H1340">
        <v>0</v>
      </c>
      <c r="I1340" t="s">
        <v>185</v>
      </c>
      <c r="J1340" t="s">
        <v>196</v>
      </c>
      <c r="K1340" t="s">
        <v>648</v>
      </c>
      <c r="O1340">
        <v>0</v>
      </c>
      <c r="U1340" t="s">
        <v>81</v>
      </c>
    </row>
    <row r="1341" spans="1:21" x14ac:dyDescent="0.25">
      <c r="A1341" s="33">
        <v>1343</v>
      </c>
      <c r="B1341" s="24">
        <v>44217</v>
      </c>
      <c r="C1341" t="s">
        <v>181</v>
      </c>
      <c r="D1341" t="s">
        <v>41</v>
      </c>
      <c r="E1341">
        <v>2000711361</v>
      </c>
      <c r="F1341">
        <v>2400</v>
      </c>
      <c r="G1341">
        <v>135</v>
      </c>
      <c r="H1341">
        <v>0</v>
      </c>
      <c r="I1341" t="s">
        <v>185</v>
      </c>
      <c r="J1341" t="s">
        <v>170</v>
      </c>
      <c r="K1341" t="s">
        <v>899</v>
      </c>
      <c r="O1341">
        <v>0</v>
      </c>
      <c r="U1341" t="s">
        <v>81</v>
      </c>
    </row>
    <row r="1342" spans="1:21" x14ac:dyDescent="0.25">
      <c r="A1342" s="33">
        <v>1344</v>
      </c>
      <c r="B1342" s="24">
        <v>44217</v>
      </c>
      <c r="C1342" t="s">
        <v>181</v>
      </c>
      <c r="D1342" t="s">
        <v>41</v>
      </c>
      <c r="E1342">
        <v>2000710293</v>
      </c>
      <c r="F1342">
        <v>1980</v>
      </c>
      <c r="G1342">
        <v>992</v>
      </c>
      <c r="H1342">
        <v>0</v>
      </c>
      <c r="I1342" t="s">
        <v>183</v>
      </c>
      <c r="J1342" t="s">
        <v>816</v>
      </c>
      <c r="K1342" t="s">
        <v>906</v>
      </c>
      <c r="O1342">
        <v>0</v>
      </c>
      <c r="U1342" t="s">
        <v>81</v>
      </c>
    </row>
    <row r="1343" spans="1:21" x14ac:dyDescent="0.25">
      <c r="A1343" s="33">
        <v>1345</v>
      </c>
      <c r="B1343" s="24">
        <v>44217</v>
      </c>
      <c r="C1343" t="s">
        <v>181</v>
      </c>
      <c r="D1343" t="s">
        <v>41</v>
      </c>
      <c r="E1343">
        <v>2000711363</v>
      </c>
      <c r="F1343">
        <v>360</v>
      </c>
      <c r="G1343">
        <v>315</v>
      </c>
      <c r="H1343">
        <v>0</v>
      </c>
      <c r="I1343" t="s">
        <v>183</v>
      </c>
      <c r="J1343" t="s">
        <v>698</v>
      </c>
      <c r="K1343" t="s">
        <v>700</v>
      </c>
      <c r="O1343">
        <v>0</v>
      </c>
      <c r="U1343" t="s">
        <v>81</v>
      </c>
    </row>
    <row r="1344" spans="1:21" x14ac:dyDescent="0.25">
      <c r="A1344" s="33">
        <v>1346</v>
      </c>
      <c r="B1344" s="24">
        <v>44217</v>
      </c>
      <c r="C1344" t="s">
        <v>181</v>
      </c>
      <c r="D1344" t="s">
        <v>41</v>
      </c>
      <c r="E1344">
        <v>2000710790</v>
      </c>
      <c r="F1344">
        <v>1980</v>
      </c>
      <c r="G1344">
        <v>1</v>
      </c>
      <c r="H1344">
        <v>0</v>
      </c>
      <c r="I1344" t="s">
        <v>183</v>
      </c>
      <c r="J1344" t="s">
        <v>928</v>
      </c>
      <c r="K1344" t="s">
        <v>916</v>
      </c>
      <c r="O1344">
        <v>0</v>
      </c>
      <c r="U1344" t="s">
        <v>81</v>
      </c>
    </row>
    <row r="1345" spans="1:21" x14ac:dyDescent="0.25">
      <c r="A1345" s="33">
        <v>1347</v>
      </c>
      <c r="B1345" s="24">
        <v>44217</v>
      </c>
      <c r="C1345" t="s">
        <v>181</v>
      </c>
      <c r="D1345" t="s">
        <v>41</v>
      </c>
      <c r="E1345">
        <v>2000711234</v>
      </c>
      <c r="F1345">
        <v>5592</v>
      </c>
      <c r="G1345">
        <v>1260</v>
      </c>
      <c r="H1345">
        <v>0</v>
      </c>
      <c r="I1345" t="s">
        <v>183</v>
      </c>
      <c r="J1345" t="s">
        <v>816</v>
      </c>
      <c r="K1345" t="s">
        <v>927</v>
      </c>
      <c r="O1345">
        <v>0</v>
      </c>
      <c r="U1345" t="s">
        <v>81</v>
      </c>
    </row>
    <row r="1346" spans="1:21" x14ac:dyDescent="0.25">
      <c r="A1346" s="33">
        <v>1348</v>
      </c>
      <c r="B1346" s="24">
        <v>44217</v>
      </c>
      <c r="C1346" t="s">
        <v>181</v>
      </c>
      <c r="D1346" t="s">
        <v>41</v>
      </c>
      <c r="E1346">
        <v>2000711362</v>
      </c>
      <c r="F1346">
        <v>720</v>
      </c>
      <c r="G1346">
        <v>83</v>
      </c>
      <c r="H1346">
        <v>0</v>
      </c>
      <c r="I1346" t="s">
        <v>706</v>
      </c>
      <c r="J1346" t="s">
        <v>698</v>
      </c>
      <c r="K1346" t="s">
        <v>786</v>
      </c>
      <c r="O1346">
        <v>0</v>
      </c>
      <c r="U1346" t="s">
        <v>81</v>
      </c>
    </row>
    <row r="1347" spans="1:21" x14ac:dyDescent="0.25">
      <c r="A1347" s="33">
        <v>1349</v>
      </c>
      <c r="B1347" s="24">
        <v>44217</v>
      </c>
      <c r="C1347" t="s">
        <v>181</v>
      </c>
      <c r="D1347" t="s">
        <v>41</v>
      </c>
      <c r="E1347">
        <v>2000708959</v>
      </c>
      <c r="F1347">
        <v>1132</v>
      </c>
      <c r="G1347">
        <v>90</v>
      </c>
      <c r="H1347">
        <v>0</v>
      </c>
      <c r="I1347" t="s">
        <v>706</v>
      </c>
      <c r="J1347" t="s">
        <v>170</v>
      </c>
      <c r="K1347" t="s">
        <v>171</v>
      </c>
      <c r="O1347">
        <v>0</v>
      </c>
      <c r="U1347" t="s">
        <v>81</v>
      </c>
    </row>
    <row r="1348" spans="1:21" x14ac:dyDescent="0.25">
      <c r="A1348" s="33">
        <v>1350</v>
      </c>
      <c r="B1348" s="24">
        <v>44217</v>
      </c>
      <c r="C1348" t="s">
        <v>181</v>
      </c>
      <c r="D1348" t="s">
        <v>41</v>
      </c>
      <c r="E1348">
        <v>2000711683</v>
      </c>
      <c r="F1348">
        <v>440</v>
      </c>
      <c r="G1348">
        <v>100</v>
      </c>
      <c r="H1348">
        <v>0</v>
      </c>
      <c r="I1348" t="s">
        <v>696</v>
      </c>
      <c r="J1348" t="s">
        <v>174</v>
      </c>
      <c r="K1348" t="s">
        <v>805</v>
      </c>
      <c r="O1348">
        <v>0</v>
      </c>
      <c r="U1348" t="s">
        <v>81</v>
      </c>
    </row>
    <row r="1349" spans="1:21" x14ac:dyDescent="0.25">
      <c r="A1349" s="33">
        <v>1351</v>
      </c>
      <c r="B1349" s="24">
        <v>44217</v>
      </c>
      <c r="C1349" t="s">
        <v>181</v>
      </c>
      <c r="D1349" t="s">
        <v>41</v>
      </c>
      <c r="E1349">
        <v>2000711375</v>
      </c>
      <c r="F1349">
        <v>440</v>
      </c>
      <c r="G1349">
        <v>360</v>
      </c>
      <c r="H1349">
        <v>0</v>
      </c>
      <c r="I1349" t="s">
        <v>696</v>
      </c>
      <c r="J1349" t="s">
        <v>174</v>
      </c>
      <c r="K1349" t="s">
        <v>177</v>
      </c>
      <c r="O1349">
        <v>0</v>
      </c>
      <c r="U1349" t="s">
        <v>81</v>
      </c>
    </row>
    <row r="1350" spans="1:21" x14ac:dyDescent="0.25">
      <c r="A1350" s="33">
        <v>1352</v>
      </c>
      <c r="B1350" s="24">
        <v>44217</v>
      </c>
      <c r="C1350" t="s">
        <v>181</v>
      </c>
      <c r="D1350" t="s">
        <v>41</v>
      </c>
      <c r="E1350">
        <v>2000711459</v>
      </c>
      <c r="F1350">
        <v>1800</v>
      </c>
      <c r="G1350">
        <v>520</v>
      </c>
      <c r="H1350">
        <v>0</v>
      </c>
      <c r="I1350" t="s">
        <v>680</v>
      </c>
      <c r="J1350" t="s">
        <v>745</v>
      </c>
      <c r="K1350" t="s">
        <v>746</v>
      </c>
      <c r="O1350">
        <v>0</v>
      </c>
      <c r="U1350" t="s">
        <v>81</v>
      </c>
    </row>
    <row r="1351" spans="1:21" x14ac:dyDescent="0.25">
      <c r="A1351" s="33">
        <v>1353</v>
      </c>
      <c r="B1351" s="24">
        <v>44217</v>
      </c>
      <c r="C1351" t="s">
        <v>181</v>
      </c>
      <c r="D1351" t="s">
        <v>41</v>
      </c>
      <c r="E1351">
        <v>2000711545</v>
      </c>
      <c r="F1351">
        <v>2760</v>
      </c>
      <c r="G1351">
        <v>200</v>
      </c>
      <c r="H1351">
        <v>0</v>
      </c>
      <c r="I1351" t="s">
        <v>680</v>
      </c>
      <c r="J1351" t="s">
        <v>172</v>
      </c>
      <c r="K1351" t="s">
        <v>814</v>
      </c>
      <c r="O1351">
        <v>0</v>
      </c>
      <c r="U1351" t="s">
        <v>81</v>
      </c>
    </row>
    <row r="1352" spans="1:21" x14ac:dyDescent="0.25">
      <c r="A1352" s="33">
        <v>1354</v>
      </c>
      <c r="B1352" s="24">
        <v>44217</v>
      </c>
      <c r="C1352" t="s">
        <v>181</v>
      </c>
      <c r="D1352" t="s">
        <v>41</v>
      </c>
      <c r="E1352">
        <v>2000708024</v>
      </c>
      <c r="F1352">
        <v>1792</v>
      </c>
      <c r="G1352">
        <v>96</v>
      </c>
      <c r="H1352">
        <v>0</v>
      </c>
      <c r="I1352" t="s">
        <v>680</v>
      </c>
      <c r="J1352" t="s">
        <v>203</v>
      </c>
      <c r="K1352" t="s">
        <v>788</v>
      </c>
      <c r="O1352">
        <v>0</v>
      </c>
      <c r="U1352" t="s">
        <v>81</v>
      </c>
    </row>
    <row r="1353" spans="1:21" x14ac:dyDescent="0.25">
      <c r="A1353" s="33">
        <v>1355</v>
      </c>
      <c r="B1353" s="24">
        <v>44217</v>
      </c>
      <c r="C1353" t="s">
        <v>181</v>
      </c>
      <c r="D1353" t="s">
        <v>41</v>
      </c>
      <c r="E1353">
        <v>2000710787</v>
      </c>
      <c r="F1353">
        <v>608</v>
      </c>
      <c r="G1353">
        <v>400</v>
      </c>
      <c r="H1353">
        <v>0</v>
      </c>
      <c r="I1353" t="s">
        <v>680</v>
      </c>
      <c r="J1353" t="s">
        <v>203</v>
      </c>
      <c r="K1353" t="s">
        <v>788</v>
      </c>
      <c r="O1353">
        <v>0</v>
      </c>
      <c r="U1353" t="s">
        <v>81</v>
      </c>
    </row>
    <row r="1354" spans="1:21" x14ac:dyDescent="0.25">
      <c r="A1354" s="33">
        <v>1356</v>
      </c>
      <c r="B1354" s="24">
        <v>44217</v>
      </c>
      <c r="C1354" t="s">
        <v>181</v>
      </c>
      <c r="D1354" t="s">
        <v>41</v>
      </c>
      <c r="E1354">
        <v>2000712175</v>
      </c>
      <c r="F1354">
        <v>4008</v>
      </c>
      <c r="G1354">
        <v>200</v>
      </c>
      <c r="H1354">
        <v>0</v>
      </c>
      <c r="I1354" t="s">
        <v>680</v>
      </c>
      <c r="J1354" t="s">
        <v>172</v>
      </c>
      <c r="K1354" t="s">
        <v>729</v>
      </c>
      <c r="O1354">
        <v>0</v>
      </c>
      <c r="U1354" t="s">
        <v>81</v>
      </c>
    </row>
    <row r="1355" spans="1:21" x14ac:dyDescent="0.25">
      <c r="A1355" s="33">
        <v>1357</v>
      </c>
      <c r="B1355" s="24">
        <v>44217</v>
      </c>
      <c r="C1355" t="s">
        <v>181</v>
      </c>
      <c r="D1355" t="s">
        <v>41</v>
      </c>
      <c r="E1355">
        <v>2000711823</v>
      </c>
      <c r="F1355">
        <v>1140</v>
      </c>
      <c r="G1355">
        <v>200</v>
      </c>
      <c r="H1355">
        <v>0</v>
      </c>
      <c r="I1355" t="s">
        <v>789</v>
      </c>
      <c r="J1355" t="s">
        <v>645</v>
      </c>
      <c r="K1355" t="s">
        <v>726</v>
      </c>
      <c r="O1355">
        <v>0</v>
      </c>
      <c r="U1355" t="s">
        <v>81</v>
      </c>
    </row>
    <row r="1356" spans="1:21" x14ac:dyDescent="0.25">
      <c r="A1356" s="33">
        <v>1358</v>
      </c>
      <c r="B1356" s="24">
        <v>44217</v>
      </c>
      <c r="C1356" t="s">
        <v>181</v>
      </c>
      <c r="D1356" t="s">
        <v>41</v>
      </c>
      <c r="E1356">
        <v>2000711535</v>
      </c>
      <c r="F1356">
        <v>1520</v>
      </c>
      <c r="G1356">
        <v>200</v>
      </c>
      <c r="H1356">
        <v>0</v>
      </c>
      <c r="I1356" t="s">
        <v>789</v>
      </c>
      <c r="J1356" t="s">
        <v>196</v>
      </c>
      <c r="K1356" t="s">
        <v>682</v>
      </c>
      <c r="O1356">
        <v>0</v>
      </c>
      <c r="U1356" t="s">
        <v>81</v>
      </c>
    </row>
    <row r="1357" spans="1:21" x14ac:dyDescent="0.25">
      <c r="A1357" s="33">
        <v>1359</v>
      </c>
      <c r="B1357" s="24">
        <v>44217</v>
      </c>
      <c r="C1357" t="s">
        <v>181</v>
      </c>
      <c r="D1357" t="s">
        <v>41</v>
      </c>
      <c r="E1357">
        <v>2000711343</v>
      </c>
      <c r="F1357">
        <v>3700</v>
      </c>
      <c r="G1357">
        <v>200</v>
      </c>
      <c r="H1357">
        <v>0</v>
      </c>
      <c r="I1357" t="s">
        <v>789</v>
      </c>
      <c r="J1357" t="s">
        <v>172</v>
      </c>
      <c r="K1357" t="s">
        <v>725</v>
      </c>
      <c r="O1357">
        <v>0</v>
      </c>
      <c r="U1357" t="s">
        <v>81</v>
      </c>
    </row>
    <row r="1358" spans="1:21" x14ac:dyDescent="0.25">
      <c r="A1358" s="33">
        <v>1360</v>
      </c>
      <c r="B1358" s="24">
        <v>44217</v>
      </c>
      <c r="C1358" t="s">
        <v>181</v>
      </c>
      <c r="D1358" t="s">
        <v>41</v>
      </c>
      <c r="E1358">
        <v>2000708959</v>
      </c>
      <c r="F1358">
        <v>1132</v>
      </c>
      <c r="G1358">
        <v>119</v>
      </c>
      <c r="H1358">
        <v>0</v>
      </c>
      <c r="I1358" t="s">
        <v>693</v>
      </c>
      <c r="J1358" t="s">
        <v>170</v>
      </c>
      <c r="K1358" t="s">
        <v>171</v>
      </c>
      <c r="O1358">
        <v>0</v>
      </c>
      <c r="U1358" t="s">
        <v>81</v>
      </c>
    </row>
    <row r="1359" spans="1:21" x14ac:dyDescent="0.25">
      <c r="A1359" s="33">
        <v>1361</v>
      </c>
      <c r="B1359" s="24">
        <v>44217</v>
      </c>
      <c r="C1359" t="s">
        <v>181</v>
      </c>
      <c r="D1359" t="s">
        <v>41</v>
      </c>
      <c r="E1359">
        <v>2000711363</v>
      </c>
      <c r="F1359">
        <v>360</v>
      </c>
      <c r="G1359">
        <v>45</v>
      </c>
      <c r="H1359">
        <v>0</v>
      </c>
      <c r="I1359" t="s">
        <v>693</v>
      </c>
      <c r="J1359" t="s">
        <v>698</v>
      </c>
      <c r="K1359" t="s">
        <v>700</v>
      </c>
      <c r="O1359">
        <v>0</v>
      </c>
      <c r="U1359" t="s">
        <v>81</v>
      </c>
    </row>
    <row r="1360" spans="1:21" x14ac:dyDescent="0.25">
      <c r="A1360" s="33">
        <v>1362</v>
      </c>
      <c r="B1360" s="24">
        <v>44217</v>
      </c>
      <c r="C1360" t="s">
        <v>181</v>
      </c>
      <c r="D1360" t="s">
        <v>41</v>
      </c>
      <c r="E1360">
        <v>2000711340</v>
      </c>
      <c r="F1360">
        <v>2000</v>
      </c>
      <c r="G1360">
        <v>135</v>
      </c>
      <c r="H1360">
        <v>0</v>
      </c>
      <c r="I1360" t="s">
        <v>693</v>
      </c>
      <c r="J1360" t="s">
        <v>170</v>
      </c>
      <c r="K1360" t="s">
        <v>899</v>
      </c>
      <c r="O1360">
        <v>0</v>
      </c>
      <c r="U1360" t="s">
        <v>81</v>
      </c>
    </row>
    <row r="1361" spans="1:21" x14ac:dyDescent="0.25">
      <c r="A1361" s="33">
        <v>1363</v>
      </c>
      <c r="B1361" s="24">
        <v>44217</v>
      </c>
      <c r="C1361" t="s">
        <v>181</v>
      </c>
      <c r="D1361" t="s">
        <v>41</v>
      </c>
      <c r="E1361">
        <v>2000711361</v>
      </c>
      <c r="F1361">
        <v>2400</v>
      </c>
      <c r="G1361">
        <v>179</v>
      </c>
      <c r="H1361">
        <v>0</v>
      </c>
      <c r="I1361" t="s">
        <v>693</v>
      </c>
      <c r="J1361" t="s">
        <v>170</v>
      </c>
      <c r="K1361" t="s">
        <v>899</v>
      </c>
      <c r="O1361">
        <v>0</v>
      </c>
      <c r="U1361" t="s">
        <v>81</v>
      </c>
    </row>
    <row r="1362" spans="1:21" x14ac:dyDescent="0.25">
      <c r="A1362" s="33">
        <v>1364</v>
      </c>
      <c r="B1362" s="24">
        <v>44217</v>
      </c>
      <c r="C1362" t="s">
        <v>181</v>
      </c>
      <c r="D1362" t="s">
        <v>51</v>
      </c>
      <c r="E1362">
        <v>2000711500</v>
      </c>
      <c r="F1362">
        <v>380</v>
      </c>
      <c r="G1362">
        <v>75</v>
      </c>
      <c r="H1362">
        <v>0</v>
      </c>
      <c r="I1362" t="s">
        <v>706</v>
      </c>
      <c r="J1362" t="s">
        <v>669</v>
      </c>
      <c r="K1362" t="s">
        <v>802</v>
      </c>
      <c r="O1362">
        <v>0</v>
      </c>
      <c r="U1362" t="s">
        <v>81</v>
      </c>
    </row>
    <row r="1363" spans="1:21" x14ac:dyDescent="0.25">
      <c r="A1363" s="33">
        <v>1365</v>
      </c>
      <c r="B1363" s="24">
        <v>44217</v>
      </c>
      <c r="C1363" t="s">
        <v>181</v>
      </c>
      <c r="D1363" t="s">
        <v>51</v>
      </c>
      <c r="E1363">
        <v>2000711498</v>
      </c>
      <c r="F1363">
        <v>1000</v>
      </c>
      <c r="G1363">
        <v>150</v>
      </c>
      <c r="H1363">
        <v>0</v>
      </c>
      <c r="I1363" t="s">
        <v>706</v>
      </c>
      <c r="J1363" t="s">
        <v>673</v>
      </c>
      <c r="K1363" t="s">
        <v>672</v>
      </c>
      <c r="O1363">
        <v>0</v>
      </c>
      <c r="U1363" t="s">
        <v>81</v>
      </c>
    </row>
    <row r="1364" spans="1:21" x14ac:dyDescent="0.25">
      <c r="A1364" s="33">
        <v>1366</v>
      </c>
      <c r="B1364" s="24">
        <v>44217</v>
      </c>
      <c r="C1364" t="s">
        <v>181</v>
      </c>
      <c r="D1364" t="s">
        <v>51</v>
      </c>
      <c r="E1364">
        <v>2000711049</v>
      </c>
      <c r="F1364">
        <v>800</v>
      </c>
      <c r="G1364">
        <v>150</v>
      </c>
      <c r="H1364">
        <v>0</v>
      </c>
      <c r="I1364" t="s">
        <v>706</v>
      </c>
      <c r="J1364" t="s">
        <v>667</v>
      </c>
      <c r="K1364" t="s">
        <v>730</v>
      </c>
      <c r="O1364">
        <v>0</v>
      </c>
      <c r="U1364" t="s">
        <v>81</v>
      </c>
    </row>
    <row r="1365" spans="1:21" x14ac:dyDescent="0.25">
      <c r="A1365" s="33">
        <v>1367</v>
      </c>
      <c r="B1365" s="24">
        <v>44217</v>
      </c>
      <c r="C1365" t="s">
        <v>181</v>
      </c>
      <c r="D1365" t="s">
        <v>51</v>
      </c>
      <c r="E1365">
        <v>2000711665</v>
      </c>
      <c r="F1365">
        <v>130</v>
      </c>
      <c r="G1365">
        <v>130</v>
      </c>
      <c r="H1365">
        <v>0</v>
      </c>
      <c r="I1365" t="s">
        <v>706</v>
      </c>
      <c r="J1365" t="s">
        <v>669</v>
      </c>
      <c r="K1365" t="s">
        <v>755</v>
      </c>
      <c r="O1365">
        <v>0</v>
      </c>
      <c r="U1365" t="s">
        <v>81</v>
      </c>
    </row>
    <row r="1366" spans="1:21" x14ac:dyDescent="0.25">
      <c r="A1366" s="33">
        <v>1368</v>
      </c>
      <c r="B1366" s="24">
        <v>44217</v>
      </c>
      <c r="C1366" t="s">
        <v>181</v>
      </c>
      <c r="D1366" t="s">
        <v>51</v>
      </c>
      <c r="E1366">
        <v>2000710500</v>
      </c>
      <c r="F1366">
        <v>462</v>
      </c>
      <c r="G1366">
        <v>12</v>
      </c>
      <c r="H1366">
        <v>0</v>
      </c>
      <c r="I1366" t="s">
        <v>706</v>
      </c>
      <c r="J1366" t="s">
        <v>669</v>
      </c>
      <c r="K1366" t="s">
        <v>707</v>
      </c>
      <c r="O1366">
        <v>0</v>
      </c>
      <c r="U1366" t="s">
        <v>81</v>
      </c>
    </row>
    <row r="1367" spans="1:21" x14ac:dyDescent="0.25">
      <c r="A1367" s="33">
        <v>1369</v>
      </c>
      <c r="B1367" s="24">
        <v>44217</v>
      </c>
      <c r="C1367" t="s">
        <v>181</v>
      </c>
      <c r="D1367" t="s">
        <v>51</v>
      </c>
      <c r="E1367">
        <v>2000711636</v>
      </c>
      <c r="F1367">
        <v>108</v>
      </c>
      <c r="G1367">
        <v>108</v>
      </c>
      <c r="H1367">
        <v>0</v>
      </c>
      <c r="I1367" t="s">
        <v>706</v>
      </c>
      <c r="J1367" t="s">
        <v>669</v>
      </c>
      <c r="K1367" t="s">
        <v>707</v>
      </c>
      <c r="O1367">
        <v>0</v>
      </c>
      <c r="U1367" t="s">
        <v>81</v>
      </c>
    </row>
    <row r="1368" spans="1:21" x14ac:dyDescent="0.25">
      <c r="A1368" s="33">
        <v>1370</v>
      </c>
      <c r="B1368" s="24">
        <v>44217</v>
      </c>
      <c r="C1368" t="s">
        <v>181</v>
      </c>
      <c r="D1368" t="s">
        <v>51</v>
      </c>
      <c r="E1368">
        <v>2000711673</v>
      </c>
      <c r="F1368">
        <v>800</v>
      </c>
      <c r="G1368">
        <v>120</v>
      </c>
      <c r="H1368">
        <v>0</v>
      </c>
      <c r="I1368" t="s">
        <v>706</v>
      </c>
      <c r="J1368" t="s">
        <v>667</v>
      </c>
      <c r="K1368" t="s">
        <v>730</v>
      </c>
      <c r="O1368">
        <v>0</v>
      </c>
      <c r="U1368" t="s">
        <v>81</v>
      </c>
    </row>
    <row r="1369" spans="1:21" x14ac:dyDescent="0.25">
      <c r="A1369" s="33">
        <v>1371</v>
      </c>
      <c r="B1369" s="24">
        <v>44218</v>
      </c>
      <c r="C1369" t="s">
        <v>39</v>
      </c>
      <c r="D1369" t="s">
        <v>41</v>
      </c>
      <c r="E1369">
        <v>2000711361</v>
      </c>
      <c r="F1369">
        <v>2400</v>
      </c>
      <c r="G1369">
        <v>167</v>
      </c>
      <c r="H1369">
        <v>0</v>
      </c>
      <c r="I1369" t="s">
        <v>194</v>
      </c>
      <c r="J1369" t="s">
        <v>170</v>
      </c>
      <c r="K1369" t="s">
        <v>899</v>
      </c>
      <c r="O1369">
        <v>0</v>
      </c>
      <c r="U1369" t="s">
        <v>81</v>
      </c>
    </row>
    <row r="1370" spans="1:21" x14ac:dyDescent="0.25">
      <c r="A1370" s="33">
        <v>1372</v>
      </c>
      <c r="B1370" s="24">
        <v>44218</v>
      </c>
      <c r="C1370" t="s">
        <v>39</v>
      </c>
      <c r="D1370" t="s">
        <v>41</v>
      </c>
      <c r="E1370">
        <v>2000711002</v>
      </c>
      <c r="F1370">
        <v>1470</v>
      </c>
      <c r="G1370">
        <v>30</v>
      </c>
      <c r="H1370">
        <v>0</v>
      </c>
      <c r="I1370" t="s">
        <v>194</v>
      </c>
      <c r="J1370" t="s">
        <v>643</v>
      </c>
      <c r="K1370" t="s">
        <v>637</v>
      </c>
      <c r="O1370">
        <v>0</v>
      </c>
      <c r="U1370" t="s">
        <v>81</v>
      </c>
    </row>
    <row r="1371" spans="1:21" x14ac:dyDescent="0.25">
      <c r="A1371" s="33">
        <v>1373</v>
      </c>
      <c r="B1371" s="24">
        <v>44218</v>
      </c>
      <c r="C1371" t="s">
        <v>39</v>
      </c>
      <c r="D1371" t="s">
        <v>41</v>
      </c>
      <c r="E1371">
        <v>2000712032</v>
      </c>
      <c r="F1371">
        <v>2260</v>
      </c>
      <c r="G1371">
        <v>90</v>
      </c>
      <c r="H1371">
        <v>0</v>
      </c>
      <c r="I1371" t="s">
        <v>194</v>
      </c>
      <c r="J1371" t="s">
        <v>170</v>
      </c>
      <c r="K1371" t="s">
        <v>899</v>
      </c>
      <c r="O1371">
        <v>0</v>
      </c>
      <c r="U1371" t="s">
        <v>81</v>
      </c>
    </row>
    <row r="1372" spans="1:21" x14ac:dyDescent="0.25">
      <c r="A1372" s="33">
        <v>1374</v>
      </c>
      <c r="B1372" s="24">
        <v>44218</v>
      </c>
      <c r="C1372" t="s">
        <v>39</v>
      </c>
      <c r="D1372" t="s">
        <v>41</v>
      </c>
      <c r="E1372">
        <v>2000711675</v>
      </c>
      <c r="F1372">
        <v>900</v>
      </c>
      <c r="G1372">
        <v>80</v>
      </c>
      <c r="H1372">
        <v>0</v>
      </c>
      <c r="I1372" t="s">
        <v>194</v>
      </c>
      <c r="J1372" t="s">
        <v>687</v>
      </c>
      <c r="K1372" t="s">
        <v>757</v>
      </c>
      <c r="O1372">
        <v>0</v>
      </c>
      <c r="U1372" t="s">
        <v>81</v>
      </c>
    </row>
    <row r="1373" spans="1:21" x14ac:dyDescent="0.25">
      <c r="A1373" s="33">
        <v>1375</v>
      </c>
      <c r="B1373" s="24">
        <v>44218</v>
      </c>
      <c r="C1373" t="s">
        <v>39</v>
      </c>
      <c r="D1373" t="s">
        <v>41</v>
      </c>
      <c r="E1373">
        <v>2000711676</v>
      </c>
      <c r="F1373">
        <v>1500</v>
      </c>
      <c r="G1373">
        <v>120</v>
      </c>
      <c r="H1373">
        <v>0</v>
      </c>
      <c r="I1373" t="s">
        <v>194</v>
      </c>
      <c r="J1373" t="s">
        <v>687</v>
      </c>
      <c r="K1373" t="s">
        <v>688</v>
      </c>
      <c r="O1373">
        <v>0</v>
      </c>
      <c r="U1373" t="s">
        <v>81</v>
      </c>
    </row>
    <row r="1374" spans="1:21" x14ac:dyDescent="0.25">
      <c r="A1374" s="33">
        <v>1376</v>
      </c>
      <c r="B1374" s="24">
        <v>44218</v>
      </c>
      <c r="C1374" t="s">
        <v>39</v>
      </c>
      <c r="D1374" t="s">
        <v>41</v>
      </c>
      <c r="E1374">
        <v>2000710800</v>
      </c>
      <c r="F1374">
        <v>540</v>
      </c>
      <c r="G1374">
        <v>17</v>
      </c>
      <c r="H1374">
        <v>0</v>
      </c>
      <c r="I1374" t="s">
        <v>194</v>
      </c>
      <c r="J1374" t="s">
        <v>687</v>
      </c>
      <c r="K1374" t="s">
        <v>774</v>
      </c>
      <c r="O1374">
        <v>0</v>
      </c>
      <c r="U1374" t="s">
        <v>81</v>
      </c>
    </row>
    <row r="1375" spans="1:21" x14ac:dyDescent="0.25">
      <c r="A1375" s="33">
        <v>1377</v>
      </c>
      <c r="B1375" s="24">
        <v>44218</v>
      </c>
      <c r="C1375" t="s">
        <v>39</v>
      </c>
      <c r="D1375" t="s">
        <v>41</v>
      </c>
      <c r="E1375">
        <v>2000711361</v>
      </c>
      <c r="F1375">
        <v>2400</v>
      </c>
      <c r="G1375">
        <v>165</v>
      </c>
      <c r="H1375">
        <v>0</v>
      </c>
      <c r="I1375" t="s">
        <v>661</v>
      </c>
      <c r="J1375" t="s">
        <v>170</v>
      </c>
      <c r="K1375" t="s">
        <v>899</v>
      </c>
      <c r="O1375">
        <v>0</v>
      </c>
      <c r="U1375" t="s">
        <v>81</v>
      </c>
    </row>
    <row r="1376" spans="1:21" x14ac:dyDescent="0.25">
      <c r="A1376" s="33">
        <v>1378</v>
      </c>
      <c r="B1376" s="24">
        <v>44218</v>
      </c>
      <c r="C1376" t="s">
        <v>39</v>
      </c>
      <c r="D1376" t="s">
        <v>41</v>
      </c>
      <c r="E1376">
        <v>2000706583</v>
      </c>
      <c r="F1376">
        <v>3050</v>
      </c>
      <c r="G1376">
        <v>5</v>
      </c>
      <c r="H1376">
        <v>0</v>
      </c>
      <c r="I1376" t="s">
        <v>661</v>
      </c>
      <c r="J1376" t="s">
        <v>170</v>
      </c>
      <c r="K1376" t="s">
        <v>697</v>
      </c>
      <c r="O1376">
        <v>0</v>
      </c>
      <c r="U1376" t="s">
        <v>81</v>
      </c>
    </row>
    <row r="1377" spans="1:21" x14ac:dyDescent="0.25">
      <c r="A1377" s="33">
        <v>1379</v>
      </c>
      <c r="B1377" s="24">
        <v>44218</v>
      </c>
      <c r="C1377" t="s">
        <v>39</v>
      </c>
      <c r="D1377" t="s">
        <v>41</v>
      </c>
      <c r="E1377">
        <v>2000711678</v>
      </c>
      <c r="F1377">
        <v>450</v>
      </c>
      <c r="G1377">
        <v>424</v>
      </c>
      <c r="H1377">
        <v>0</v>
      </c>
      <c r="I1377" t="s">
        <v>661</v>
      </c>
      <c r="J1377" t="s">
        <v>170</v>
      </c>
      <c r="K1377" t="s">
        <v>697</v>
      </c>
      <c r="O1377">
        <v>0</v>
      </c>
      <c r="U1377" t="s">
        <v>81</v>
      </c>
    </row>
    <row r="1378" spans="1:21" x14ac:dyDescent="0.25">
      <c r="A1378" s="33">
        <v>1380</v>
      </c>
      <c r="B1378" s="24">
        <v>44218</v>
      </c>
      <c r="C1378" t="s">
        <v>39</v>
      </c>
      <c r="D1378" t="s">
        <v>41</v>
      </c>
      <c r="E1378">
        <v>2000708949</v>
      </c>
      <c r="F1378">
        <v>1020</v>
      </c>
      <c r="G1378">
        <v>30</v>
      </c>
      <c r="H1378">
        <v>0</v>
      </c>
      <c r="I1378" t="s">
        <v>661</v>
      </c>
      <c r="J1378" t="s">
        <v>169</v>
      </c>
      <c r="K1378" t="s">
        <v>637</v>
      </c>
      <c r="O1378">
        <v>0</v>
      </c>
      <c r="U1378" t="s">
        <v>81</v>
      </c>
    </row>
    <row r="1379" spans="1:21" x14ac:dyDescent="0.25">
      <c r="A1379" s="33">
        <v>1381</v>
      </c>
      <c r="B1379" s="24">
        <v>44218</v>
      </c>
      <c r="C1379" t="s">
        <v>39</v>
      </c>
      <c r="D1379" t="s">
        <v>41</v>
      </c>
      <c r="E1379">
        <v>2000709982</v>
      </c>
      <c r="F1379">
        <v>960</v>
      </c>
      <c r="G1379">
        <v>30</v>
      </c>
      <c r="H1379">
        <v>0</v>
      </c>
      <c r="I1379" t="s">
        <v>661</v>
      </c>
      <c r="J1379" t="s">
        <v>169</v>
      </c>
      <c r="K1379" t="s">
        <v>637</v>
      </c>
      <c r="O1379">
        <v>0</v>
      </c>
      <c r="U1379" t="s">
        <v>81</v>
      </c>
    </row>
    <row r="1380" spans="1:21" x14ac:dyDescent="0.25">
      <c r="A1380" s="33">
        <v>1382</v>
      </c>
      <c r="B1380" s="24">
        <v>44218</v>
      </c>
      <c r="C1380" t="s">
        <v>39</v>
      </c>
      <c r="D1380" t="s">
        <v>41</v>
      </c>
      <c r="E1380">
        <v>2000712032</v>
      </c>
      <c r="F1380">
        <v>2260</v>
      </c>
      <c r="G1380">
        <v>25</v>
      </c>
      <c r="H1380">
        <v>0</v>
      </c>
      <c r="I1380" t="s">
        <v>661</v>
      </c>
      <c r="J1380" t="s">
        <v>170</v>
      </c>
      <c r="K1380" t="s">
        <v>899</v>
      </c>
      <c r="O1380">
        <v>0</v>
      </c>
      <c r="U1380" t="s">
        <v>81</v>
      </c>
    </row>
    <row r="1381" spans="1:21" x14ac:dyDescent="0.25">
      <c r="A1381" s="33">
        <v>1383</v>
      </c>
      <c r="B1381" s="24">
        <v>44218</v>
      </c>
      <c r="C1381" t="s">
        <v>39</v>
      </c>
      <c r="D1381" t="s">
        <v>41</v>
      </c>
      <c r="E1381">
        <v>2000711361</v>
      </c>
      <c r="F1381">
        <v>2400</v>
      </c>
      <c r="G1381">
        <v>180</v>
      </c>
      <c r="H1381">
        <v>0</v>
      </c>
      <c r="I1381" t="s">
        <v>191</v>
      </c>
      <c r="J1381" t="s">
        <v>170</v>
      </c>
      <c r="K1381" t="s">
        <v>899</v>
      </c>
      <c r="O1381">
        <v>0</v>
      </c>
      <c r="T1381">
        <v>0</v>
      </c>
      <c r="U1381" t="s">
        <v>81</v>
      </c>
    </row>
    <row r="1382" spans="1:21" x14ac:dyDescent="0.25">
      <c r="A1382" s="33">
        <v>1384</v>
      </c>
      <c r="B1382" s="24">
        <v>44218</v>
      </c>
      <c r="C1382" t="s">
        <v>39</v>
      </c>
      <c r="D1382" t="s">
        <v>41</v>
      </c>
      <c r="E1382">
        <v>2000711002</v>
      </c>
      <c r="F1382">
        <v>1470</v>
      </c>
      <c r="G1382">
        <v>30</v>
      </c>
      <c r="H1382">
        <v>0</v>
      </c>
      <c r="I1382" t="s">
        <v>191</v>
      </c>
      <c r="J1382" t="s">
        <v>169</v>
      </c>
      <c r="K1382" t="s">
        <v>637</v>
      </c>
      <c r="O1382">
        <v>0</v>
      </c>
      <c r="U1382" t="s">
        <v>81</v>
      </c>
    </row>
    <row r="1383" spans="1:21" x14ac:dyDescent="0.25">
      <c r="A1383" s="33">
        <v>1385</v>
      </c>
      <c r="B1383" s="24">
        <v>44218</v>
      </c>
      <c r="C1383" t="s">
        <v>39</v>
      </c>
      <c r="D1383" t="s">
        <v>41</v>
      </c>
      <c r="E1383">
        <v>2000711722</v>
      </c>
      <c r="F1383">
        <v>630</v>
      </c>
      <c r="G1383">
        <v>120</v>
      </c>
      <c r="H1383">
        <v>0</v>
      </c>
      <c r="I1383" t="s">
        <v>178</v>
      </c>
      <c r="J1383" t="s">
        <v>203</v>
      </c>
      <c r="K1383" t="s">
        <v>768</v>
      </c>
      <c r="O1383">
        <v>0</v>
      </c>
      <c r="U1383" t="s">
        <v>81</v>
      </c>
    </row>
    <row r="1384" spans="1:21" x14ac:dyDescent="0.25">
      <c r="A1384" s="33">
        <v>1386</v>
      </c>
      <c r="B1384" s="24">
        <v>44218</v>
      </c>
      <c r="C1384" t="s">
        <v>39</v>
      </c>
      <c r="D1384" t="s">
        <v>41</v>
      </c>
      <c r="E1384">
        <v>2000711389</v>
      </c>
      <c r="F1384">
        <v>600</v>
      </c>
      <c r="G1384">
        <v>30</v>
      </c>
      <c r="H1384">
        <v>0</v>
      </c>
      <c r="I1384" t="s">
        <v>178</v>
      </c>
      <c r="J1384" t="s">
        <v>203</v>
      </c>
      <c r="K1384" t="s">
        <v>639</v>
      </c>
      <c r="O1384">
        <v>0</v>
      </c>
      <c r="U1384" t="s">
        <v>81</v>
      </c>
    </row>
    <row r="1385" spans="1:21" x14ac:dyDescent="0.25">
      <c r="A1385" s="33">
        <v>1387</v>
      </c>
      <c r="B1385" s="24">
        <v>44218</v>
      </c>
      <c r="C1385" t="s">
        <v>39</v>
      </c>
      <c r="D1385" t="s">
        <v>41</v>
      </c>
      <c r="E1385">
        <v>2000711361</v>
      </c>
      <c r="F1385">
        <v>2400</v>
      </c>
      <c r="G1385">
        <v>90</v>
      </c>
      <c r="H1385">
        <v>0</v>
      </c>
      <c r="I1385" t="s">
        <v>178</v>
      </c>
      <c r="J1385" t="s">
        <v>170</v>
      </c>
      <c r="K1385" t="s">
        <v>899</v>
      </c>
      <c r="O1385">
        <v>0</v>
      </c>
      <c r="U1385" t="s">
        <v>81</v>
      </c>
    </row>
    <row r="1386" spans="1:21" x14ac:dyDescent="0.25">
      <c r="A1386" s="33">
        <v>1388</v>
      </c>
      <c r="B1386" s="24">
        <v>44218</v>
      </c>
      <c r="C1386" t="s">
        <v>39</v>
      </c>
      <c r="D1386" t="s">
        <v>41</v>
      </c>
      <c r="E1386">
        <v>2000710800</v>
      </c>
      <c r="F1386">
        <v>540</v>
      </c>
      <c r="G1386">
        <v>225</v>
      </c>
      <c r="H1386">
        <v>0</v>
      </c>
      <c r="I1386" t="s">
        <v>178</v>
      </c>
      <c r="J1386" t="s">
        <v>174</v>
      </c>
      <c r="K1386" t="s">
        <v>774</v>
      </c>
      <c r="O1386">
        <v>0</v>
      </c>
      <c r="U1386" t="s">
        <v>81</v>
      </c>
    </row>
    <row r="1387" spans="1:21" x14ac:dyDescent="0.25">
      <c r="A1387" s="33">
        <v>1389</v>
      </c>
      <c r="B1387" s="24">
        <v>44218</v>
      </c>
      <c r="C1387" t="s">
        <v>39</v>
      </c>
      <c r="D1387" t="s">
        <v>41</v>
      </c>
      <c r="E1387">
        <v>2000711002</v>
      </c>
      <c r="F1387">
        <v>1470</v>
      </c>
      <c r="G1387">
        <v>60</v>
      </c>
      <c r="H1387">
        <v>0</v>
      </c>
      <c r="I1387" t="s">
        <v>178</v>
      </c>
      <c r="J1387" t="s">
        <v>169</v>
      </c>
      <c r="K1387" t="s">
        <v>637</v>
      </c>
      <c r="O1387">
        <v>0</v>
      </c>
      <c r="U1387" t="s">
        <v>81</v>
      </c>
    </row>
    <row r="1388" spans="1:21" x14ac:dyDescent="0.25">
      <c r="A1388" s="33">
        <v>1390</v>
      </c>
      <c r="B1388" s="24">
        <v>44218</v>
      </c>
      <c r="C1388" t="s">
        <v>39</v>
      </c>
      <c r="D1388" t="s">
        <v>41</v>
      </c>
      <c r="E1388">
        <v>2000709982</v>
      </c>
      <c r="F1388">
        <v>960</v>
      </c>
      <c r="G1388">
        <v>60</v>
      </c>
      <c r="H1388">
        <v>0</v>
      </c>
      <c r="I1388" t="s">
        <v>178</v>
      </c>
      <c r="J1388" t="s">
        <v>169</v>
      </c>
      <c r="K1388" t="s">
        <v>637</v>
      </c>
      <c r="O1388">
        <v>0</v>
      </c>
      <c r="U1388" t="s">
        <v>81</v>
      </c>
    </row>
    <row r="1389" spans="1:21" x14ac:dyDescent="0.25">
      <c r="A1389" s="33">
        <v>1391</v>
      </c>
      <c r="B1389" s="24">
        <v>44218</v>
      </c>
      <c r="C1389" t="s">
        <v>39</v>
      </c>
      <c r="D1389" t="s">
        <v>41</v>
      </c>
      <c r="E1389">
        <v>2000708949</v>
      </c>
      <c r="F1389">
        <v>1020</v>
      </c>
      <c r="G1389">
        <v>30</v>
      </c>
      <c r="H1389">
        <v>0</v>
      </c>
      <c r="I1389" t="s">
        <v>178</v>
      </c>
      <c r="J1389" t="s">
        <v>169</v>
      </c>
      <c r="K1389" t="s">
        <v>637</v>
      </c>
      <c r="O1389">
        <v>0</v>
      </c>
      <c r="U1389" t="s">
        <v>81</v>
      </c>
    </row>
    <row r="1390" spans="1:21" x14ac:dyDescent="0.25">
      <c r="A1390" s="33">
        <v>1392</v>
      </c>
      <c r="B1390" s="24">
        <v>44218</v>
      </c>
      <c r="C1390" t="s">
        <v>39</v>
      </c>
      <c r="D1390" t="s">
        <v>41</v>
      </c>
      <c r="E1390">
        <v>2000711822</v>
      </c>
      <c r="F1390">
        <v>1140</v>
      </c>
      <c r="G1390">
        <v>200</v>
      </c>
      <c r="H1390">
        <v>0</v>
      </c>
      <c r="I1390" t="s">
        <v>201</v>
      </c>
      <c r="J1390" t="s">
        <v>645</v>
      </c>
      <c r="K1390" t="s">
        <v>727</v>
      </c>
      <c r="O1390">
        <v>0</v>
      </c>
      <c r="U1390" t="s">
        <v>81</v>
      </c>
    </row>
    <row r="1391" spans="1:21" x14ac:dyDescent="0.25">
      <c r="A1391" s="33">
        <v>1393</v>
      </c>
      <c r="B1391" s="24">
        <v>44218</v>
      </c>
      <c r="C1391" t="s">
        <v>39</v>
      </c>
      <c r="D1391" t="s">
        <v>41</v>
      </c>
      <c r="E1391">
        <v>2000711534</v>
      </c>
      <c r="F1391">
        <v>1520</v>
      </c>
      <c r="G1391">
        <v>200</v>
      </c>
      <c r="H1391">
        <v>0</v>
      </c>
      <c r="I1391" t="s">
        <v>201</v>
      </c>
      <c r="J1391" t="s">
        <v>196</v>
      </c>
      <c r="K1391" t="s">
        <v>684</v>
      </c>
      <c r="O1391">
        <v>0</v>
      </c>
      <c r="U1391" t="s">
        <v>81</v>
      </c>
    </row>
    <row r="1392" spans="1:21" x14ac:dyDescent="0.25">
      <c r="A1392" s="33">
        <v>1394</v>
      </c>
      <c r="B1392" s="24">
        <v>44218</v>
      </c>
      <c r="C1392" t="s">
        <v>39</v>
      </c>
      <c r="D1392" t="s">
        <v>41</v>
      </c>
      <c r="E1392">
        <v>2000711862</v>
      </c>
      <c r="F1392">
        <v>2000</v>
      </c>
      <c r="G1392">
        <v>200</v>
      </c>
      <c r="H1392">
        <v>0</v>
      </c>
      <c r="I1392" t="s">
        <v>201</v>
      </c>
      <c r="J1392" t="s">
        <v>193</v>
      </c>
      <c r="K1392" t="s">
        <v>683</v>
      </c>
      <c r="O1392">
        <v>0</v>
      </c>
      <c r="U1392" t="s">
        <v>81</v>
      </c>
    </row>
    <row r="1393" spans="1:21" x14ac:dyDescent="0.25">
      <c r="A1393" s="33">
        <v>1395</v>
      </c>
      <c r="B1393" s="24">
        <v>44218</v>
      </c>
      <c r="C1393" t="s">
        <v>39</v>
      </c>
      <c r="D1393" t="s">
        <v>41</v>
      </c>
      <c r="E1393">
        <v>2000711459</v>
      </c>
      <c r="F1393">
        <v>1800</v>
      </c>
      <c r="G1393">
        <v>200</v>
      </c>
      <c r="H1393">
        <v>0</v>
      </c>
      <c r="I1393" t="s">
        <v>201</v>
      </c>
      <c r="J1393" t="s">
        <v>745</v>
      </c>
      <c r="K1393" t="s">
        <v>929</v>
      </c>
      <c r="O1393">
        <v>0</v>
      </c>
      <c r="U1393" t="s">
        <v>81</v>
      </c>
    </row>
    <row r="1394" spans="1:21" x14ac:dyDescent="0.25">
      <c r="A1394" s="33">
        <v>1396</v>
      </c>
      <c r="B1394" s="24">
        <v>44218</v>
      </c>
      <c r="C1394" t="s">
        <v>39</v>
      </c>
      <c r="D1394" t="s">
        <v>41</v>
      </c>
      <c r="E1394">
        <v>2000711466</v>
      </c>
      <c r="F1394">
        <v>120</v>
      </c>
      <c r="G1394">
        <v>118</v>
      </c>
      <c r="H1394">
        <v>0</v>
      </c>
      <c r="I1394" t="s">
        <v>201</v>
      </c>
      <c r="J1394" t="s">
        <v>745</v>
      </c>
      <c r="K1394" t="s">
        <v>929</v>
      </c>
      <c r="O1394">
        <v>0</v>
      </c>
      <c r="U1394" t="s">
        <v>81</v>
      </c>
    </row>
    <row r="1395" spans="1:21" x14ac:dyDescent="0.25">
      <c r="A1395" s="33">
        <v>1397</v>
      </c>
      <c r="B1395" s="24">
        <v>44218</v>
      </c>
      <c r="C1395" t="s">
        <v>39</v>
      </c>
      <c r="D1395" t="s">
        <v>41</v>
      </c>
      <c r="E1395">
        <v>2000711536</v>
      </c>
      <c r="F1395">
        <v>1520</v>
      </c>
      <c r="G1395">
        <v>150</v>
      </c>
      <c r="H1395">
        <v>0</v>
      </c>
      <c r="I1395" t="s">
        <v>201</v>
      </c>
      <c r="J1395" t="s">
        <v>196</v>
      </c>
      <c r="K1395" t="s">
        <v>685</v>
      </c>
      <c r="O1395">
        <v>0</v>
      </c>
      <c r="U1395" t="s">
        <v>81</v>
      </c>
    </row>
    <row r="1396" spans="1:21" x14ac:dyDescent="0.25">
      <c r="A1396" s="33">
        <v>1398</v>
      </c>
      <c r="B1396" s="24">
        <v>44218</v>
      </c>
      <c r="C1396" t="s">
        <v>39</v>
      </c>
      <c r="D1396" t="s">
        <v>41</v>
      </c>
      <c r="E1396">
        <v>2000711824</v>
      </c>
      <c r="F1396">
        <v>1140</v>
      </c>
      <c r="G1396">
        <v>150</v>
      </c>
      <c r="H1396">
        <v>0</v>
      </c>
      <c r="I1396" t="s">
        <v>201</v>
      </c>
      <c r="J1396" t="s">
        <v>645</v>
      </c>
      <c r="K1396" t="s">
        <v>736</v>
      </c>
      <c r="O1396">
        <v>0</v>
      </c>
      <c r="U1396" t="s">
        <v>81</v>
      </c>
    </row>
    <row r="1397" spans="1:21" x14ac:dyDescent="0.25">
      <c r="A1397" s="33">
        <v>1399</v>
      </c>
      <c r="B1397" s="24">
        <v>44218</v>
      </c>
      <c r="C1397" t="s">
        <v>39</v>
      </c>
      <c r="D1397" t="s">
        <v>41</v>
      </c>
      <c r="E1397">
        <v>2000711379</v>
      </c>
      <c r="F1397">
        <v>2000</v>
      </c>
      <c r="G1397">
        <v>200</v>
      </c>
      <c r="H1397">
        <v>0</v>
      </c>
      <c r="I1397" t="s">
        <v>201</v>
      </c>
      <c r="J1397" t="s">
        <v>193</v>
      </c>
      <c r="K1397" t="s">
        <v>650</v>
      </c>
      <c r="O1397">
        <v>0</v>
      </c>
      <c r="U1397" t="s">
        <v>81</v>
      </c>
    </row>
    <row r="1398" spans="1:21" x14ac:dyDescent="0.25">
      <c r="A1398" s="33">
        <v>1400</v>
      </c>
      <c r="B1398" s="24">
        <v>44218</v>
      </c>
      <c r="C1398" t="s">
        <v>39</v>
      </c>
      <c r="D1398" t="s">
        <v>41</v>
      </c>
      <c r="E1398">
        <v>2000711864</v>
      </c>
      <c r="F1398">
        <v>2000</v>
      </c>
      <c r="G1398">
        <v>200</v>
      </c>
      <c r="H1398">
        <v>0</v>
      </c>
      <c r="I1398" t="s">
        <v>201</v>
      </c>
      <c r="J1398" t="s">
        <v>193</v>
      </c>
      <c r="K1398" t="s">
        <v>686</v>
      </c>
      <c r="O1398">
        <v>0</v>
      </c>
      <c r="U1398" t="s">
        <v>81</v>
      </c>
    </row>
    <row r="1399" spans="1:21" x14ac:dyDescent="0.25">
      <c r="A1399" s="33">
        <v>1401</v>
      </c>
      <c r="B1399" s="24">
        <v>44218</v>
      </c>
      <c r="C1399" t="s">
        <v>39</v>
      </c>
      <c r="D1399" t="s">
        <v>41</v>
      </c>
      <c r="E1399">
        <v>2000710295</v>
      </c>
      <c r="F1399">
        <v>360</v>
      </c>
      <c r="G1399">
        <v>160</v>
      </c>
      <c r="H1399">
        <v>0</v>
      </c>
      <c r="I1399" t="s">
        <v>201</v>
      </c>
      <c r="J1399" t="s">
        <v>745</v>
      </c>
      <c r="K1399" t="s">
        <v>930</v>
      </c>
      <c r="O1399">
        <v>0</v>
      </c>
      <c r="U1399" t="s">
        <v>81</v>
      </c>
    </row>
    <row r="1400" spans="1:21" x14ac:dyDescent="0.25">
      <c r="A1400" s="33">
        <v>1402</v>
      </c>
      <c r="B1400" s="24">
        <v>44218</v>
      </c>
      <c r="C1400" t="s">
        <v>39</v>
      </c>
      <c r="D1400" t="s">
        <v>41</v>
      </c>
      <c r="E1400">
        <v>2000711834</v>
      </c>
      <c r="F1400">
        <v>3960</v>
      </c>
      <c r="G1400">
        <v>240</v>
      </c>
      <c r="H1400">
        <v>0</v>
      </c>
      <c r="I1400" t="s">
        <v>201</v>
      </c>
      <c r="J1400" t="s">
        <v>169</v>
      </c>
      <c r="K1400" t="s">
        <v>652</v>
      </c>
      <c r="O1400">
        <v>0</v>
      </c>
      <c r="U1400" t="s">
        <v>81</v>
      </c>
    </row>
    <row r="1401" spans="1:21" x14ac:dyDescent="0.25">
      <c r="A1401" s="33">
        <v>1403</v>
      </c>
      <c r="B1401" s="24">
        <v>44218</v>
      </c>
      <c r="C1401" t="s">
        <v>39</v>
      </c>
      <c r="D1401" t="s">
        <v>41</v>
      </c>
      <c r="E1401">
        <v>2000711722</v>
      </c>
      <c r="F1401">
        <v>630</v>
      </c>
      <c r="G1401">
        <v>120</v>
      </c>
      <c r="H1401">
        <v>0</v>
      </c>
      <c r="I1401" t="s">
        <v>168</v>
      </c>
      <c r="J1401" t="s">
        <v>203</v>
      </c>
      <c r="K1401" t="s">
        <v>768</v>
      </c>
      <c r="O1401">
        <v>0</v>
      </c>
      <c r="U1401" t="s">
        <v>81</v>
      </c>
    </row>
    <row r="1402" spans="1:21" x14ac:dyDescent="0.25">
      <c r="A1402" s="33">
        <v>1404</v>
      </c>
      <c r="B1402" s="24">
        <v>44218</v>
      </c>
      <c r="C1402" t="s">
        <v>39</v>
      </c>
      <c r="D1402" t="s">
        <v>41</v>
      </c>
      <c r="E1402">
        <v>2000711389</v>
      </c>
      <c r="F1402">
        <v>600</v>
      </c>
      <c r="G1402">
        <v>120</v>
      </c>
      <c r="H1402">
        <v>0</v>
      </c>
      <c r="I1402" t="s">
        <v>168</v>
      </c>
      <c r="J1402" t="s">
        <v>203</v>
      </c>
      <c r="K1402" t="s">
        <v>639</v>
      </c>
      <c r="O1402">
        <v>0</v>
      </c>
      <c r="U1402" t="s">
        <v>81</v>
      </c>
    </row>
    <row r="1403" spans="1:21" x14ac:dyDescent="0.25">
      <c r="A1403" s="33">
        <v>1405</v>
      </c>
      <c r="B1403" s="24">
        <v>44218</v>
      </c>
      <c r="C1403" t="s">
        <v>39</v>
      </c>
      <c r="D1403" t="s">
        <v>41</v>
      </c>
      <c r="E1403">
        <v>2000712305</v>
      </c>
      <c r="F1403">
        <v>1800</v>
      </c>
      <c r="G1403">
        <v>140</v>
      </c>
      <c r="H1403">
        <v>0</v>
      </c>
      <c r="I1403" t="s">
        <v>168</v>
      </c>
      <c r="J1403" t="s">
        <v>169</v>
      </c>
      <c r="K1403" t="s">
        <v>190</v>
      </c>
      <c r="O1403">
        <v>0</v>
      </c>
      <c r="U1403" t="s">
        <v>81</v>
      </c>
    </row>
    <row r="1404" spans="1:21" x14ac:dyDescent="0.25">
      <c r="A1404" s="33">
        <v>1406</v>
      </c>
      <c r="B1404" s="24">
        <v>44218</v>
      </c>
      <c r="C1404" t="s">
        <v>39</v>
      </c>
      <c r="D1404" t="s">
        <v>41</v>
      </c>
      <c r="E1404">
        <v>2000711376</v>
      </c>
      <c r="F1404">
        <v>120</v>
      </c>
      <c r="G1404">
        <v>40</v>
      </c>
      <c r="H1404">
        <v>0</v>
      </c>
      <c r="I1404" t="s">
        <v>168</v>
      </c>
      <c r="J1404" t="s">
        <v>174</v>
      </c>
      <c r="K1404" t="s">
        <v>717</v>
      </c>
      <c r="O1404">
        <v>0</v>
      </c>
      <c r="U1404" t="s">
        <v>81</v>
      </c>
    </row>
    <row r="1405" spans="1:21" x14ac:dyDescent="0.25">
      <c r="A1405" s="33">
        <v>1407</v>
      </c>
      <c r="B1405" s="24">
        <v>44218</v>
      </c>
      <c r="C1405" t="s">
        <v>39</v>
      </c>
      <c r="D1405" t="s">
        <v>41</v>
      </c>
      <c r="E1405">
        <v>2000712237</v>
      </c>
      <c r="F1405">
        <v>156</v>
      </c>
      <c r="G1405">
        <v>30</v>
      </c>
      <c r="H1405">
        <v>0</v>
      </c>
      <c r="I1405" t="s">
        <v>168</v>
      </c>
      <c r="J1405" t="s">
        <v>745</v>
      </c>
      <c r="K1405" t="s">
        <v>836</v>
      </c>
      <c r="O1405">
        <v>0</v>
      </c>
      <c r="U1405" t="s">
        <v>81</v>
      </c>
    </row>
    <row r="1406" spans="1:21" x14ac:dyDescent="0.25">
      <c r="A1406" s="33">
        <v>1408</v>
      </c>
      <c r="B1406" s="24">
        <v>44218</v>
      </c>
      <c r="C1406" t="s">
        <v>39</v>
      </c>
      <c r="D1406" t="s">
        <v>41</v>
      </c>
      <c r="E1406">
        <v>2000711375</v>
      </c>
      <c r="F1406">
        <v>440</v>
      </c>
      <c r="G1406">
        <v>40</v>
      </c>
      <c r="H1406">
        <v>0</v>
      </c>
      <c r="I1406" t="s">
        <v>666</v>
      </c>
      <c r="J1406" t="s">
        <v>174</v>
      </c>
      <c r="K1406" t="s">
        <v>177</v>
      </c>
      <c r="O1406">
        <v>0</v>
      </c>
      <c r="U1406" t="s">
        <v>81</v>
      </c>
    </row>
    <row r="1407" spans="1:21" x14ac:dyDescent="0.25">
      <c r="A1407" s="33">
        <v>1409</v>
      </c>
      <c r="B1407" s="24">
        <v>44218</v>
      </c>
      <c r="C1407" t="s">
        <v>39</v>
      </c>
      <c r="D1407" t="s">
        <v>41</v>
      </c>
      <c r="E1407">
        <v>2000710515</v>
      </c>
      <c r="F1407">
        <v>600</v>
      </c>
      <c r="G1407">
        <v>150</v>
      </c>
      <c r="H1407">
        <v>0</v>
      </c>
      <c r="I1407" t="s">
        <v>666</v>
      </c>
      <c r="J1407" t="s">
        <v>169</v>
      </c>
      <c r="K1407" t="s">
        <v>847</v>
      </c>
      <c r="O1407">
        <v>0</v>
      </c>
      <c r="U1407" t="s">
        <v>81</v>
      </c>
    </row>
    <row r="1408" spans="1:21" x14ac:dyDescent="0.25">
      <c r="A1408" s="33">
        <v>1410</v>
      </c>
      <c r="B1408" s="24">
        <v>44218</v>
      </c>
      <c r="C1408" t="s">
        <v>39</v>
      </c>
      <c r="D1408" t="s">
        <v>41</v>
      </c>
      <c r="E1408">
        <v>2000711458</v>
      </c>
      <c r="F1408">
        <v>1980</v>
      </c>
      <c r="G1408">
        <v>660</v>
      </c>
      <c r="H1408">
        <v>0</v>
      </c>
      <c r="I1408" t="s">
        <v>666</v>
      </c>
      <c r="J1408" t="s">
        <v>745</v>
      </c>
      <c r="K1408" t="s">
        <v>849</v>
      </c>
      <c r="O1408">
        <v>0</v>
      </c>
      <c r="U1408" t="s">
        <v>81</v>
      </c>
    </row>
    <row r="1409" spans="1:21" x14ac:dyDescent="0.25">
      <c r="A1409" s="33">
        <v>1411</v>
      </c>
      <c r="B1409" s="24">
        <v>44218</v>
      </c>
      <c r="C1409" t="s">
        <v>39</v>
      </c>
      <c r="D1409" t="s">
        <v>41</v>
      </c>
      <c r="E1409">
        <v>2000712282</v>
      </c>
      <c r="F1409">
        <v>992</v>
      </c>
      <c r="G1409">
        <v>80</v>
      </c>
      <c r="H1409">
        <v>0</v>
      </c>
      <c r="I1409" t="s">
        <v>666</v>
      </c>
      <c r="J1409" t="s">
        <v>655</v>
      </c>
      <c r="K1409" t="s">
        <v>656</v>
      </c>
      <c r="O1409">
        <v>0</v>
      </c>
      <c r="U1409" t="s">
        <v>81</v>
      </c>
    </row>
    <row r="1410" spans="1:21" x14ac:dyDescent="0.25">
      <c r="A1410" s="33">
        <v>1412</v>
      </c>
      <c r="B1410" s="24">
        <v>44218</v>
      </c>
      <c r="C1410" t="s">
        <v>39</v>
      </c>
      <c r="D1410" t="s">
        <v>41</v>
      </c>
      <c r="E1410">
        <v>2000710475</v>
      </c>
      <c r="F1410">
        <v>1824</v>
      </c>
      <c r="G1410">
        <v>120</v>
      </c>
      <c r="H1410">
        <v>0</v>
      </c>
      <c r="I1410" t="s">
        <v>666</v>
      </c>
      <c r="J1410" t="s">
        <v>200</v>
      </c>
      <c r="K1410" t="s">
        <v>653</v>
      </c>
      <c r="O1410">
        <v>0</v>
      </c>
      <c r="U1410" t="s">
        <v>81</v>
      </c>
    </row>
    <row r="1411" spans="1:21" x14ac:dyDescent="0.25">
      <c r="A1411" s="33">
        <v>1413</v>
      </c>
      <c r="B1411" s="24">
        <v>44218</v>
      </c>
      <c r="C1411" t="s">
        <v>39</v>
      </c>
      <c r="D1411" t="s">
        <v>41</v>
      </c>
      <c r="E1411">
        <v>2000711458</v>
      </c>
      <c r="F1411">
        <v>1982</v>
      </c>
      <c r="G1411">
        <v>330</v>
      </c>
      <c r="H1411">
        <v>0</v>
      </c>
      <c r="I1411" t="s">
        <v>666</v>
      </c>
      <c r="J1411" t="s">
        <v>745</v>
      </c>
      <c r="K1411" t="s">
        <v>849</v>
      </c>
      <c r="O1411">
        <v>0</v>
      </c>
      <c r="U1411" t="s">
        <v>81</v>
      </c>
    </row>
    <row r="1412" spans="1:21" x14ac:dyDescent="0.25">
      <c r="A1412" s="33">
        <v>1414</v>
      </c>
      <c r="B1412" s="24">
        <v>44218</v>
      </c>
      <c r="C1412" t="s">
        <v>39</v>
      </c>
      <c r="D1412" t="s">
        <v>41</v>
      </c>
      <c r="E1412">
        <v>2000711375</v>
      </c>
      <c r="F1412">
        <v>440</v>
      </c>
      <c r="G1412">
        <v>40</v>
      </c>
      <c r="H1412">
        <v>0</v>
      </c>
      <c r="I1412" t="s">
        <v>180</v>
      </c>
      <c r="J1412" t="s">
        <v>174</v>
      </c>
      <c r="K1412" t="s">
        <v>177</v>
      </c>
      <c r="O1412">
        <v>0</v>
      </c>
      <c r="U1412" t="s">
        <v>81</v>
      </c>
    </row>
    <row r="1413" spans="1:21" x14ac:dyDescent="0.25">
      <c r="A1413" s="33">
        <v>1415</v>
      </c>
      <c r="B1413" s="24">
        <v>44218</v>
      </c>
      <c r="C1413" t="s">
        <v>39</v>
      </c>
      <c r="D1413" t="s">
        <v>41</v>
      </c>
      <c r="E1413">
        <v>2000711494</v>
      </c>
      <c r="F1413">
        <v>594</v>
      </c>
      <c r="G1413">
        <v>21</v>
      </c>
      <c r="H1413">
        <v>0</v>
      </c>
      <c r="I1413" t="s">
        <v>180</v>
      </c>
      <c r="J1413" t="s">
        <v>174</v>
      </c>
      <c r="K1413" t="s">
        <v>177</v>
      </c>
      <c r="O1413">
        <v>0</v>
      </c>
      <c r="U1413" t="s">
        <v>81</v>
      </c>
    </row>
    <row r="1414" spans="1:21" x14ac:dyDescent="0.25">
      <c r="A1414" s="33">
        <v>1416</v>
      </c>
      <c r="B1414" s="24">
        <v>44218</v>
      </c>
      <c r="C1414" t="s">
        <v>39</v>
      </c>
      <c r="D1414" t="s">
        <v>41</v>
      </c>
      <c r="E1414">
        <v>2000711376</v>
      </c>
      <c r="F1414">
        <v>120</v>
      </c>
      <c r="G1414">
        <v>80</v>
      </c>
      <c r="H1414">
        <v>0</v>
      </c>
      <c r="I1414" t="s">
        <v>180</v>
      </c>
      <c r="J1414" t="s">
        <v>174</v>
      </c>
      <c r="K1414" t="s">
        <v>717</v>
      </c>
      <c r="O1414">
        <v>0</v>
      </c>
      <c r="U1414" t="s">
        <v>81</v>
      </c>
    </row>
    <row r="1415" spans="1:21" x14ac:dyDescent="0.25">
      <c r="A1415" s="33">
        <v>1417</v>
      </c>
      <c r="B1415" s="24">
        <v>44218</v>
      </c>
      <c r="C1415" t="s">
        <v>39</v>
      </c>
      <c r="D1415" t="s">
        <v>41</v>
      </c>
      <c r="E1415">
        <v>2000712279</v>
      </c>
      <c r="F1415">
        <v>400</v>
      </c>
      <c r="G1415">
        <v>200</v>
      </c>
      <c r="H1415">
        <v>0</v>
      </c>
      <c r="I1415" t="s">
        <v>180</v>
      </c>
      <c r="J1415" t="s">
        <v>174</v>
      </c>
      <c r="K1415" t="s">
        <v>188</v>
      </c>
      <c r="O1415">
        <v>0</v>
      </c>
      <c r="U1415" t="s">
        <v>81</v>
      </c>
    </row>
    <row r="1416" spans="1:21" x14ac:dyDescent="0.25">
      <c r="A1416" s="33">
        <v>1418</v>
      </c>
      <c r="B1416" s="24">
        <v>44218</v>
      </c>
      <c r="C1416" t="s">
        <v>39</v>
      </c>
      <c r="D1416" t="s">
        <v>41</v>
      </c>
      <c r="E1416">
        <v>2000711684</v>
      </c>
      <c r="F1416">
        <v>120</v>
      </c>
      <c r="G1416">
        <v>20</v>
      </c>
      <c r="H1416">
        <v>0</v>
      </c>
      <c r="I1416" t="s">
        <v>180</v>
      </c>
      <c r="J1416" t="s">
        <v>174</v>
      </c>
      <c r="K1416" t="s">
        <v>870</v>
      </c>
      <c r="O1416">
        <v>0</v>
      </c>
      <c r="U1416" t="s">
        <v>81</v>
      </c>
    </row>
    <row r="1417" spans="1:21" x14ac:dyDescent="0.25">
      <c r="A1417" s="33">
        <v>1419</v>
      </c>
      <c r="B1417" s="24">
        <v>44218</v>
      </c>
      <c r="C1417" t="s">
        <v>39</v>
      </c>
      <c r="D1417" t="s">
        <v>41</v>
      </c>
      <c r="E1417">
        <v>2000711865</v>
      </c>
      <c r="F1417">
        <v>2000</v>
      </c>
      <c r="G1417">
        <v>140</v>
      </c>
      <c r="H1417">
        <v>0</v>
      </c>
      <c r="I1417" t="s">
        <v>642</v>
      </c>
      <c r="J1417" t="s">
        <v>193</v>
      </c>
      <c r="K1417" t="s">
        <v>647</v>
      </c>
      <c r="O1417">
        <v>0</v>
      </c>
      <c r="U1417" t="s">
        <v>81</v>
      </c>
    </row>
    <row r="1418" spans="1:21" x14ac:dyDescent="0.25">
      <c r="A1418" s="33">
        <v>1420</v>
      </c>
      <c r="B1418" s="24">
        <v>44218</v>
      </c>
      <c r="C1418" t="s">
        <v>39</v>
      </c>
      <c r="D1418" t="s">
        <v>41</v>
      </c>
      <c r="E1418">
        <v>2000712253</v>
      </c>
      <c r="F1418">
        <v>100</v>
      </c>
      <c r="G1418">
        <v>20</v>
      </c>
      <c r="H1418">
        <v>0</v>
      </c>
      <c r="I1418" t="s">
        <v>642</v>
      </c>
      <c r="J1418" t="s">
        <v>195</v>
      </c>
      <c r="K1418" t="s">
        <v>812</v>
      </c>
      <c r="O1418">
        <v>0</v>
      </c>
      <c r="U1418" t="s">
        <v>81</v>
      </c>
    </row>
    <row r="1419" spans="1:21" x14ac:dyDescent="0.25">
      <c r="A1419" s="33">
        <v>1421</v>
      </c>
      <c r="B1419" s="24">
        <v>44218</v>
      </c>
      <c r="C1419" t="s">
        <v>39</v>
      </c>
      <c r="D1419" t="s">
        <v>41</v>
      </c>
      <c r="E1419">
        <v>2000711768</v>
      </c>
      <c r="F1419">
        <v>1000</v>
      </c>
      <c r="G1419">
        <v>100</v>
      </c>
      <c r="H1419">
        <v>0</v>
      </c>
      <c r="I1419" t="s">
        <v>642</v>
      </c>
      <c r="J1419" t="s">
        <v>645</v>
      </c>
      <c r="K1419" t="s">
        <v>753</v>
      </c>
      <c r="O1419">
        <v>0</v>
      </c>
      <c r="U1419" t="s">
        <v>81</v>
      </c>
    </row>
    <row r="1420" spans="1:21" x14ac:dyDescent="0.25">
      <c r="A1420" s="33">
        <v>1422</v>
      </c>
      <c r="B1420" s="24">
        <v>44218</v>
      </c>
      <c r="C1420" t="s">
        <v>39</v>
      </c>
      <c r="D1420" t="s">
        <v>41</v>
      </c>
      <c r="E1420">
        <v>2000711815</v>
      </c>
      <c r="F1420">
        <v>2600</v>
      </c>
      <c r="G1420">
        <v>200</v>
      </c>
      <c r="H1420">
        <v>0</v>
      </c>
      <c r="I1420" t="s">
        <v>642</v>
      </c>
      <c r="J1420" t="s">
        <v>172</v>
      </c>
      <c r="K1420" t="s">
        <v>692</v>
      </c>
      <c r="O1420">
        <v>0</v>
      </c>
      <c r="U1420" t="s">
        <v>81</v>
      </c>
    </row>
    <row r="1421" spans="1:21" x14ac:dyDescent="0.25">
      <c r="A1421" s="33">
        <v>1423</v>
      </c>
      <c r="B1421" s="24">
        <v>44218</v>
      </c>
      <c r="C1421" t="s">
        <v>39</v>
      </c>
      <c r="D1421" t="s">
        <v>41</v>
      </c>
      <c r="E1421">
        <v>2000711804</v>
      </c>
      <c r="F1421">
        <v>2400</v>
      </c>
      <c r="G1421">
        <v>80</v>
      </c>
      <c r="H1421">
        <v>0</v>
      </c>
      <c r="I1421" t="s">
        <v>642</v>
      </c>
      <c r="J1421" t="s">
        <v>645</v>
      </c>
      <c r="K1421" t="s">
        <v>721</v>
      </c>
      <c r="O1421">
        <v>0</v>
      </c>
      <c r="U1421" t="s">
        <v>81</v>
      </c>
    </row>
    <row r="1422" spans="1:21" x14ac:dyDescent="0.25">
      <c r="A1422" s="33">
        <v>1424</v>
      </c>
      <c r="B1422" s="24">
        <v>44218</v>
      </c>
      <c r="C1422" t="s">
        <v>39</v>
      </c>
      <c r="D1422" t="s">
        <v>51</v>
      </c>
      <c r="E1422">
        <v>2000711671</v>
      </c>
      <c r="F1422">
        <v>270</v>
      </c>
      <c r="G1422">
        <v>120</v>
      </c>
      <c r="H1422">
        <v>0</v>
      </c>
      <c r="I1422" t="s">
        <v>191</v>
      </c>
      <c r="J1422" t="s">
        <v>667</v>
      </c>
      <c r="K1422" t="s">
        <v>827</v>
      </c>
      <c r="O1422">
        <v>0</v>
      </c>
      <c r="U1422" t="s">
        <v>81</v>
      </c>
    </row>
    <row r="1423" spans="1:21" x14ac:dyDescent="0.25">
      <c r="A1423" s="33">
        <v>1425</v>
      </c>
      <c r="B1423" s="24">
        <v>44218</v>
      </c>
      <c r="C1423" t="s">
        <v>39</v>
      </c>
      <c r="D1423" t="s">
        <v>51</v>
      </c>
      <c r="E1423">
        <v>2000711672</v>
      </c>
      <c r="F1423">
        <v>60</v>
      </c>
      <c r="G1423">
        <v>30</v>
      </c>
      <c r="H1423">
        <v>0</v>
      </c>
      <c r="I1423" t="s">
        <v>191</v>
      </c>
      <c r="J1423" t="s">
        <v>667</v>
      </c>
      <c r="K1423" t="s">
        <v>772</v>
      </c>
      <c r="O1423">
        <v>0</v>
      </c>
      <c r="U1423" t="s">
        <v>81</v>
      </c>
    </row>
    <row r="1424" spans="1:21" x14ac:dyDescent="0.25">
      <c r="A1424" s="33">
        <v>1426</v>
      </c>
      <c r="B1424" s="24">
        <v>44218</v>
      </c>
      <c r="C1424" t="s">
        <v>39</v>
      </c>
      <c r="D1424" t="s">
        <v>51</v>
      </c>
      <c r="E1424">
        <v>2000711662</v>
      </c>
      <c r="F1424">
        <v>650</v>
      </c>
      <c r="G1424">
        <v>175</v>
      </c>
      <c r="H1424">
        <v>0</v>
      </c>
      <c r="I1424" t="s">
        <v>191</v>
      </c>
      <c r="J1424" t="s">
        <v>667</v>
      </c>
      <c r="K1424" t="s">
        <v>671</v>
      </c>
      <c r="O1424">
        <v>0</v>
      </c>
      <c r="U1424" t="s">
        <v>81</v>
      </c>
    </row>
    <row r="1425" spans="1:21" x14ac:dyDescent="0.25">
      <c r="A1425" s="33">
        <v>1427</v>
      </c>
      <c r="B1425" s="24">
        <v>44218</v>
      </c>
      <c r="C1425" t="s">
        <v>39</v>
      </c>
      <c r="D1425" t="s">
        <v>51</v>
      </c>
      <c r="E1425">
        <v>2000711959</v>
      </c>
      <c r="F1425">
        <v>600</v>
      </c>
      <c r="G1425">
        <v>120</v>
      </c>
      <c r="H1425">
        <v>0</v>
      </c>
      <c r="I1425" t="s">
        <v>191</v>
      </c>
      <c r="J1425" t="s">
        <v>669</v>
      </c>
      <c r="K1425" t="s">
        <v>834</v>
      </c>
      <c r="O1425">
        <v>0</v>
      </c>
      <c r="U1425" t="s">
        <v>81</v>
      </c>
    </row>
    <row r="1426" spans="1:21" x14ac:dyDescent="0.25">
      <c r="A1426" s="33">
        <v>1428</v>
      </c>
      <c r="B1426" s="24">
        <v>44218</v>
      </c>
      <c r="C1426" t="s">
        <v>39</v>
      </c>
      <c r="D1426" t="s">
        <v>51</v>
      </c>
      <c r="E1426">
        <v>2000711660</v>
      </c>
      <c r="F1426">
        <v>945</v>
      </c>
      <c r="G1426">
        <v>100</v>
      </c>
      <c r="H1426">
        <v>0</v>
      </c>
      <c r="I1426" t="s">
        <v>191</v>
      </c>
      <c r="J1426" t="s">
        <v>673</v>
      </c>
      <c r="K1426" t="s">
        <v>674</v>
      </c>
      <c r="O1426">
        <v>0</v>
      </c>
      <c r="U1426" t="s">
        <v>81</v>
      </c>
    </row>
    <row r="1427" spans="1:21" x14ac:dyDescent="0.25">
      <c r="A1427" s="33">
        <v>1429</v>
      </c>
      <c r="B1427" s="24">
        <v>44218</v>
      </c>
      <c r="C1427" t="s">
        <v>39</v>
      </c>
      <c r="D1427" t="s">
        <v>51</v>
      </c>
      <c r="E1427">
        <v>2000711965</v>
      </c>
      <c r="F1427">
        <v>800</v>
      </c>
      <c r="G1427">
        <v>180</v>
      </c>
      <c r="H1427">
        <v>0</v>
      </c>
      <c r="I1427" t="s">
        <v>191</v>
      </c>
      <c r="J1427" t="s">
        <v>667</v>
      </c>
      <c r="K1427" t="s">
        <v>730</v>
      </c>
      <c r="O1427">
        <v>0</v>
      </c>
      <c r="U1427" t="s">
        <v>81</v>
      </c>
    </row>
    <row r="1428" spans="1:21" x14ac:dyDescent="0.25">
      <c r="A1428" s="33">
        <v>1430</v>
      </c>
      <c r="B1428" s="24">
        <v>44218</v>
      </c>
      <c r="C1428" t="s">
        <v>39</v>
      </c>
      <c r="D1428" t="s">
        <v>51</v>
      </c>
      <c r="E1428">
        <v>2000711966</v>
      </c>
      <c r="F1428">
        <v>660</v>
      </c>
      <c r="G1428">
        <v>30</v>
      </c>
      <c r="H1428">
        <v>0</v>
      </c>
      <c r="I1428" t="s">
        <v>191</v>
      </c>
      <c r="J1428" t="s">
        <v>667</v>
      </c>
      <c r="K1428" t="s">
        <v>668</v>
      </c>
      <c r="O1428">
        <v>0</v>
      </c>
      <c r="U1428" t="s">
        <v>81</v>
      </c>
    </row>
    <row r="1429" spans="1:21" x14ac:dyDescent="0.25">
      <c r="A1429" s="33">
        <v>1431</v>
      </c>
      <c r="B1429" s="24">
        <v>44218</v>
      </c>
      <c r="C1429" t="s">
        <v>181</v>
      </c>
      <c r="D1429" t="s">
        <v>41</v>
      </c>
      <c r="E1429">
        <v>2000711002</v>
      </c>
      <c r="F1429">
        <v>1470</v>
      </c>
      <c r="G1429">
        <v>60</v>
      </c>
      <c r="H1429">
        <v>0</v>
      </c>
      <c r="I1429" t="s">
        <v>185</v>
      </c>
      <c r="J1429" t="s">
        <v>169</v>
      </c>
      <c r="K1429" t="s">
        <v>637</v>
      </c>
      <c r="O1429">
        <v>0</v>
      </c>
      <c r="U1429" t="s">
        <v>81</v>
      </c>
    </row>
    <row r="1430" spans="1:21" x14ac:dyDescent="0.25">
      <c r="A1430" s="33">
        <v>1432</v>
      </c>
      <c r="B1430" s="24">
        <v>44218</v>
      </c>
      <c r="C1430" t="s">
        <v>181</v>
      </c>
      <c r="D1430" t="s">
        <v>41</v>
      </c>
      <c r="E1430">
        <v>2000711804</v>
      </c>
      <c r="F1430">
        <v>2400</v>
      </c>
      <c r="G1430">
        <v>40</v>
      </c>
      <c r="H1430">
        <v>0</v>
      </c>
      <c r="I1430" t="s">
        <v>185</v>
      </c>
      <c r="J1430" t="s">
        <v>645</v>
      </c>
      <c r="K1430" t="s">
        <v>721</v>
      </c>
      <c r="O1430">
        <v>0</v>
      </c>
      <c r="U1430" t="s">
        <v>81</v>
      </c>
    </row>
    <row r="1431" spans="1:21" x14ac:dyDescent="0.25">
      <c r="A1431" s="33">
        <v>1433</v>
      </c>
      <c r="B1431" s="24">
        <v>44218</v>
      </c>
      <c r="C1431" t="s">
        <v>181</v>
      </c>
      <c r="D1431" t="s">
        <v>41</v>
      </c>
      <c r="E1431">
        <v>2000711769</v>
      </c>
      <c r="F1431">
        <v>280</v>
      </c>
      <c r="G1431">
        <v>20</v>
      </c>
      <c r="H1431">
        <v>0</v>
      </c>
      <c r="I1431" t="s">
        <v>185</v>
      </c>
      <c r="J1431" t="s">
        <v>645</v>
      </c>
      <c r="K1431" t="s">
        <v>646</v>
      </c>
      <c r="O1431">
        <v>0</v>
      </c>
      <c r="U1431" t="s">
        <v>81</v>
      </c>
    </row>
    <row r="1432" spans="1:21" x14ac:dyDescent="0.25">
      <c r="A1432" s="33">
        <v>1434</v>
      </c>
      <c r="B1432" s="24">
        <v>44218</v>
      </c>
      <c r="C1432" t="s">
        <v>181</v>
      </c>
      <c r="D1432" t="s">
        <v>41</v>
      </c>
      <c r="E1432">
        <v>2000712034</v>
      </c>
      <c r="F1432">
        <v>600</v>
      </c>
      <c r="G1432">
        <v>40</v>
      </c>
      <c r="H1432">
        <v>0</v>
      </c>
      <c r="I1432" t="s">
        <v>185</v>
      </c>
      <c r="J1432" t="s">
        <v>687</v>
      </c>
      <c r="K1432" t="s">
        <v>757</v>
      </c>
      <c r="O1432">
        <v>0</v>
      </c>
      <c r="U1432" t="s">
        <v>81</v>
      </c>
    </row>
    <row r="1433" spans="1:21" x14ac:dyDescent="0.25">
      <c r="A1433" s="33">
        <v>1435</v>
      </c>
      <c r="B1433" s="24">
        <v>44218</v>
      </c>
      <c r="C1433" t="s">
        <v>181</v>
      </c>
      <c r="D1433" t="s">
        <v>41</v>
      </c>
      <c r="E1433">
        <v>2000711722</v>
      </c>
      <c r="F1433">
        <v>630</v>
      </c>
      <c r="G1433">
        <v>90</v>
      </c>
      <c r="H1433">
        <v>0</v>
      </c>
      <c r="I1433" t="s">
        <v>185</v>
      </c>
      <c r="J1433" t="s">
        <v>203</v>
      </c>
      <c r="K1433" t="s">
        <v>768</v>
      </c>
      <c r="O1433">
        <v>0</v>
      </c>
      <c r="U1433" t="s">
        <v>81</v>
      </c>
    </row>
    <row r="1434" spans="1:21" x14ac:dyDescent="0.25">
      <c r="A1434" s="33">
        <v>1436</v>
      </c>
      <c r="B1434" s="24">
        <v>44218</v>
      </c>
      <c r="C1434" t="s">
        <v>181</v>
      </c>
      <c r="D1434" t="s">
        <v>41</v>
      </c>
      <c r="E1434">
        <v>2000711390</v>
      </c>
      <c r="F1434">
        <v>300</v>
      </c>
      <c r="G1434">
        <v>60</v>
      </c>
      <c r="H1434">
        <v>0</v>
      </c>
      <c r="I1434" t="s">
        <v>185</v>
      </c>
      <c r="J1434" t="s">
        <v>203</v>
      </c>
      <c r="K1434" t="s">
        <v>785</v>
      </c>
      <c r="O1434">
        <v>0</v>
      </c>
      <c r="U1434" t="s">
        <v>81</v>
      </c>
    </row>
    <row r="1435" spans="1:21" x14ac:dyDescent="0.25">
      <c r="A1435" s="33">
        <v>1437</v>
      </c>
      <c r="B1435" s="24">
        <v>44218</v>
      </c>
      <c r="C1435" t="s">
        <v>181</v>
      </c>
      <c r="D1435" t="s">
        <v>41</v>
      </c>
      <c r="E1435">
        <v>2000711234</v>
      </c>
      <c r="F1435">
        <v>5592</v>
      </c>
      <c r="G1435">
        <v>552</v>
      </c>
      <c r="H1435">
        <v>0</v>
      </c>
      <c r="I1435" t="s">
        <v>183</v>
      </c>
      <c r="J1435" t="s">
        <v>816</v>
      </c>
      <c r="K1435" t="s">
        <v>927</v>
      </c>
      <c r="O1435">
        <v>0</v>
      </c>
      <c r="U1435" t="s">
        <v>81</v>
      </c>
    </row>
    <row r="1436" spans="1:21" x14ac:dyDescent="0.25">
      <c r="A1436" s="33">
        <v>1438</v>
      </c>
      <c r="B1436" s="24">
        <v>44218</v>
      </c>
      <c r="C1436" t="s">
        <v>181</v>
      </c>
      <c r="D1436" t="s">
        <v>41</v>
      </c>
      <c r="E1436">
        <v>2000711803</v>
      </c>
      <c r="F1436">
        <v>2400</v>
      </c>
      <c r="G1436">
        <v>150</v>
      </c>
      <c r="H1436">
        <v>0</v>
      </c>
      <c r="I1436" t="s">
        <v>183</v>
      </c>
      <c r="J1436" t="s">
        <v>645</v>
      </c>
      <c r="K1436" t="s">
        <v>658</v>
      </c>
      <c r="O1436">
        <v>0</v>
      </c>
      <c r="U1436" t="s">
        <v>81</v>
      </c>
    </row>
    <row r="1437" spans="1:21" x14ac:dyDescent="0.25">
      <c r="A1437" s="33">
        <v>1439</v>
      </c>
      <c r="B1437" s="24">
        <v>44218</v>
      </c>
      <c r="C1437" t="s">
        <v>181</v>
      </c>
      <c r="D1437" t="s">
        <v>41</v>
      </c>
      <c r="E1437">
        <v>2000711801</v>
      </c>
      <c r="F1437">
        <v>2400</v>
      </c>
      <c r="G1437">
        <v>200</v>
      </c>
      <c r="H1437">
        <v>0</v>
      </c>
      <c r="I1437" t="s">
        <v>183</v>
      </c>
      <c r="J1437" t="s">
        <v>645</v>
      </c>
      <c r="K1437" t="s">
        <v>756</v>
      </c>
      <c r="O1437">
        <v>0</v>
      </c>
      <c r="U1437" t="s">
        <v>81</v>
      </c>
    </row>
    <row r="1438" spans="1:21" x14ac:dyDescent="0.25">
      <c r="A1438" s="33">
        <v>1440</v>
      </c>
      <c r="B1438" s="24">
        <v>44218</v>
      </c>
      <c r="C1438" t="s">
        <v>181</v>
      </c>
      <c r="D1438" t="s">
        <v>41</v>
      </c>
      <c r="E1438">
        <v>2000712254</v>
      </c>
      <c r="F1438">
        <v>100</v>
      </c>
      <c r="G1438">
        <v>100</v>
      </c>
      <c r="H1438">
        <v>0</v>
      </c>
      <c r="I1438" t="s">
        <v>183</v>
      </c>
      <c r="J1438" t="s">
        <v>195</v>
      </c>
      <c r="K1438" t="s">
        <v>820</v>
      </c>
      <c r="O1438">
        <v>0</v>
      </c>
      <c r="U1438" t="s">
        <v>81</v>
      </c>
    </row>
    <row r="1439" spans="1:21" x14ac:dyDescent="0.25">
      <c r="A1439" s="33">
        <v>1441</v>
      </c>
      <c r="B1439" s="24">
        <v>44218</v>
      </c>
      <c r="C1439" t="s">
        <v>181</v>
      </c>
      <c r="D1439" t="s">
        <v>41</v>
      </c>
      <c r="E1439">
        <v>2000711812</v>
      </c>
      <c r="F1439">
        <v>1200</v>
      </c>
      <c r="G1439">
        <v>100</v>
      </c>
      <c r="H1439">
        <v>0</v>
      </c>
      <c r="I1439" t="s">
        <v>183</v>
      </c>
      <c r="J1439" t="s">
        <v>172</v>
      </c>
      <c r="K1439" t="s">
        <v>725</v>
      </c>
      <c r="O1439">
        <v>0</v>
      </c>
      <c r="U1439" t="s">
        <v>81</v>
      </c>
    </row>
    <row r="1440" spans="1:21" x14ac:dyDescent="0.25">
      <c r="A1440" s="33">
        <v>1442</v>
      </c>
      <c r="B1440" s="24">
        <v>44218</v>
      </c>
      <c r="C1440" t="s">
        <v>181</v>
      </c>
      <c r="D1440" t="s">
        <v>41</v>
      </c>
      <c r="E1440">
        <v>2000711861</v>
      </c>
      <c r="F1440">
        <v>2000</v>
      </c>
      <c r="G1440">
        <v>150</v>
      </c>
      <c r="H1440">
        <v>0</v>
      </c>
      <c r="I1440" t="s">
        <v>183</v>
      </c>
      <c r="J1440" t="s">
        <v>193</v>
      </c>
      <c r="K1440" t="s">
        <v>176</v>
      </c>
      <c r="O1440">
        <v>0</v>
      </c>
      <c r="U1440" t="s">
        <v>81</v>
      </c>
    </row>
    <row r="1441" spans="1:21" x14ac:dyDescent="0.25">
      <c r="A1441" s="33">
        <v>1443</v>
      </c>
      <c r="B1441" s="24">
        <v>44218</v>
      </c>
      <c r="C1441" t="s">
        <v>181</v>
      </c>
      <c r="D1441" t="s">
        <v>41</v>
      </c>
      <c r="E1441">
        <v>2000711813</v>
      </c>
      <c r="F1441">
        <v>2600</v>
      </c>
      <c r="G1441">
        <v>200</v>
      </c>
      <c r="H1441">
        <v>0</v>
      </c>
      <c r="I1441" t="s">
        <v>183</v>
      </c>
      <c r="J1441" t="s">
        <v>172</v>
      </c>
      <c r="K1441" t="s">
        <v>725</v>
      </c>
      <c r="O1441">
        <v>0</v>
      </c>
      <c r="U1441" t="s">
        <v>81</v>
      </c>
    </row>
    <row r="1442" spans="1:21" x14ac:dyDescent="0.25">
      <c r="A1442" s="33">
        <v>1444</v>
      </c>
      <c r="B1442" s="24">
        <v>44218</v>
      </c>
      <c r="C1442" t="s">
        <v>181</v>
      </c>
      <c r="D1442" t="s">
        <v>41</v>
      </c>
      <c r="E1442">
        <v>2000711569</v>
      </c>
      <c r="F1442">
        <v>1337</v>
      </c>
      <c r="G1442">
        <v>478</v>
      </c>
      <c r="H1442">
        <v>0</v>
      </c>
      <c r="I1442" t="s">
        <v>183</v>
      </c>
      <c r="J1442" t="s">
        <v>745</v>
      </c>
      <c r="K1442" t="s">
        <v>857</v>
      </c>
      <c r="O1442">
        <v>0</v>
      </c>
      <c r="U1442" t="s">
        <v>81</v>
      </c>
    </row>
    <row r="1443" spans="1:21" x14ac:dyDescent="0.25">
      <c r="A1443" s="33">
        <v>1445</v>
      </c>
      <c r="B1443" s="24">
        <v>44218</v>
      </c>
      <c r="C1443" t="s">
        <v>181</v>
      </c>
      <c r="D1443" t="s">
        <v>41</v>
      </c>
      <c r="E1443">
        <v>2000711801</v>
      </c>
      <c r="F1443">
        <v>2400</v>
      </c>
      <c r="G1443">
        <v>200</v>
      </c>
      <c r="H1443">
        <v>0</v>
      </c>
      <c r="I1443" t="s">
        <v>183</v>
      </c>
      <c r="J1443" t="s">
        <v>645</v>
      </c>
      <c r="K1443" t="s">
        <v>756</v>
      </c>
      <c r="O1443">
        <v>0</v>
      </c>
      <c r="U1443" t="s">
        <v>81</v>
      </c>
    </row>
    <row r="1444" spans="1:21" x14ac:dyDescent="0.25">
      <c r="A1444" s="33">
        <v>1446</v>
      </c>
      <c r="B1444" s="24">
        <v>44218</v>
      </c>
      <c r="C1444" t="s">
        <v>181</v>
      </c>
      <c r="D1444" t="s">
        <v>41</v>
      </c>
      <c r="E1444">
        <v>2000711854</v>
      </c>
      <c r="F1444">
        <v>1808</v>
      </c>
      <c r="G1444">
        <v>800</v>
      </c>
      <c r="H1444">
        <v>0</v>
      </c>
      <c r="I1444" t="s">
        <v>183</v>
      </c>
      <c r="J1444" t="s">
        <v>203</v>
      </c>
      <c r="K1444" t="s">
        <v>788</v>
      </c>
      <c r="O1444">
        <v>0</v>
      </c>
      <c r="U1444" t="s">
        <v>81</v>
      </c>
    </row>
    <row r="1445" spans="1:21" x14ac:dyDescent="0.25">
      <c r="A1445" s="33">
        <v>1447</v>
      </c>
      <c r="B1445" s="24">
        <v>44218</v>
      </c>
      <c r="C1445" t="s">
        <v>181</v>
      </c>
      <c r="D1445" t="s">
        <v>41</v>
      </c>
      <c r="E1445">
        <v>2000711802</v>
      </c>
      <c r="F1445">
        <v>2400</v>
      </c>
      <c r="G1445">
        <v>150</v>
      </c>
      <c r="H1445">
        <v>0</v>
      </c>
      <c r="I1445" t="s">
        <v>680</v>
      </c>
      <c r="J1445" t="s">
        <v>645</v>
      </c>
      <c r="K1445" t="s">
        <v>739</v>
      </c>
      <c r="O1445">
        <v>0</v>
      </c>
      <c r="U1445" t="s">
        <v>81</v>
      </c>
    </row>
    <row r="1446" spans="1:21" x14ac:dyDescent="0.25">
      <c r="A1446" s="33">
        <v>1448</v>
      </c>
      <c r="B1446" s="24">
        <v>44218</v>
      </c>
      <c r="C1446" t="s">
        <v>181</v>
      </c>
      <c r="D1446" t="s">
        <v>41</v>
      </c>
      <c r="E1446">
        <v>2000710787</v>
      </c>
      <c r="F1446">
        <v>608</v>
      </c>
      <c r="G1446">
        <v>208</v>
      </c>
      <c r="H1446">
        <v>0</v>
      </c>
      <c r="I1446" t="s">
        <v>680</v>
      </c>
      <c r="J1446" t="s">
        <v>203</v>
      </c>
      <c r="K1446" t="s">
        <v>788</v>
      </c>
      <c r="O1446">
        <v>0</v>
      </c>
      <c r="U1446" t="s">
        <v>81</v>
      </c>
    </row>
    <row r="1447" spans="1:21" x14ac:dyDescent="0.25">
      <c r="A1447" s="33">
        <v>1449</v>
      </c>
      <c r="B1447" s="24">
        <v>44218</v>
      </c>
      <c r="C1447" t="s">
        <v>181</v>
      </c>
      <c r="D1447" t="s">
        <v>41</v>
      </c>
      <c r="E1447">
        <v>2000712255</v>
      </c>
      <c r="F1447">
        <v>100</v>
      </c>
      <c r="G1447">
        <v>100</v>
      </c>
      <c r="H1447">
        <v>0</v>
      </c>
      <c r="I1447" t="s">
        <v>680</v>
      </c>
      <c r="J1447" t="s">
        <v>195</v>
      </c>
      <c r="K1447" t="s">
        <v>818</v>
      </c>
      <c r="O1447">
        <v>0</v>
      </c>
      <c r="U1447" t="s">
        <v>81</v>
      </c>
    </row>
    <row r="1448" spans="1:21" ht="45" x14ac:dyDescent="0.25">
      <c r="A1448" s="33">
        <v>1450</v>
      </c>
      <c r="B1448" s="24">
        <v>44218</v>
      </c>
      <c r="C1448" t="s">
        <v>181</v>
      </c>
      <c r="D1448" t="s">
        <v>41</v>
      </c>
      <c r="E1448">
        <v>2000712256</v>
      </c>
      <c r="F1448">
        <v>100</v>
      </c>
      <c r="G1448">
        <v>100</v>
      </c>
      <c r="H1448">
        <v>0</v>
      </c>
      <c r="I1448" t="s">
        <v>680</v>
      </c>
      <c r="J1448" t="s">
        <v>195</v>
      </c>
      <c r="K1448" t="s">
        <v>819</v>
      </c>
      <c r="O1448">
        <v>0</v>
      </c>
      <c r="T1448" s="62" t="s">
        <v>775</v>
      </c>
      <c r="U1448" t="s">
        <v>81</v>
      </c>
    </row>
    <row r="1449" spans="1:21" x14ac:dyDescent="0.25">
      <c r="A1449" s="33">
        <v>1451</v>
      </c>
      <c r="B1449" s="24">
        <v>44218</v>
      </c>
      <c r="C1449" t="s">
        <v>181</v>
      </c>
      <c r="D1449" t="s">
        <v>41</v>
      </c>
      <c r="E1449">
        <v>2000710295</v>
      </c>
      <c r="F1449">
        <v>360</v>
      </c>
      <c r="G1449">
        <v>200</v>
      </c>
      <c r="H1449">
        <v>0</v>
      </c>
      <c r="I1449" t="s">
        <v>680</v>
      </c>
      <c r="J1449" t="s">
        <v>745</v>
      </c>
      <c r="K1449" t="s">
        <v>879</v>
      </c>
      <c r="O1449">
        <v>0</v>
      </c>
      <c r="U1449" t="s">
        <v>81</v>
      </c>
    </row>
    <row r="1450" spans="1:21" x14ac:dyDescent="0.25">
      <c r="A1450" s="33">
        <v>1452</v>
      </c>
      <c r="B1450" s="24">
        <v>44218</v>
      </c>
      <c r="C1450" t="s">
        <v>181</v>
      </c>
      <c r="D1450" t="s">
        <v>41</v>
      </c>
      <c r="E1450">
        <v>2000711833</v>
      </c>
      <c r="F1450">
        <v>7800</v>
      </c>
      <c r="G1450">
        <v>300</v>
      </c>
      <c r="H1450">
        <v>0</v>
      </c>
      <c r="I1450" t="s">
        <v>680</v>
      </c>
      <c r="J1450" t="s">
        <v>200</v>
      </c>
      <c r="K1450" t="s">
        <v>737</v>
      </c>
      <c r="O1450">
        <v>0</v>
      </c>
      <c r="U1450" t="s">
        <v>81</v>
      </c>
    </row>
    <row r="1451" spans="1:21" x14ac:dyDescent="0.25">
      <c r="A1451" s="33">
        <v>1453</v>
      </c>
      <c r="B1451" s="24">
        <v>44218</v>
      </c>
      <c r="C1451" t="s">
        <v>181</v>
      </c>
      <c r="D1451" t="s">
        <v>41</v>
      </c>
      <c r="E1451">
        <v>2000711827</v>
      </c>
      <c r="F1451">
        <v>3600</v>
      </c>
      <c r="G1451">
        <v>200</v>
      </c>
      <c r="H1451">
        <v>0</v>
      </c>
      <c r="I1451" t="s">
        <v>680</v>
      </c>
      <c r="J1451" t="s">
        <v>645</v>
      </c>
      <c r="K1451" t="s">
        <v>659</v>
      </c>
      <c r="O1451">
        <v>0</v>
      </c>
      <c r="U1451" t="s">
        <v>81</v>
      </c>
    </row>
    <row r="1452" spans="1:21" x14ac:dyDescent="0.25">
      <c r="A1452" s="33">
        <v>1454</v>
      </c>
      <c r="B1452" s="24">
        <v>44218</v>
      </c>
      <c r="C1452" t="s">
        <v>181</v>
      </c>
      <c r="D1452" t="s">
        <v>41</v>
      </c>
      <c r="E1452">
        <v>2000712237</v>
      </c>
      <c r="F1452">
        <v>136</v>
      </c>
      <c r="G1452">
        <v>126</v>
      </c>
      <c r="H1452">
        <v>0</v>
      </c>
      <c r="I1452" t="s">
        <v>184</v>
      </c>
      <c r="J1452" t="s">
        <v>745</v>
      </c>
      <c r="K1452" t="s">
        <v>836</v>
      </c>
      <c r="O1452">
        <v>0</v>
      </c>
      <c r="U1452" t="s">
        <v>81</v>
      </c>
    </row>
    <row r="1453" spans="1:21" x14ac:dyDescent="0.25">
      <c r="A1453" s="33">
        <v>1455</v>
      </c>
      <c r="B1453" s="24">
        <v>44218</v>
      </c>
      <c r="C1453" t="s">
        <v>181</v>
      </c>
      <c r="D1453" t="s">
        <v>41</v>
      </c>
      <c r="E1453">
        <v>2000712344</v>
      </c>
      <c r="F1453">
        <v>112</v>
      </c>
      <c r="G1453">
        <v>20</v>
      </c>
      <c r="H1453">
        <v>0</v>
      </c>
      <c r="I1453" t="s">
        <v>184</v>
      </c>
      <c r="J1453" t="s">
        <v>745</v>
      </c>
      <c r="K1453" t="s">
        <v>836</v>
      </c>
      <c r="O1453">
        <v>0</v>
      </c>
      <c r="U1453" t="s">
        <v>81</v>
      </c>
    </row>
    <row r="1454" spans="1:21" x14ac:dyDescent="0.25">
      <c r="A1454" s="33">
        <v>1456</v>
      </c>
      <c r="B1454" s="24">
        <v>44218</v>
      </c>
      <c r="C1454" t="s">
        <v>181</v>
      </c>
      <c r="D1454" t="s">
        <v>41</v>
      </c>
      <c r="E1454">
        <v>2000711002</v>
      </c>
      <c r="F1454">
        <v>1470</v>
      </c>
      <c r="G1454">
        <v>60</v>
      </c>
      <c r="H1454">
        <v>0</v>
      </c>
      <c r="I1454" t="s">
        <v>184</v>
      </c>
      <c r="J1454" t="s">
        <v>169</v>
      </c>
      <c r="K1454" t="s">
        <v>637</v>
      </c>
      <c r="O1454">
        <v>0</v>
      </c>
      <c r="U1454" t="s">
        <v>81</v>
      </c>
    </row>
    <row r="1455" spans="1:21" x14ac:dyDescent="0.25">
      <c r="A1455" s="33">
        <v>1457</v>
      </c>
      <c r="B1455" s="24">
        <v>44218</v>
      </c>
      <c r="C1455" t="s">
        <v>181</v>
      </c>
      <c r="D1455" t="s">
        <v>41</v>
      </c>
      <c r="E1455">
        <v>2000711684</v>
      </c>
      <c r="F1455">
        <v>120</v>
      </c>
      <c r="G1455">
        <v>100</v>
      </c>
      <c r="H1455">
        <v>0</v>
      </c>
      <c r="I1455" t="s">
        <v>696</v>
      </c>
      <c r="J1455" t="s">
        <v>174</v>
      </c>
      <c r="K1455" t="s">
        <v>870</v>
      </c>
      <c r="O1455">
        <v>0</v>
      </c>
      <c r="U1455" t="s">
        <v>81</v>
      </c>
    </row>
    <row r="1456" spans="1:21" x14ac:dyDescent="0.25">
      <c r="A1456" s="33">
        <v>1458</v>
      </c>
      <c r="B1456" s="24">
        <v>44218</v>
      </c>
      <c r="C1456" t="s">
        <v>181</v>
      </c>
      <c r="D1456" t="s">
        <v>41</v>
      </c>
      <c r="E1456">
        <v>2000712049</v>
      </c>
      <c r="F1456">
        <v>40</v>
      </c>
      <c r="G1456">
        <v>40</v>
      </c>
      <c r="H1456">
        <v>0</v>
      </c>
      <c r="I1456" t="s">
        <v>696</v>
      </c>
      <c r="J1456" t="s">
        <v>174</v>
      </c>
      <c r="K1456" t="s">
        <v>763</v>
      </c>
      <c r="O1456">
        <v>0</v>
      </c>
      <c r="U1456" t="s">
        <v>81</v>
      </c>
    </row>
    <row r="1457" spans="1:21" x14ac:dyDescent="0.25">
      <c r="A1457" s="33">
        <v>1459</v>
      </c>
      <c r="B1457" s="24">
        <v>44218</v>
      </c>
      <c r="C1457" t="s">
        <v>181</v>
      </c>
      <c r="D1457" t="s">
        <v>41</v>
      </c>
      <c r="E1457">
        <v>2000712279</v>
      </c>
      <c r="F1457">
        <v>400</v>
      </c>
      <c r="G1457">
        <v>199</v>
      </c>
      <c r="H1457">
        <v>0</v>
      </c>
      <c r="I1457" t="s">
        <v>696</v>
      </c>
      <c r="J1457" t="s">
        <v>174</v>
      </c>
      <c r="K1457" t="s">
        <v>188</v>
      </c>
      <c r="O1457">
        <v>0</v>
      </c>
      <c r="U1457" t="s">
        <v>81</v>
      </c>
    </row>
    <row r="1458" spans="1:21" x14ac:dyDescent="0.25">
      <c r="A1458" s="33">
        <v>1460</v>
      </c>
      <c r="B1458" s="24">
        <v>44218</v>
      </c>
      <c r="C1458" t="s">
        <v>181</v>
      </c>
      <c r="D1458" t="s">
        <v>41</v>
      </c>
      <c r="E1458">
        <v>2000712047</v>
      </c>
      <c r="F1458">
        <v>40</v>
      </c>
      <c r="G1458">
        <v>40</v>
      </c>
      <c r="H1458">
        <v>0</v>
      </c>
      <c r="I1458" t="s">
        <v>696</v>
      </c>
      <c r="J1458" t="s">
        <v>174</v>
      </c>
      <c r="K1458" t="s">
        <v>931</v>
      </c>
      <c r="O1458">
        <v>0</v>
      </c>
      <c r="U1458" t="s">
        <v>81</v>
      </c>
    </row>
    <row r="1459" spans="1:21" x14ac:dyDescent="0.25">
      <c r="A1459" s="33">
        <v>1461</v>
      </c>
      <c r="B1459" s="24">
        <v>44218</v>
      </c>
      <c r="C1459" t="s">
        <v>181</v>
      </c>
      <c r="D1459" t="s">
        <v>41</v>
      </c>
      <c r="E1459">
        <v>2000708983</v>
      </c>
      <c r="F1459">
        <v>280</v>
      </c>
      <c r="G1459">
        <v>1</v>
      </c>
      <c r="H1459">
        <v>0</v>
      </c>
      <c r="I1459" t="s">
        <v>696</v>
      </c>
      <c r="J1459" t="s">
        <v>174</v>
      </c>
      <c r="K1459" t="s">
        <v>763</v>
      </c>
      <c r="O1459">
        <v>0</v>
      </c>
      <c r="U1459" t="s">
        <v>81</v>
      </c>
    </row>
    <row r="1460" spans="1:21" x14ac:dyDescent="0.25">
      <c r="A1460" s="33">
        <v>1462</v>
      </c>
      <c r="B1460" s="24">
        <v>44218</v>
      </c>
      <c r="C1460" t="s">
        <v>181</v>
      </c>
      <c r="D1460" t="s">
        <v>41</v>
      </c>
      <c r="E1460">
        <v>2000709637</v>
      </c>
      <c r="F1460">
        <v>280</v>
      </c>
      <c r="G1460">
        <v>1</v>
      </c>
      <c r="H1460">
        <v>0</v>
      </c>
      <c r="I1460" t="s">
        <v>696</v>
      </c>
      <c r="J1460" t="s">
        <v>174</v>
      </c>
      <c r="K1460" t="s">
        <v>204</v>
      </c>
      <c r="O1460">
        <v>0</v>
      </c>
      <c r="U1460" t="s">
        <v>81</v>
      </c>
    </row>
    <row r="1461" spans="1:21" x14ac:dyDescent="0.25">
      <c r="A1461" s="33">
        <v>1463</v>
      </c>
      <c r="B1461" s="24">
        <v>44218</v>
      </c>
      <c r="C1461" t="s">
        <v>181</v>
      </c>
      <c r="D1461" t="s">
        <v>41</v>
      </c>
      <c r="E1461">
        <v>2000712280</v>
      </c>
      <c r="F1461">
        <v>400</v>
      </c>
      <c r="G1461">
        <v>120</v>
      </c>
      <c r="H1461">
        <v>0</v>
      </c>
      <c r="I1461" t="s">
        <v>696</v>
      </c>
      <c r="J1461" t="s">
        <v>174</v>
      </c>
      <c r="K1461" t="s">
        <v>204</v>
      </c>
      <c r="O1461">
        <v>0</v>
      </c>
      <c r="U1461" t="s">
        <v>81</v>
      </c>
    </row>
    <row r="1462" spans="1:21" x14ac:dyDescent="0.25">
      <c r="A1462" s="33">
        <v>1464</v>
      </c>
      <c r="B1462" s="24">
        <v>44218</v>
      </c>
      <c r="C1462" t="s">
        <v>181</v>
      </c>
      <c r="D1462" t="s">
        <v>41</v>
      </c>
      <c r="E1462">
        <v>2000711002</v>
      </c>
      <c r="F1462">
        <v>1470</v>
      </c>
      <c r="G1462">
        <v>60</v>
      </c>
      <c r="H1462">
        <v>0</v>
      </c>
      <c r="I1462" t="s">
        <v>198</v>
      </c>
      <c r="J1462" t="s">
        <v>169</v>
      </c>
      <c r="K1462" t="s">
        <v>637</v>
      </c>
      <c r="O1462">
        <v>0</v>
      </c>
      <c r="U1462" t="s">
        <v>81</v>
      </c>
    </row>
    <row r="1463" spans="1:21" x14ac:dyDescent="0.25">
      <c r="A1463" s="33">
        <v>1465</v>
      </c>
      <c r="B1463" s="24">
        <v>44218</v>
      </c>
      <c r="C1463" t="s">
        <v>181</v>
      </c>
      <c r="D1463" t="s">
        <v>41</v>
      </c>
      <c r="E1463">
        <v>2000712032</v>
      </c>
      <c r="F1463">
        <v>2260</v>
      </c>
      <c r="G1463">
        <v>120</v>
      </c>
      <c r="H1463">
        <v>0</v>
      </c>
      <c r="I1463" t="s">
        <v>198</v>
      </c>
      <c r="J1463" t="s">
        <v>170</v>
      </c>
      <c r="K1463" t="s">
        <v>899</v>
      </c>
      <c r="O1463">
        <v>0</v>
      </c>
      <c r="U1463" t="s">
        <v>81</v>
      </c>
    </row>
    <row r="1464" spans="1:21" x14ac:dyDescent="0.25">
      <c r="A1464" s="33">
        <v>1466</v>
      </c>
      <c r="B1464" s="24">
        <v>44218</v>
      </c>
      <c r="C1464" t="s">
        <v>181</v>
      </c>
      <c r="D1464" t="s">
        <v>41</v>
      </c>
      <c r="E1464">
        <v>2000707772</v>
      </c>
      <c r="F1464">
        <v>910</v>
      </c>
      <c r="G1464">
        <v>90</v>
      </c>
      <c r="H1464">
        <v>0</v>
      </c>
      <c r="I1464" t="s">
        <v>198</v>
      </c>
      <c r="J1464" t="s">
        <v>170</v>
      </c>
      <c r="K1464" t="s">
        <v>697</v>
      </c>
      <c r="O1464">
        <v>0</v>
      </c>
      <c r="U1464" t="s">
        <v>81</v>
      </c>
    </row>
    <row r="1465" spans="1:21" x14ac:dyDescent="0.25">
      <c r="A1465" s="33">
        <v>1467</v>
      </c>
      <c r="B1465" s="24">
        <v>44218</v>
      </c>
      <c r="C1465" t="s">
        <v>181</v>
      </c>
      <c r="D1465" t="s">
        <v>41</v>
      </c>
      <c r="E1465">
        <v>2000712034</v>
      </c>
      <c r="F1465">
        <v>600</v>
      </c>
      <c r="G1465">
        <v>40</v>
      </c>
      <c r="H1465">
        <v>0</v>
      </c>
      <c r="I1465" t="s">
        <v>198</v>
      </c>
      <c r="J1465" t="s">
        <v>687</v>
      </c>
      <c r="K1465" t="s">
        <v>757</v>
      </c>
      <c r="O1465">
        <v>0</v>
      </c>
      <c r="U1465" t="s">
        <v>81</v>
      </c>
    </row>
    <row r="1466" spans="1:21" x14ac:dyDescent="0.25">
      <c r="A1466" s="33">
        <v>1468</v>
      </c>
      <c r="B1466" s="24">
        <v>44218</v>
      </c>
      <c r="C1466" t="s">
        <v>181</v>
      </c>
      <c r="D1466" t="s">
        <v>41</v>
      </c>
      <c r="E1466">
        <v>2000712033</v>
      </c>
      <c r="F1466">
        <v>360</v>
      </c>
      <c r="G1466">
        <v>80</v>
      </c>
      <c r="H1466">
        <v>0</v>
      </c>
      <c r="I1466" t="s">
        <v>198</v>
      </c>
      <c r="J1466" t="s">
        <v>687</v>
      </c>
      <c r="K1466" t="s">
        <v>898</v>
      </c>
      <c r="O1466">
        <v>0</v>
      </c>
      <c r="U1466" t="s">
        <v>81</v>
      </c>
    </row>
    <row r="1467" spans="1:21" x14ac:dyDescent="0.25">
      <c r="A1467" s="33">
        <v>1469</v>
      </c>
      <c r="B1467" s="24">
        <v>44218</v>
      </c>
      <c r="C1467" t="s">
        <v>181</v>
      </c>
      <c r="D1467" t="s">
        <v>41</v>
      </c>
      <c r="E1467">
        <v>2000711726</v>
      </c>
      <c r="F1467">
        <v>600</v>
      </c>
      <c r="G1467">
        <v>80</v>
      </c>
      <c r="H1467">
        <v>0</v>
      </c>
      <c r="I1467" t="s">
        <v>198</v>
      </c>
      <c r="J1467" t="s">
        <v>175</v>
      </c>
      <c r="K1467" t="s">
        <v>758</v>
      </c>
      <c r="O1467">
        <v>0</v>
      </c>
      <c r="U1467" t="s">
        <v>81</v>
      </c>
    </row>
    <row r="1468" spans="1:21" x14ac:dyDescent="0.25">
      <c r="A1468" s="33">
        <v>1470</v>
      </c>
      <c r="B1468" s="24">
        <v>44218</v>
      </c>
      <c r="C1468" t="s">
        <v>181</v>
      </c>
      <c r="D1468" t="s">
        <v>41</v>
      </c>
      <c r="E1468">
        <v>2000711770</v>
      </c>
      <c r="F1468">
        <v>1110</v>
      </c>
      <c r="G1468">
        <v>80</v>
      </c>
      <c r="H1468">
        <v>0</v>
      </c>
      <c r="I1468" t="s">
        <v>198</v>
      </c>
      <c r="J1468" t="s">
        <v>645</v>
      </c>
      <c r="K1468" t="s">
        <v>790</v>
      </c>
      <c r="O1468">
        <v>0</v>
      </c>
      <c r="U1468" t="s">
        <v>81</v>
      </c>
    </row>
    <row r="1469" spans="1:21" x14ac:dyDescent="0.25">
      <c r="A1469" s="33">
        <v>1471</v>
      </c>
      <c r="B1469" s="24">
        <v>44218</v>
      </c>
      <c r="C1469" t="s">
        <v>181</v>
      </c>
      <c r="D1469" t="s">
        <v>41</v>
      </c>
      <c r="E1469">
        <v>2000712281</v>
      </c>
      <c r="F1469">
        <v>2864</v>
      </c>
      <c r="G1469">
        <v>160</v>
      </c>
      <c r="H1469">
        <v>0</v>
      </c>
      <c r="I1469" t="s">
        <v>198</v>
      </c>
      <c r="J1469" t="s">
        <v>200</v>
      </c>
      <c r="K1469" t="s">
        <v>653</v>
      </c>
      <c r="O1469">
        <v>0</v>
      </c>
      <c r="U1469" t="s">
        <v>81</v>
      </c>
    </row>
    <row r="1470" spans="1:21" x14ac:dyDescent="0.25">
      <c r="A1470" s="33">
        <v>1472</v>
      </c>
      <c r="B1470" s="24">
        <v>44218</v>
      </c>
      <c r="C1470" t="s">
        <v>181</v>
      </c>
      <c r="D1470" t="s">
        <v>41</v>
      </c>
      <c r="E1470">
        <v>2000711814</v>
      </c>
      <c r="F1470">
        <v>1200</v>
      </c>
      <c r="G1470">
        <v>80</v>
      </c>
      <c r="H1470">
        <v>0</v>
      </c>
      <c r="I1470" t="s">
        <v>198</v>
      </c>
      <c r="J1470" t="s">
        <v>172</v>
      </c>
      <c r="K1470" t="s">
        <v>173</v>
      </c>
      <c r="O1470">
        <v>0</v>
      </c>
      <c r="U1470" t="s">
        <v>81</v>
      </c>
    </row>
    <row r="1471" spans="1:21" x14ac:dyDescent="0.25">
      <c r="A1471" s="33">
        <v>1473</v>
      </c>
      <c r="B1471" s="24">
        <v>44218</v>
      </c>
      <c r="C1471" t="s">
        <v>181</v>
      </c>
      <c r="D1471" t="s">
        <v>41</v>
      </c>
      <c r="E1471">
        <v>2000712032</v>
      </c>
      <c r="F1471">
        <v>2260</v>
      </c>
      <c r="G1471">
        <v>540</v>
      </c>
      <c r="H1471">
        <v>0</v>
      </c>
      <c r="I1471" t="s">
        <v>693</v>
      </c>
      <c r="J1471" t="s">
        <v>170</v>
      </c>
      <c r="K1471" t="s">
        <v>899</v>
      </c>
      <c r="O1471">
        <v>0</v>
      </c>
      <c r="U1471" t="s">
        <v>81</v>
      </c>
    </row>
    <row r="1472" spans="1:21" x14ac:dyDescent="0.25">
      <c r="A1472" s="33">
        <v>1474</v>
      </c>
      <c r="B1472" s="24">
        <v>44218</v>
      </c>
      <c r="C1472" t="s">
        <v>181</v>
      </c>
      <c r="D1472" t="s">
        <v>41</v>
      </c>
      <c r="E1472">
        <v>2000712032</v>
      </c>
      <c r="F1472">
        <v>2260</v>
      </c>
      <c r="G1472">
        <v>225</v>
      </c>
      <c r="H1472">
        <v>0</v>
      </c>
      <c r="I1472" t="s">
        <v>706</v>
      </c>
      <c r="J1472" t="s">
        <v>170</v>
      </c>
      <c r="K1472" t="s">
        <v>899</v>
      </c>
      <c r="O1472">
        <v>0</v>
      </c>
      <c r="U1472" t="s">
        <v>81</v>
      </c>
    </row>
    <row r="1473" spans="1:21" x14ac:dyDescent="0.25">
      <c r="A1473" s="33">
        <v>1475</v>
      </c>
      <c r="B1473" s="24">
        <v>44218</v>
      </c>
      <c r="C1473" t="s">
        <v>181</v>
      </c>
      <c r="D1473" t="s">
        <v>41</v>
      </c>
      <c r="E1473">
        <v>2000712032</v>
      </c>
      <c r="F1473">
        <v>2260</v>
      </c>
      <c r="G1473">
        <v>270</v>
      </c>
      <c r="H1473">
        <v>0</v>
      </c>
      <c r="I1473" t="s">
        <v>759</v>
      </c>
      <c r="J1473" t="s">
        <v>170</v>
      </c>
      <c r="K1473" t="s">
        <v>899</v>
      </c>
      <c r="O1473">
        <v>0</v>
      </c>
      <c r="U1473" t="s">
        <v>81</v>
      </c>
    </row>
    <row r="1474" spans="1:21" x14ac:dyDescent="0.25">
      <c r="A1474" s="33">
        <v>1476</v>
      </c>
      <c r="B1474" s="24">
        <v>44218</v>
      </c>
      <c r="C1474" t="s">
        <v>181</v>
      </c>
      <c r="D1474" t="s">
        <v>41</v>
      </c>
      <c r="E1474">
        <v>2000707772</v>
      </c>
      <c r="F1474">
        <v>910</v>
      </c>
      <c r="G1474">
        <v>41</v>
      </c>
      <c r="H1474">
        <v>0</v>
      </c>
      <c r="I1474" t="s">
        <v>759</v>
      </c>
      <c r="J1474" t="s">
        <v>170</v>
      </c>
      <c r="K1474" t="s">
        <v>697</v>
      </c>
      <c r="O1474">
        <v>0</v>
      </c>
      <c r="U1474" t="s">
        <v>81</v>
      </c>
    </row>
    <row r="1475" spans="1:21" ht="30" x14ac:dyDescent="0.25">
      <c r="A1475" s="33">
        <v>1477</v>
      </c>
      <c r="B1475" s="24">
        <v>44218</v>
      </c>
      <c r="C1475" t="s">
        <v>181</v>
      </c>
      <c r="D1475" t="s">
        <v>51</v>
      </c>
      <c r="E1475">
        <v>2000711966</v>
      </c>
      <c r="F1475">
        <v>660</v>
      </c>
      <c r="G1475">
        <v>180</v>
      </c>
      <c r="H1475">
        <v>0</v>
      </c>
      <c r="I1475" t="s">
        <v>706</v>
      </c>
      <c r="J1475" t="s">
        <v>667</v>
      </c>
      <c r="K1475" t="s">
        <v>668</v>
      </c>
      <c r="O1475">
        <v>0</v>
      </c>
      <c r="T1475" s="62" t="s">
        <v>723</v>
      </c>
      <c r="U1475" t="s">
        <v>81</v>
      </c>
    </row>
    <row r="1476" spans="1:21" x14ac:dyDescent="0.25">
      <c r="A1476" s="33">
        <v>1478</v>
      </c>
      <c r="B1476" s="24">
        <v>44218</v>
      </c>
      <c r="C1476" t="s">
        <v>181</v>
      </c>
      <c r="D1476" t="s">
        <v>51</v>
      </c>
      <c r="E1476">
        <v>2000711660</v>
      </c>
      <c r="F1476">
        <v>945</v>
      </c>
      <c r="G1476">
        <v>100</v>
      </c>
      <c r="H1476">
        <v>0</v>
      </c>
      <c r="I1476" t="s">
        <v>706</v>
      </c>
      <c r="J1476" t="s">
        <v>673</v>
      </c>
      <c r="K1476" t="s">
        <v>674</v>
      </c>
      <c r="O1476">
        <v>0</v>
      </c>
      <c r="U1476" t="s">
        <v>81</v>
      </c>
    </row>
    <row r="1477" spans="1:21" x14ac:dyDescent="0.25">
      <c r="A1477" s="33">
        <v>1479</v>
      </c>
      <c r="B1477" s="24">
        <v>44218</v>
      </c>
      <c r="C1477" t="s">
        <v>181</v>
      </c>
      <c r="D1477" t="s">
        <v>51</v>
      </c>
      <c r="E1477">
        <v>2000711661</v>
      </c>
      <c r="F1477">
        <v>350</v>
      </c>
      <c r="G1477">
        <v>200</v>
      </c>
      <c r="H1477">
        <v>0</v>
      </c>
      <c r="I1477" t="s">
        <v>706</v>
      </c>
      <c r="J1477" t="s">
        <v>669</v>
      </c>
      <c r="K1477" t="s">
        <v>670</v>
      </c>
      <c r="O1477">
        <v>0</v>
      </c>
      <c r="U1477" t="s">
        <v>81</v>
      </c>
    </row>
    <row r="1478" spans="1:21" x14ac:dyDescent="0.25">
      <c r="A1478" s="33">
        <v>1480</v>
      </c>
      <c r="B1478" s="24">
        <v>44218</v>
      </c>
      <c r="C1478" t="s">
        <v>181</v>
      </c>
      <c r="D1478" t="s">
        <v>51</v>
      </c>
      <c r="E1478">
        <v>2000711659</v>
      </c>
      <c r="F1478">
        <v>50</v>
      </c>
      <c r="G1478">
        <v>40</v>
      </c>
      <c r="H1478">
        <v>0</v>
      </c>
      <c r="I1478" t="s">
        <v>706</v>
      </c>
      <c r="J1478" t="s">
        <v>669</v>
      </c>
      <c r="K1478" t="s">
        <v>744</v>
      </c>
      <c r="O1478">
        <v>0</v>
      </c>
      <c r="U1478" t="s">
        <v>81</v>
      </c>
    </row>
    <row r="1479" spans="1:21" ht="30" x14ac:dyDescent="0.25">
      <c r="A1479" s="33">
        <v>1481</v>
      </c>
      <c r="B1479" s="24">
        <v>44218</v>
      </c>
      <c r="C1479" t="s">
        <v>181</v>
      </c>
      <c r="D1479" t="s">
        <v>51</v>
      </c>
      <c r="E1479">
        <v>2000711662</v>
      </c>
      <c r="F1479">
        <v>650</v>
      </c>
      <c r="G1479">
        <v>105</v>
      </c>
      <c r="H1479">
        <v>0</v>
      </c>
      <c r="I1479" t="s">
        <v>706</v>
      </c>
      <c r="J1479" t="s">
        <v>667</v>
      </c>
      <c r="K1479" t="s">
        <v>671</v>
      </c>
      <c r="O1479">
        <v>0</v>
      </c>
      <c r="T1479" s="62" t="s">
        <v>723</v>
      </c>
      <c r="U1479" t="s">
        <v>81</v>
      </c>
    </row>
    <row r="1480" spans="1:21" ht="30" x14ac:dyDescent="0.25">
      <c r="A1480" s="33">
        <v>1482</v>
      </c>
      <c r="B1480" s="24">
        <v>44218</v>
      </c>
      <c r="C1480" t="s">
        <v>181</v>
      </c>
      <c r="D1480" t="s">
        <v>51</v>
      </c>
      <c r="E1480">
        <v>2000711967</v>
      </c>
      <c r="F1480">
        <v>750</v>
      </c>
      <c r="G1480">
        <v>140</v>
      </c>
      <c r="H1480">
        <v>0</v>
      </c>
      <c r="I1480" t="s">
        <v>706</v>
      </c>
      <c r="J1480" t="s">
        <v>667</v>
      </c>
      <c r="K1480" t="s">
        <v>671</v>
      </c>
      <c r="O1480">
        <v>0</v>
      </c>
      <c r="T1480" s="62" t="s">
        <v>723</v>
      </c>
      <c r="U1480" t="s">
        <v>81</v>
      </c>
    </row>
    <row r="1481" spans="1:21" x14ac:dyDescent="0.25">
      <c r="A1481" s="33">
        <v>1483</v>
      </c>
      <c r="B1481" s="24">
        <v>44218</v>
      </c>
      <c r="C1481" t="s">
        <v>181</v>
      </c>
      <c r="D1481" t="s">
        <v>51</v>
      </c>
      <c r="E1481">
        <v>2000711670</v>
      </c>
      <c r="F1481">
        <v>62</v>
      </c>
      <c r="G1481">
        <v>30</v>
      </c>
      <c r="H1481">
        <v>0</v>
      </c>
      <c r="I1481" t="s">
        <v>706</v>
      </c>
      <c r="J1481" t="s">
        <v>669</v>
      </c>
      <c r="K1481" t="s">
        <v>881</v>
      </c>
      <c r="O1481">
        <v>0</v>
      </c>
      <c r="U1481" t="s">
        <v>81</v>
      </c>
    </row>
    <row r="1482" spans="1:21" x14ac:dyDescent="0.25">
      <c r="A1482" s="33">
        <v>1484</v>
      </c>
      <c r="B1482" s="24">
        <v>44219</v>
      </c>
      <c r="C1482" t="s">
        <v>39</v>
      </c>
      <c r="D1482" t="s">
        <v>41</v>
      </c>
      <c r="E1482">
        <v>2000711804</v>
      </c>
      <c r="F1482">
        <v>2400</v>
      </c>
      <c r="G1482">
        <v>40</v>
      </c>
      <c r="H1482">
        <v>0</v>
      </c>
      <c r="I1482" t="s">
        <v>642</v>
      </c>
      <c r="J1482" t="s">
        <v>645</v>
      </c>
      <c r="K1482" t="s">
        <v>721</v>
      </c>
      <c r="O1482">
        <v>0</v>
      </c>
      <c r="U1482" t="s">
        <v>81</v>
      </c>
    </row>
    <row r="1483" spans="1:21" x14ac:dyDescent="0.25">
      <c r="A1483" s="33">
        <v>1485</v>
      </c>
      <c r="B1483" s="24">
        <v>44219</v>
      </c>
      <c r="C1483" t="s">
        <v>39</v>
      </c>
      <c r="D1483" t="s">
        <v>41</v>
      </c>
      <c r="E1483">
        <v>2000711727</v>
      </c>
      <c r="F1483">
        <v>540</v>
      </c>
      <c r="G1483">
        <v>100</v>
      </c>
      <c r="H1483">
        <v>0</v>
      </c>
      <c r="I1483" t="s">
        <v>642</v>
      </c>
      <c r="J1483" t="s">
        <v>761</v>
      </c>
      <c r="K1483" t="s">
        <v>734</v>
      </c>
      <c r="O1483">
        <v>0</v>
      </c>
      <c r="U1483" t="s">
        <v>81</v>
      </c>
    </row>
    <row r="1484" spans="1:21" x14ac:dyDescent="0.25">
      <c r="A1484" s="33">
        <v>1486</v>
      </c>
      <c r="B1484" s="24">
        <v>44219</v>
      </c>
      <c r="C1484" t="s">
        <v>39</v>
      </c>
      <c r="D1484" t="s">
        <v>41</v>
      </c>
      <c r="E1484">
        <v>2000712239</v>
      </c>
      <c r="F1484">
        <v>3800</v>
      </c>
      <c r="G1484">
        <v>180</v>
      </c>
      <c r="H1484">
        <v>0</v>
      </c>
      <c r="I1484" t="s">
        <v>642</v>
      </c>
      <c r="J1484" t="s">
        <v>172</v>
      </c>
      <c r="K1484" t="s">
        <v>173</v>
      </c>
      <c r="O1484">
        <v>0</v>
      </c>
      <c r="U1484" t="s">
        <v>81</v>
      </c>
    </row>
    <row r="1485" spans="1:21" x14ac:dyDescent="0.25">
      <c r="A1485" s="33">
        <v>1487</v>
      </c>
      <c r="B1485" s="24">
        <v>44219</v>
      </c>
      <c r="C1485" t="s">
        <v>39</v>
      </c>
      <c r="D1485" t="s">
        <v>41</v>
      </c>
      <c r="E1485">
        <v>2000712334</v>
      </c>
      <c r="F1485">
        <v>520</v>
      </c>
      <c r="G1485">
        <v>100</v>
      </c>
      <c r="H1485">
        <v>0</v>
      </c>
      <c r="I1485" t="s">
        <v>642</v>
      </c>
      <c r="J1485" t="s">
        <v>645</v>
      </c>
      <c r="K1485" t="s">
        <v>690</v>
      </c>
      <c r="O1485">
        <v>0</v>
      </c>
      <c r="U1485" t="s">
        <v>81</v>
      </c>
    </row>
    <row r="1486" spans="1:21" x14ac:dyDescent="0.25">
      <c r="A1486" s="33">
        <v>1488</v>
      </c>
      <c r="B1486" s="24">
        <v>44219</v>
      </c>
      <c r="C1486" t="s">
        <v>39</v>
      </c>
      <c r="D1486" t="s">
        <v>41</v>
      </c>
      <c r="E1486">
        <v>2000712280</v>
      </c>
      <c r="F1486">
        <v>400</v>
      </c>
      <c r="G1486">
        <v>79</v>
      </c>
      <c r="H1486">
        <v>0</v>
      </c>
      <c r="I1486" t="s">
        <v>180</v>
      </c>
      <c r="J1486" t="s">
        <v>174</v>
      </c>
      <c r="K1486" t="s">
        <v>204</v>
      </c>
      <c r="O1486">
        <v>0</v>
      </c>
      <c r="U1486" t="s">
        <v>81</v>
      </c>
    </row>
    <row r="1487" spans="1:21" x14ac:dyDescent="0.25">
      <c r="A1487" s="33">
        <v>1489</v>
      </c>
      <c r="B1487" s="24">
        <v>44219</v>
      </c>
      <c r="C1487" t="s">
        <v>39</v>
      </c>
      <c r="D1487" t="s">
        <v>41</v>
      </c>
      <c r="E1487">
        <v>2000712048</v>
      </c>
      <c r="F1487">
        <v>320</v>
      </c>
      <c r="G1487">
        <v>240</v>
      </c>
      <c r="H1487">
        <v>0</v>
      </c>
      <c r="I1487" t="s">
        <v>180</v>
      </c>
      <c r="J1487" t="s">
        <v>174</v>
      </c>
      <c r="K1487" t="s">
        <v>932</v>
      </c>
      <c r="O1487">
        <v>0</v>
      </c>
      <c r="U1487" t="s">
        <v>81</v>
      </c>
    </row>
    <row r="1488" spans="1:21" x14ac:dyDescent="0.25">
      <c r="A1488" s="33">
        <v>1490</v>
      </c>
      <c r="B1488" s="24">
        <v>44219</v>
      </c>
      <c r="C1488" t="s">
        <v>39</v>
      </c>
      <c r="D1488" t="s">
        <v>41</v>
      </c>
      <c r="E1488">
        <v>2000712032</v>
      </c>
      <c r="F1488">
        <v>2260</v>
      </c>
      <c r="G1488">
        <v>45</v>
      </c>
      <c r="H1488">
        <v>1</v>
      </c>
      <c r="I1488" t="s">
        <v>180</v>
      </c>
      <c r="J1488" t="s">
        <v>170</v>
      </c>
      <c r="K1488" t="s">
        <v>899</v>
      </c>
      <c r="L1488" t="s">
        <v>107</v>
      </c>
      <c r="N1488" t="s">
        <v>933</v>
      </c>
      <c r="O1488">
        <v>1</v>
      </c>
      <c r="P1488" t="s">
        <v>934</v>
      </c>
      <c r="Q1488" t="s">
        <v>935</v>
      </c>
      <c r="R1488">
        <v>6840008734</v>
      </c>
      <c r="S1488" s="36">
        <v>0.79166666666666663</v>
      </c>
      <c r="U1488" t="s">
        <v>81</v>
      </c>
    </row>
    <row r="1489" spans="1:21" x14ac:dyDescent="0.25">
      <c r="A1489" s="33">
        <v>1491</v>
      </c>
      <c r="B1489" s="24">
        <v>44219</v>
      </c>
      <c r="C1489" t="s">
        <v>39</v>
      </c>
      <c r="D1489" t="s">
        <v>41</v>
      </c>
      <c r="E1489">
        <v>2000711854</v>
      </c>
      <c r="F1489">
        <v>1808</v>
      </c>
      <c r="G1489">
        <v>50</v>
      </c>
      <c r="H1489">
        <v>0</v>
      </c>
      <c r="I1489" t="s">
        <v>180</v>
      </c>
      <c r="J1489" t="s">
        <v>203</v>
      </c>
      <c r="K1489" t="s">
        <v>788</v>
      </c>
      <c r="O1489">
        <v>0</v>
      </c>
      <c r="U1489" t="s">
        <v>81</v>
      </c>
    </row>
    <row r="1490" spans="1:21" x14ac:dyDescent="0.25">
      <c r="A1490" s="33">
        <v>1492</v>
      </c>
      <c r="B1490" s="24">
        <v>44219</v>
      </c>
      <c r="C1490" t="s">
        <v>39</v>
      </c>
      <c r="D1490" t="s">
        <v>41</v>
      </c>
      <c r="E1490">
        <v>2000711458</v>
      </c>
      <c r="F1490">
        <v>1987</v>
      </c>
      <c r="G1490">
        <v>987</v>
      </c>
      <c r="H1490">
        <v>0</v>
      </c>
      <c r="I1490" t="s">
        <v>666</v>
      </c>
      <c r="J1490" t="s">
        <v>745</v>
      </c>
      <c r="K1490" t="s">
        <v>849</v>
      </c>
      <c r="O1490">
        <v>0</v>
      </c>
      <c r="U1490" t="s">
        <v>81</v>
      </c>
    </row>
    <row r="1491" spans="1:21" x14ac:dyDescent="0.25">
      <c r="A1491" s="33">
        <v>1493</v>
      </c>
      <c r="B1491" s="24">
        <v>44219</v>
      </c>
      <c r="C1491" t="s">
        <v>39</v>
      </c>
      <c r="D1491" t="s">
        <v>41</v>
      </c>
      <c r="E1491">
        <v>2000711854</v>
      </c>
      <c r="F1491">
        <v>1808</v>
      </c>
      <c r="G1491">
        <v>50</v>
      </c>
      <c r="H1491">
        <v>0</v>
      </c>
      <c r="I1491" t="s">
        <v>666</v>
      </c>
      <c r="J1491" t="s">
        <v>203</v>
      </c>
      <c r="K1491" t="s">
        <v>788</v>
      </c>
      <c r="O1491">
        <v>0</v>
      </c>
      <c r="U1491" t="s">
        <v>81</v>
      </c>
    </row>
    <row r="1492" spans="1:21" x14ac:dyDescent="0.25">
      <c r="A1492" s="33">
        <v>1494</v>
      </c>
      <c r="B1492" s="24">
        <v>44219</v>
      </c>
      <c r="C1492" t="s">
        <v>39</v>
      </c>
      <c r="D1492" t="s">
        <v>41</v>
      </c>
      <c r="E1492">
        <v>2000712031</v>
      </c>
      <c r="F1492">
        <v>2206</v>
      </c>
      <c r="G1492">
        <v>60</v>
      </c>
      <c r="H1492">
        <v>0</v>
      </c>
      <c r="I1492" t="s">
        <v>191</v>
      </c>
      <c r="J1492" t="s">
        <v>174</v>
      </c>
      <c r="K1492" t="s">
        <v>774</v>
      </c>
      <c r="O1492">
        <v>0</v>
      </c>
      <c r="U1492" t="s">
        <v>81</v>
      </c>
    </row>
    <row r="1493" spans="1:21" x14ac:dyDescent="0.25">
      <c r="A1493" s="33">
        <v>1495</v>
      </c>
      <c r="B1493" s="24">
        <v>44219</v>
      </c>
      <c r="C1493" t="s">
        <v>39</v>
      </c>
      <c r="D1493" t="s">
        <v>41</v>
      </c>
      <c r="E1493">
        <v>2000711234</v>
      </c>
      <c r="F1493">
        <v>5592</v>
      </c>
      <c r="G1493">
        <v>1260</v>
      </c>
      <c r="H1493">
        <v>0</v>
      </c>
      <c r="I1493" t="s">
        <v>201</v>
      </c>
      <c r="J1493" t="s">
        <v>525</v>
      </c>
      <c r="K1493" t="s">
        <v>876</v>
      </c>
      <c r="O1493">
        <v>0</v>
      </c>
      <c r="U1493" t="s">
        <v>81</v>
      </c>
    </row>
    <row r="1494" spans="1:21" x14ac:dyDescent="0.25">
      <c r="A1494" s="33">
        <v>1496</v>
      </c>
      <c r="B1494" s="24">
        <v>44219</v>
      </c>
      <c r="C1494" t="s">
        <v>39</v>
      </c>
      <c r="D1494" t="s">
        <v>41</v>
      </c>
      <c r="E1494">
        <v>2000709832</v>
      </c>
      <c r="F1494">
        <v>1920</v>
      </c>
      <c r="G1494">
        <v>240</v>
      </c>
      <c r="H1494">
        <v>0</v>
      </c>
      <c r="I1494" t="s">
        <v>201</v>
      </c>
      <c r="J1494" t="s">
        <v>203</v>
      </c>
      <c r="K1494" t="s">
        <v>640</v>
      </c>
      <c r="O1494">
        <v>0</v>
      </c>
      <c r="U1494" t="s">
        <v>81</v>
      </c>
    </row>
    <row r="1495" spans="1:21" x14ac:dyDescent="0.25">
      <c r="A1495" s="33">
        <v>1497</v>
      </c>
      <c r="B1495" s="24">
        <v>44219</v>
      </c>
      <c r="C1495" t="s">
        <v>39</v>
      </c>
      <c r="D1495" t="s">
        <v>41</v>
      </c>
      <c r="E1495">
        <v>2000712247</v>
      </c>
      <c r="F1495">
        <v>1808</v>
      </c>
      <c r="G1495">
        <v>200</v>
      </c>
      <c r="H1495">
        <v>0</v>
      </c>
      <c r="I1495" t="s">
        <v>201</v>
      </c>
      <c r="J1495" t="s">
        <v>202</v>
      </c>
      <c r="K1495" t="s">
        <v>858</v>
      </c>
      <c r="O1495">
        <v>0</v>
      </c>
      <c r="U1495" t="s">
        <v>81</v>
      </c>
    </row>
    <row r="1496" spans="1:21" x14ac:dyDescent="0.25">
      <c r="A1496" s="33">
        <v>1498</v>
      </c>
      <c r="B1496" s="24">
        <v>44219</v>
      </c>
      <c r="C1496" t="s">
        <v>39</v>
      </c>
      <c r="D1496" t="s">
        <v>41</v>
      </c>
      <c r="E1496">
        <v>2000711378</v>
      </c>
      <c r="F1496">
        <v>2000</v>
      </c>
      <c r="G1496">
        <v>150</v>
      </c>
      <c r="H1496">
        <v>0</v>
      </c>
      <c r="I1496" t="s">
        <v>201</v>
      </c>
      <c r="J1496" t="s">
        <v>193</v>
      </c>
      <c r="K1496" t="s">
        <v>683</v>
      </c>
      <c r="O1496">
        <v>0</v>
      </c>
      <c r="U1496" t="s">
        <v>81</v>
      </c>
    </row>
    <row r="1497" spans="1:21" x14ac:dyDescent="0.25">
      <c r="A1497" s="33">
        <v>1499</v>
      </c>
      <c r="B1497" s="24">
        <v>44219</v>
      </c>
      <c r="C1497" t="s">
        <v>39</v>
      </c>
      <c r="D1497" t="s">
        <v>41</v>
      </c>
      <c r="E1497">
        <v>2000711863</v>
      </c>
      <c r="F1497">
        <v>2000</v>
      </c>
      <c r="G1497">
        <v>160</v>
      </c>
      <c r="H1497">
        <v>0</v>
      </c>
      <c r="I1497" t="s">
        <v>201</v>
      </c>
      <c r="J1497" t="s">
        <v>193</v>
      </c>
      <c r="K1497" t="s">
        <v>650</v>
      </c>
      <c r="O1497">
        <v>0</v>
      </c>
      <c r="U1497" t="s">
        <v>81</v>
      </c>
    </row>
    <row r="1498" spans="1:21" x14ac:dyDescent="0.25">
      <c r="A1498" s="33">
        <v>1500</v>
      </c>
      <c r="B1498" s="24">
        <v>44219</v>
      </c>
      <c r="C1498" t="s">
        <v>39</v>
      </c>
      <c r="D1498" t="s">
        <v>41</v>
      </c>
      <c r="E1498">
        <v>2000712350</v>
      </c>
      <c r="F1498">
        <v>640</v>
      </c>
      <c r="G1498">
        <v>160</v>
      </c>
      <c r="H1498">
        <v>0</v>
      </c>
      <c r="I1498" t="s">
        <v>201</v>
      </c>
      <c r="J1498" t="s">
        <v>745</v>
      </c>
      <c r="K1498" t="s">
        <v>879</v>
      </c>
      <c r="O1498">
        <v>0</v>
      </c>
      <c r="U1498" t="s">
        <v>81</v>
      </c>
    </row>
    <row r="1499" spans="1:21" x14ac:dyDescent="0.25">
      <c r="A1499" s="33">
        <v>1501</v>
      </c>
      <c r="B1499" s="24">
        <v>44219</v>
      </c>
      <c r="C1499" t="s">
        <v>39</v>
      </c>
      <c r="D1499" t="s">
        <v>41</v>
      </c>
      <c r="E1499">
        <v>2000712031</v>
      </c>
      <c r="F1499">
        <v>2206</v>
      </c>
      <c r="G1499">
        <v>165</v>
      </c>
      <c r="H1499">
        <v>0</v>
      </c>
      <c r="I1499" t="s">
        <v>194</v>
      </c>
      <c r="J1499" t="s">
        <v>174</v>
      </c>
      <c r="K1499" t="s">
        <v>774</v>
      </c>
      <c r="O1499">
        <v>0</v>
      </c>
      <c r="U1499" t="s">
        <v>81</v>
      </c>
    </row>
    <row r="1500" spans="1:21" ht="30" x14ac:dyDescent="0.25">
      <c r="A1500" s="33">
        <v>1502</v>
      </c>
      <c r="B1500" s="24">
        <v>44219</v>
      </c>
      <c r="C1500" t="s">
        <v>39</v>
      </c>
      <c r="D1500" t="s">
        <v>41</v>
      </c>
      <c r="E1500">
        <v>2000712182</v>
      </c>
      <c r="F1500">
        <v>1600</v>
      </c>
      <c r="G1500">
        <v>60</v>
      </c>
      <c r="H1500">
        <v>0</v>
      </c>
      <c r="I1500" t="s">
        <v>194</v>
      </c>
      <c r="J1500" t="s">
        <v>169</v>
      </c>
      <c r="K1500" t="s">
        <v>179</v>
      </c>
      <c r="O1500">
        <v>0</v>
      </c>
      <c r="T1500" s="62" t="s">
        <v>723</v>
      </c>
      <c r="U1500" t="s">
        <v>81</v>
      </c>
    </row>
    <row r="1501" spans="1:21" x14ac:dyDescent="0.25">
      <c r="A1501" s="33">
        <v>1503</v>
      </c>
      <c r="B1501" s="24">
        <v>44219</v>
      </c>
      <c r="C1501" t="s">
        <v>39</v>
      </c>
      <c r="D1501" t="s">
        <v>41</v>
      </c>
      <c r="E1501">
        <v>2000712359</v>
      </c>
      <c r="F1501">
        <v>1800</v>
      </c>
      <c r="G1501">
        <v>40</v>
      </c>
      <c r="H1501">
        <v>0</v>
      </c>
      <c r="I1501" t="s">
        <v>194</v>
      </c>
      <c r="J1501" t="s">
        <v>687</v>
      </c>
      <c r="K1501" t="s">
        <v>757</v>
      </c>
      <c r="O1501">
        <v>0</v>
      </c>
      <c r="U1501" t="s">
        <v>81</v>
      </c>
    </row>
    <row r="1502" spans="1:21" x14ac:dyDescent="0.25">
      <c r="A1502" s="33">
        <v>1504</v>
      </c>
      <c r="B1502" s="24">
        <v>44219</v>
      </c>
      <c r="C1502" t="s">
        <v>39</v>
      </c>
      <c r="D1502" t="s">
        <v>41</v>
      </c>
      <c r="E1502">
        <v>2000712035</v>
      </c>
      <c r="F1502">
        <v>1500</v>
      </c>
      <c r="G1502">
        <v>120</v>
      </c>
      <c r="H1502">
        <v>0</v>
      </c>
      <c r="I1502" t="s">
        <v>194</v>
      </c>
      <c r="J1502" t="s">
        <v>687</v>
      </c>
      <c r="K1502" t="s">
        <v>688</v>
      </c>
      <c r="O1502">
        <v>0</v>
      </c>
      <c r="U1502" t="s">
        <v>81</v>
      </c>
    </row>
    <row r="1503" spans="1:21" x14ac:dyDescent="0.25">
      <c r="A1503" s="33">
        <v>1505</v>
      </c>
      <c r="B1503" s="24">
        <v>44219</v>
      </c>
      <c r="C1503" t="s">
        <v>39</v>
      </c>
      <c r="D1503" t="s">
        <v>41</v>
      </c>
      <c r="E1503">
        <v>2000711362</v>
      </c>
      <c r="F1503">
        <v>720</v>
      </c>
      <c r="G1503">
        <v>225</v>
      </c>
      <c r="H1503">
        <v>0</v>
      </c>
      <c r="I1503" t="s">
        <v>194</v>
      </c>
      <c r="J1503" t="s">
        <v>698</v>
      </c>
      <c r="K1503" t="s">
        <v>786</v>
      </c>
      <c r="O1503">
        <v>0</v>
      </c>
      <c r="U1503" t="s">
        <v>81</v>
      </c>
    </row>
    <row r="1504" spans="1:21" x14ac:dyDescent="0.25">
      <c r="A1504" s="33">
        <v>1506</v>
      </c>
      <c r="B1504" s="24">
        <v>44219</v>
      </c>
      <c r="C1504" t="s">
        <v>39</v>
      </c>
      <c r="D1504" t="s">
        <v>41</v>
      </c>
      <c r="E1504">
        <v>2000711002</v>
      </c>
      <c r="F1504">
        <v>1470</v>
      </c>
      <c r="G1504">
        <v>30</v>
      </c>
      <c r="H1504">
        <v>0</v>
      </c>
      <c r="I1504" t="s">
        <v>194</v>
      </c>
      <c r="J1504" t="s">
        <v>169</v>
      </c>
      <c r="K1504" t="s">
        <v>637</v>
      </c>
      <c r="O1504">
        <v>0</v>
      </c>
      <c r="U1504" t="s">
        <v>81</v>
      </c>
    </row>
    <row r="1505" spans="1:21" x14ac:dyDescent="0.25">
      <c r="A1505" s="33">
        <v>1507</v>
      </c>
      <c r="B1505" s="24">
        <v>44219</v>
      </c>
      <c r="C1505" t="s">
        <v>39</v>
      </c>
      <c r="D1505" t="s">
        <v>41</v>
      </c>
      <c r="E1505">
        <v>2000712280</v>
      </c>
      <c r="F1505">
        <v>400</v>
      </c>
      <c r="G1505">
        <v>200</v>
      </c>
      <c r="H1505">
        <v>0</v>
      </c>
      <c r="I1505" t="s">
        <v>168</v>
      </c>
      <c r="J1505" t="s">
        <v>174</v>
      </c>
      <c r="K1505" t="s">
        <v>936</v>
      </c>
      <c r="O1505">
        <v>0</v>
      </c>
      <c r="U1505" t="s">
        <v>81</v>
      </c>
    </row>
    <row r="1506" spans="1:21" x14ac:dyDescent="0.25">
      <c r="A1506" s="33">
        <v>1508</v>
      </c>
      <c r="B1506" s="24">
        <v>44219</v>
      </c>
      <c r="C1506" t="s">
        <v>39</v>
      </c>
      <c r="D1506" t="s">
        <v>41</v>
      </c>
      <c r="E1506">
        <v>2000712305</v>
      </c>
      <c r="F1506">
        <v>1800</v>
      </c>
      <c r="G1506">
        <v>20</v>
      </c>
      <c r="H1506">
        <v>0</v>
      </c>
      <c r="I1506" t="s">
        <v>168</v>
      </c>
      <c r="J1506" t="s">
        <v>169</v>
      </c>
      <c r="K1506" t="s">
        <v>190</v>
      </c>
      <c r="O1506">
        <v>0</v>
      </c>
      <c r="U1506" t="s">
        <v>81</v>
      </c>
    </row>
    <row r="1507" spans="1:21" x14ac:dyDescent="0.25">
      <c r="A1507" s="33">
        <v>1509</v>
      </c>
      <c r="B1507" s="24">
        <v>44219</v>
      </c>
      <c r="C1507" t="s">
        <v>39</v>
      </c>
      <c r="D1507" t="s">
        <v>41</v>
      </c>
      <c r="E1507">
        <v>2000712344</v>
      </c>
      <c r="F1507">
        <v>112</v>
      </c>
      <c r="G1507">
        <v>75</v>
      </c>
      <c r="H1507">
        <v>0</v>
      </c>
      <c r="I1507" t="s">
        <v>168</v>
      </c>
      <c r="J1507" t="s">
        <v>745</v>
      </c>
      <c r="K1507" t="s">
        <v>836</v>
      </c>
      <c r="O1507">
        <v>0</v>
      </c>
      <c r="U1507" t="s">
        <v>81</v>
      </c>
    </row>
    <row r="1508" spans="1:21" x14ac:dyDescent="0.25">
      <c r="A1508" s="33">
        <v>1510</v>
      </c>
      <c r="B1508" s="24">
        <v>44219</v>
      </c>
      <c r="C1508" t="s">
        <v>39</v>
      </c>
      <c r="D1508" t="s">
        <v>41</v>
      </c>
      <c r="E1508">
        <v>2000712318</v>
      </c>
      <c r="F1508">
        <v>160</v>
      </c>
      <c r="G1508">
        <v>120</v>
      </c>
      <c r="H1508">
        <v>0</v>
      </c>
      <c r="I1508" t="s">
        <v>168</v>
      </c>
      <c r="J1508" t="s">
        <v>169</v>
      </c>
      <c r="K1508" t="s">
        <v>767</v>
      </c>
      <c r="O1508">
        <v>0</v>
      </c>
      <c r="U1508" t="s">
        <v>81</v>
      </c>
    </row>
    <row r="1509" spans="1:21" x14ac:dyDescent="0.25">
      <c r="A1509" s="33">
        <v>1511</v>
      </c>
      <c r="B1509" s="24">
        <v>44219</v>
      </c>
      <c r="C1509" t="s">
        <v>39</v>
      </c>
      <c r="D1509" t="s">
        <v>41</v>
      </c>
      <c r="E1509">
        <v>2000711695</v>
      </c>
      <c r="F1509">
        <v>450</v>
      </c>
      <c r="G1509">
        <v>120</v>
      </c>
      <c r="H1509">
        <v>0</v>
      </c>
      <c r="I1509" t="s">
        <v>178</v>
      </c>
      <c r="J1509" t="s">
        <v>169</v>
      </c>
      <c r="K1509" t="s">
        <v>637</v>
      </c>
      <c r="O1509">
        <v>0</v>
      </c>
      <c r="U1509" t="s">
        <v>81</v>
      </c>
    </row>
    <row r="1510" spans="1:21" x14ac:dyDescent="0.25">
      <c r="A1510" s="33">
        <v>1512</v>
      </c>
      <c r="B1510" s="24">
        <v>44219</v>
      </c>
      <c r="C1510" t="s">
        <v>39</v>
      </c>
      <c r="D1510" t="s">
        <v>41</v>
      </c>
      <c r="E1510">
        <v>2000711002</v>
      </c>
      <c r="F1510">
        <v>1470</v>
      </c>
      <c r="G1510">
        <v>60</v>
      </c>
      <c r="H1510">
        <v>0</v>
      </c>
      <c r="I1510" t="s">
        <v>178</v>
      </c>
      <c r="J1510" t="s">
        <v>169</v>
      </c>
      <c r="K1510" t="s">
        <v>637</v>
      </c>
      <c r="O1510">
        <v>0</v>
      </c>
      <c r="U1510" t="s">
        <v>81</v>
      </c>
    </row>
    <row r="1511" spans="1:21" x14ac:dyDescent="0.25">
      <c r="A1511" s="33">
        <v>1513</v>
      </c>
      <c r="B1511" s="24">
        <v>44219</v>
      </c>
      <c r="C1511" t="s">
        <v>39</v>
      </c>
      <c r="D1511" t="s">
        <v>41</v>
      </c>
      <c r="E1511">
        <v>2000712031</v>
      </c>
      <c r="F1511">
        <v>2206</v>
      </c>
      <c r="G1511">
        <v>450</v>
      </c>
      <c r="H1511">
        <v>0</v>
      </c>
      <c r="I1511" t="s">
        <v>178</v>
      </c>
      <c r="J1511" t="s">
        <v>174</v>
      </c>
      <c r="K1511" t="s">
        <v>774</v>
      </c>
      <c r="O1511">
        <v>0</v>
      </c>
      <c r="U1511" t="s">
        <v>81</v>
      </c>
    </row>
    <row r="1512" spans="1:21" x14ac:dyDescent="0.25">
      <c r="A1512" s="33">
        <v>1514</v>
      </c>
      <c r="B1512" s="24">
        <v>44219</v>
      </c>
      <c r="C1512" t="s">
        <v>39</v>
      </c>
      <c r="D1512" t="s">
        <v>41</v>
      </c>
      <c r="E1512">
        <v>2000711363</v>
      </c>
      <c r="F1512">
        <v>360</v>
      </c>
      <c r="G1512">
        <v>37</v>
      </c>
      <c r="H1512">
        <v>0</v>
      </c>
      <c r="I1512" t="s">
        <v>178</v>
      </c>
      <c r="J1512" t="s">
        <v>698</v>
      </c>
      <c r="K1512" t="s">
        <v>700</v>
      </c>
      <c r="O1512">
        <v>0</v>
      </c>
      <c r="U1512" t="s">
        <v>81</v>
      </c>
    </row>
    <row r="1513" spans="1:21" x14ac:dyDescent="0.25">
      <c r="A1513" s="33">
        <v>1515</v>
      </c>
      <c r="B1513" s="24">
        <v>44219</v>
      </c>
      <c r="C1513" t="s">
        <v>39</v>
      </c>
      <c r="D1513" t="s">
        <v>41</v>
      </c>
      <c r="E1513">
        <v>2000712032</v>
      </c>
      <c r="F1513">
        <v>2260</v>
      </c>
      <c r="G1513">
        <v>45</v>
      </c>
      <c r="H1513">
        <v>0</v>
      </c>
      <c r="I1513" t="s">
        <v>178</v>
      </c>
      <c r="J1513" t="s">
        <v>170</v>
      </c>
      <c r="K1513" t="s">
        <v>899</v>
      </c>
      <c r="O1513">
        <v>0</v>
      </c>
      <c r="U1513" t="s">
        <v>81</v>
      </c>
    </row>
    <row r="1514" spans="1:21" x14ac:dyDescent="0.25">
      <c r="A1514" s="33">
        <v>1516</v>
      </c>
      <c r="B1514" s="24">
        <v>44219</v>
      </c>
      <c r="C1514" t="s">
        <v>39</v>
      </c>
      <c r="D1514" t="s">
        <v>41</v>
      </c>
      <c r="E1514">
        <v>2000712031</v>
      </c>
      <c r="F1514">
        <v>2206</v>
      </c>
      <c r="G1514">
        <v>270</v>
      </c>
      <c r="H1514">
        <v>0</v>
      </c>
      <c r="I1514" t="s">
        <v>661</v>
      </c>
      <c r="J1514" t="s">
        <v>174</v>
      </c>
      <c r="K1514" t="s">
        <v>774</v>
      </c>
      <c r="O1514">
        <v>0</v>
      </c>
      <c r="U1514" t="s">
        <v>81</v>
      </c>
    </row>
    <row r="1515" spans="1:21" x14ac:dyDescent="0.25">
      <c r="A1515" s="33">
        <v>1517</v>
      </c>
      <c r="B1515" s="24">
        <v>44219</v>
      </c>
      <c r="C1515" t="s">
        <v>39</v>
      </c>
      <c r="D1515" t="s">
        <v>41</v>
      </c>
      <c r="E1515">
        <v>2000711695</v>
      </c>
      <c r="F1515">
        <v>450</v>
      </c>
      <c r="G1515">
        <v>30</v>
      </c>
      <c r="H1515">
        <v>0</v>
      </c>
      <c r="I1515" t="s">
        <v>661</v>
      </c>
      <c r="J1515" t="s">
        <v>169</v>
      </c>
      <c r="K1515" t="s">
        <v>637</v>
      </c>
      <c r="O1515">
        <v>0</v>
      </c>
      <c r="U1515" t="s">
        <v>81</v>
      </c>
    </row>
    <row r="1516" spans="1:21" ht="45" x14ac:dyDescent="0.25">
      <c r="A1516" s="33">
        <v>1518</v>
      </c>
      <c r="B1516" s="24">
        <v>44219</v>
      </c>
      <c r="C1516" t="s">
        <v>39</v>
      </c>
      <c r="D1516" t="s">
        <v>41</v>
      </c>
      <c r="E1516">
        <v>2000711002</v>
      </c>
      <c r="F1516">
        <v>1470</v>
      </c>
      <c r="G1516">
        <v>90</v>
      </c>
      <c r="H1516">
        <v>0</v>
      </c>
      <c r="I1516" t="s">
        <v>661</v>
      </c>
      <c r="J1516" t="s">
        <v>169</v>
      </c>
      <c r="K1516" t="s">
        <v>637</v>
      </c>
      <c r="O1516">
        <v>0</v>
      </c>
      <c r="T1516" s="62" t="s">
        <v>775</v>
      </c>
      <c r="U1516" t="s">
        <v>81</v>
      </c>
    </row>
    <row r="1517" spans="1:21" x14ac:dyDescent="0.25">
      <c r="A1517" s="33">
        <v>1519</v>
      </c>
      <c r="B1517" s="24">
        <v>44219</v>
      </c>
      <c r="C1517" t="s">
        <v>39</v>
      </c>
      <c r="D1517" t="s">
        <v>51</v>
      </c>
      <c r="E1517">
        <v>2000712459</v>
      </c>
      <c r="F1517">
        <v>660</v>
      </c>
      <c r="G1517">
        <v>180</v>
      </c>
      <c r="H1517">
        <v>0</v>
      </c>
      <c r="I1517" t="s">
        <v>191</v>
      </c>
      <c r="J1517" t="s">
        <v>667</v>
      </c>
      <c r="K1517" t="s">
        <v>668</v>
      </c>
      <c r="O1517">
        <v>0</v>
      </c>
      <c r="U1517" t="s">
        <v>81</v>
      </c>
    </row>
    <row r="1518" spans="1:21" x14ac:dyDescent="0.25">
      <c r="A1518" s="33">
        <v>1520</v>
      </c>
      <c r="B1518" s="24">
        <v>44219</v>
      </c>
      <c r="C1518" t="s">
        <v>39</v>
      </c>
      <c r="D1518" t="s">
        <v>51</v>
      </c>
      <c r="E1518">
        <v>2000711966</v>
      </c>
      <c r="F1518">
        <v>660</v>
      </c>
      <c r="G1518">
        <v>30</v>
      </c>
      <c r="H1518">
        <v>0</v>
      </c>
      <c r="I1518" t="s">
        <v>191</v>
      </c>
      <c r="J1518" t="s">
        <v>667</v>
      </c>
      <c r="K1518" t="s">
        <v>668</v>
      </c>
      <c r="O1518">
        <v>0</v>
      </c>
      <c r="U1518" t="s">
        <v>81</v>
      </c>
    </row>
    <row r="1519" spans="1:21" x14ac:dyDescent="0.25">
      <c r="A1519" s="33">
        <v>1521</v>
      </c>
      <c r="B1519" s="24">
        <v>44219</v>
      </c>
      <c r="C1519" t="s">
        <v>39</v>
      </c>
      <c r="D1519" t="s">
        <v>51</v>
      </c>
      <c r="E1519">
        <v>2000711697</v>
      </c>
      <c r="F1519">
        <v>750</v>
      </c>
      <c r="G1519">
        <v>175</v>
      </c>
      <c r="H1519">
        <v>0</v>
      </c>
      <c r="I1519" t="s">
        <v>191</v>
      </c>
      <c r="J1519" t="s">
        <v>667</v>
      </c>
      <c r="K1519" t="s">
        <v>671</v>
      </c>
      <c r="O1519">
        <v>0</v>
      </c>
      <c r="U1519" t="s">
        <v>81</v>
      </c>
    </row>
    <row r="1520" spans="1:21" x14ac:dyDescent="0.25">
      <c r="A1520" s="33">
        <v>1522</v>
      </c>
      <c r="B1520" s="24">
        <v>44219</v>
      </c>
      <c r="C1520" t="s">
        <v>39</v>
      </c>
      <c r="D1520" t="s">
        <v>51</v>
      </c>
      <c r="E1520">
        <v>2000711970</v>
      </c>
      <c r="F1520">
        <v>192</v>
      </c>
      <c r="G1520">
        <v>96</v>
      </c>
      <c r="H1520">
        <v>0</v>
      </c>
      <c r="I1520" t="s">
        <v>191</v>
      </c>
      <c r="J1520" t="s">
        <v>667</v>
      </c>
      <c r="K1520" t="s">
        <v>711</v>
      </c>
      <c r="O1520">
        <v>0</v>
      </c>
      <c r="U1520" t="s">
        <v>81</v>
      </c>
    </row>
    <row r="1521" spans="1:21" x14ac:dyDescent="0.25">
      <c r="A1521" s="33">
        <v>1523</v>
      </c>
      <c r="B1521" s="24">
        <v>44219</v>
      </c>
      <c r="C1521" t="s">
        <v>39</v>
      </c>
      <c r="D1521" t="s">
        <v>51</v>
      </c>
      <c r="E1521">
        <v>2000711661</v>
      </c>
      <c r="F1521">
        <v>350</v>
      </c>
      <c r="G1521">
        <v>130</v>
      </c>
      <c r="H1521">
        <v>0</v>
      </c>
      <c r="I1521" t="s">
        <v>191</v>
      </c>
      <c r="J1521" t="s">
        <v>669</v>
      </c>
      <c r="K1521" t="s">
        <v>670</v>
      </c>
      <c r="O1521">
        <v>0</v>
      </c>
      <c r="U1521" t="s">
        <v>81</v>
      </c>
    </row>
    <row r="1522" spans="1:21" x14ac:dyDescent="0.25">
      <c r="A1522" s="33">
        <v>1524</v>
      </c>
      <c r="B1522" s="24">
        <v>44219</v>
      </c>
      <c r="C1522" t="s">
        <v>39</v>
      </c>
      <c r="D1522" t="s">
        <v>51</v>
      </c>
      <c r="E1522">
        <v>2000711964</v>
      </c>
      <c r="F1522">
        <v>190</v>
      </c>
      <c r="G1522">
        <v>60</v>
      </c>
      <c r="H1522">
        <v>0</v>
      </c>
      <c r="I1522" t="s">
        <v>191</v>
      </c>
      <c r="J1522" t="s">
        <v>669</v>
      </c>
      <c r="K1522" t="s">
        <v>802</v>
      </c>
      <c r="O1522">
        <v>0</v>
      </c>
      <c r="U1522" t="s">
        <v>81</v>
      </c>
    </row>
    <row r="1523" spans="1:21" x14ac:dyDescent="0.25">
      <c r="A1523" s="33">
        <v>1525</v>
      </c>
      <c r="B1523" s="24">
        <v>44219</v>
      </c>
      <c r="C1523" t="s">
        <v>39</v>
      </c>
      <c r="D1523" t="s">
        <v>51</v>
      </c>
      <c r="E1523">
        <v>2000712460</v>
      </c>
      <c r="F1523">
        <v>630</v>
      </c>
      <c r="G1523">
        <v>120</v>
      </c>
      <c r="H1523">
        <v>0</v>
      </c>
      <c r="I1523" t="s">
        <v>191</v>
      </c>
      <c r="J1523" t="s">
        <v>673</v>
      </c>
      <c r="K1523" t="s">
        <v>742</v>
      </c>
      <c r="O1523">
        <v>0</v>
      </c>
      <c r="U1523" t="s">
        <v>81</v>
      </c>
    </row>
    <row r="1524" spans="1:21" x14ac:dyDescent="0.25">
      <c r="A1524" s="33">
        <v>1526</v>
      </c>
      <c r="B1524" s="24">
        <v>44219</v>
      </c>
      <c r="C1524" t="s">
        <v>39</v>
      </c>
      <c r="D1524" t="s">
        <v>51</v>
      </c>
      <c r="E1524">
        <v>2000712451</v>
      </c>
      <c r="F1524">
        <v>400</v>
      </c>
      <c r="G1524">
        <v>50</v>
      </c>
      <c r="H1524">
        <v>0</v>
      </c>
      <c r="I1524" t="s">
        <v>191</v>
      </c>
      <c r="J1524" t="s">
        <v>673</v>
      </c>
      <c r="K1524" t="s">
        <v>760</v>
      </c>
      <c r="O1524">
        <v>0</v>
      </c>
      <c r="U1524" t="s">
        <v>81</v>
      </c>
    </row>
    <row r="1525" spans="1:21" x14ac:dyDescent="0.25">
      <c r="A1525" s="33">
        <v>1527</v>
      </c>
      <c r="B1525" s="24">
        <v>44220</v>
      </c>
      <c r="C1525" t="s">
        <v>181</v>
      </c>
      <c r="D1525" t="s">
        <v>51</v>
      </c>
      <c r="E1525">
        <v>2000711963</v>
      </c>
      <c r="F1525">
        <v>680</v>
      </c>
      <c r="G1525">
        <v>130</v>
      </c>
      <c r="H1525">
        <v>0</v>
      </c>
      <c r="I1525" t="s">
        <v>184</v>
      </c>
      <c r="J1525" t="s">
        <v>937</v>
      </c>
      <c r="K1525" t="s">
        <v>708</v>
      </c>
      <c r="O1525">
        <v>0</v>
      </c>
      <c r="U1525" t="s">
        <v>81</v>
      </c>
    </row>
    <row r="1526" spans="1:21" x14ac:dyDescent="0.25">
      <c r="A1526" s="33">
        <v>1528</v>
      </c>
      <c r="B1526" s="24">
        <v>44220</v>
      </c>
      <c r="C1526" t="s">
        <v>181</v>
      </c>
      <c r="D1526" t="s">
        <v>51</v>
      </c>
      <c r="E1526">
        <v>2000712882</v>
      </c>
      <c r="F1526">
        <v>350</v>
      </c>
      <c r="G1526">
        <v>349</v>
      </c>
      <c r="H1526">
        <v>0</v>
      </c>
      <c r="I1526" t="s">
        <v>184</v>
      </c>
      <c r="J1526" t="s">
        <v>669</v>
      </c>
      <c r="K1526" t="s">
        <v>755</v>
      </c>
      <c r="O1526">
        <v>0</v>
      </c>
      <c r="U1526" t="s">
        <v>81</v>
      </c>
    </row>
    <row r="1527" spans="1:21" x14ac:dyDescent="0.25">
      <c r="A1527" s="33">
        <v>1529</v>
      </c>
      <c r="B1527" s="24">
        <v>44220</v>
      </c>
      <c r="C1527" t="s">
        <v>181</v>
      </c>
      <c r="D1527" t="s">
        <v>51</v>
      </c>
      <c r="E1527">
        <v>2000712881</v>
      </c>
      <c r="F1527">
        <v>250</v>
      </c>
      <c r="G1527">
        <v>120</v>
      </c>
      <c r="H1527">
        <v>0</v>
      </c>
      <c r="I1527" t="s">
        <v>184</v>
      </c>
      <c r="J1527" t="s">
        <v>669</v>
      </c>
      <c r="K1527" t="s">
        <v>707</v>
      </c>
      <c r="O1527">
        <v>0</v>
      </c>
      <c r="U1527" t="s">
        <v>81</v>
      </c>
    </row>
    <row r="1528" spans="1:21" x14ac:dyDescent="0.25">
      <c r="A1528" s="33">
        <v>1530</v>
      </c>
      <c r="B1528" s="24">
        <v>44219</v>
      </c>
      <c r="C1528" t="s">
        <v>181</v>
      </c>
      <c r="D1528" t="s">
        <v>51</v>
      </c>
      <c r="E1528">
        <v>2000712451</v>
      </c>
      <c r="F1528">
        <v>400</v>
      </c>
      <c r="G1528">
        <v>100</v>
      </c>
      <c r="H1528">
        <v>0</v>
      </c>
      <c r="I1528" t="s">
        <v>706</v>
      </c>
      <c r="J1528" t="s">
        <v>673</v>
      </c>
      <c r="K1528" t="s">
        <v>760</v>
      </c>
      <c r="O1528">
        <v>0</v>
      </c>
      <c r="U1528" t="s">
        <v>81</v>
      </c>
    </row>
    <row r="1529" spans="1:21" x14ac:dyDescent="0.25">
      <c r="A1529" s="33">
        <v>1531</v>
      </c>
      <c r="B1529" s="24">
        <v>44219</v>
      </c>
      <c r="C1529" t="s">
        <v>181</v>
      </c>
      <c r="D1529" t="s">
        <v>51</v>
      </c>
      <c r="E1529">
        <v>2000712460</v>
      </c>
      <c r="F1529">
        <v>630</v>
      </c>
      <c r="G1529">
        <v>120</v>
      </c>
      <c r="H1529">
        <v>0</v>
      </c>
      <c r="I1529" t="s">
        <v>706</v>
      </c>
      <c r="J1529" t="s">
        <v>673</v>
      </c>
      <c r="K1529" t="s">
        <v>742</v>
      </c>
      <c r="O1529">
        <v>0</v>
      </c>
      <c r="U1529" t="s">
        <v>81</v>
      </c>
    </row>
    <row r="1530" spans="1:21" x14ac:dyDescent="0.25">
      <c r="A1530" s="33">
        <v>1532</v>
      </c>
      <c r="B1530" s="24">
        <v>44219</v>
      </c>
      <c r="C1530" t="s">
        <v>181</v>
      </c>
      <c r="D1530" t="s">
        <v>51</v>
      </c>
      <c r="E1530">
        <v>2000711963</v>
      </c>
      <c r="F1530">
        <v>680</v>
      </c>
      <c r="G1530">
        <v>330</v>
      </c>
      <c r="H1530">
        <v>0</v>
      </c>
      <c r="I1530" t="s">
        <v>706</v>
      </c>
      <c r="J1530" t="s">
        <v>673</v>
      </c>
      <c r="K1530" t="s">
        <v>708</v>
      </c>
      <c r="O1530">
        <v>0</v>
      </c>
      <c r="U1530" t="s">
        <v>81</v>
      </c>
    </row>
    <row r="1531" spans="1:21" x14ac:dyDescent="0.25">
      <c r="A1531" s="33">
        <v>1533</v>
      </c>
      <c r="B1531" s="24">
        <v>44219</v>
      </c>
      <c r="C1531" t="s">
        <v>181</v>
      </c>
      <c r="D1531" t="s">
        <v>51</v>
      </c>
      <c r="E1531">
        <v>2000711661</v>
      </c>
      <c r="F1531">
        <v>350</v>
      </c>
      <c r="G1531">
        <v>20</v>
      </c>
      <c r="H1531">
        <v>0</v>
      </c>
      <c r="I1531" t="s">
        <v>706</v>
      </c>
      <c r="J1531" t="s">
        <v>669</v>
      </c>
      <c r="K1531" t="s">
        <v>670</v>
      </c>
      <c r="O1531">
        <v>0</v>
      </c>
      <c r="U1531" t="s">
        <v>81</v>
      </c>
    </row>
    <row r="1532" spans="1:21" x14ac:dyDescent="0.25">
      <c r="A1532" s="33">
        <v>1534</v>
      </c>
      <c r="B1532" s="24">
        <v>44219</v>
      </c>
      <c r="C1532" t="s">
        <v>181</v>
      </c>
      <c r="D1532" t="s">
        <v>51</v>
      </c>
      <c r="E1532">
        <v>2000712633</v>
      </c>
      <c r="F1532">
        <v>660</v>
      </c>
      <c r="G1532">
        <v>150</v>
      </c>
      <c r="H1532">
        <v>0</v>
      </c>
      <c r="I1532" t="s">
        <v>706</v>
      </c>
      <c r="J1532" t="s">
        <v>667</v>
      </c>
      <c r="K1532" t="s">
        <v>668</v>
      </c>
      <c r="O1532">
        <v>0</v>
      </c>
      <c r="U1532" t="s">
        <v>81</v>
      </c>
    </row>
    <row r="1533" spans="1:21" x14ac:dyDescent="0.25">
      <c r="A1533" s="33">
        <v>1535</v>
      </c>
      <c r="B1533" s="24">
        <v>44219</v>
      </c>
      <c r="C1533" t="s">
        <v>181</v>
      </c>
      <c r="D1533" t="s">
        <v>51</v>
      </c>
      <c r="E1533">
        <v>2000712545</v>
      </c>
      <c r="F1533">
        <v>750</v>
      </c>
      <c r="G1533">
        <v>105</v>
      </c>
      <c r="H1533">
        <v>0</v>
      </c>
      <c r="I1533" t="s">
        <v>706</v>
      </c>
      <c r="J1533" t="s">
        <v>667</v>
      </c>
      <c r="K1533" t="s">
        <v>671</v>
      </c>
      <c r="O1533">
        <v>0</v>
      </c>
      <c r="U1533" t="s">
        <v>81</v>
      </c>
    </row>
    <row r="1534" spans="1:21" x14ac:dyDescent="0.25">
      <c r="A1534" s="33">
        <v>1536</v>
      </c>
      <c r="B1534" s="24">
        <v>44219</v>
      </c>
      <c r="C1534" t="s">
        <v>181</v>
      </c>
      <c r="D1534" t="s">
        <v>51</v>
      </c>
      <c r="E1534">
        <v>2000712458</v>
      </c>
      <c r="F1534">
        <v>1600</v>
      </c>
      <c r="G1534">
        <v>150</v>
      </c>
      <c r="H1534">
        <v>0</v>
      </c>
      <c r="I1534" t="s">
        <v>706</v>
      </c>
      <c r="J1534" t="s">
        <v>667</v>
      </c>
      <c r="K1534" t="s">
        <v>730</v>
      </c>
      <c r="O1534">
        <v>0</v>
      </c>
      <c r="U1534" t="s">
        <v>81</v>
      </c>
    </row>
    <row r="1535" spans="1:21" x14ac:dyDescent="0.25">
      <c r="A1535" s="33">
        <v>1537</v>
      </c>
      <c r="B1535" s="24">
        <v>44219</v>
      </c>
      <c r="C1535" t="s">
        <v>181</v>
      </c>
      <c r="D1535" t="s">
        <v>51</v>
      </c>
      <c r="E1535">
        <v>2000711960</v>
      </c>
      <c r="F1535">
        <v>1000</v>
      </c>
      <c r="G1535">
        <v>50</v>
      </c>
      <c r="H1535">
        <v>0</v>
      </c>
      <c r="I1535" t="s">
        <v>706</v>
      </c>
      <c r="J1535" t="s">
        <v>673</v>
      </c>
      <c r="K1535" t="s">
        <v>672</v>
      </c>
      <c r="O1535">
        <v>0</v>
      </c>
      <c r="U1535" t="s">
        <v>81</v>
      </c>
    </row>
    <row r="1536" spans="1:21" x14ac:dyDescent="0.25">
      <c r="A1536" s="33">
        <v>1538</v>
      </c>
      <c r="B1536" s="24">
        <v>44219</v>
      </c>
      <c r="C1536" t="s">
        <v>181</v>
      </c>
      <c r="D1536" t="s">
        <v>41</v>
      </c>
      <c r="E1536">
        <v>2000711569</v>
      </c>
      <c r="F1536">
        <v>1337</v>
      </c>
      <c r="G1536">
        <v>9</v>
      </c>
      <c r="H1536">
        <v>0</v>
      </c>
      <c r="I1536" t="s">
        <v>183</v>
      </c>
      <c r="J1536" t="s">
        <v>745</v>
      </c>
      <c r="K1536" t="s">
        <v>857</v>
      </c>
      <c r="O1536">
        <v>0</v>
      </c>
      <c r="U1536" t="s">
        <v>81</v>
      </c>
    </row>
    <row r="1537" spans="1:21" x14ac:dyDescent="0.25">
      <c r="A1537" s="33">
        <v>1539</v>
      </c>
      <c r="B1537" s="24">
        <v>44219</v>
      </c>
      <c r="C1537" t="s">
        <v>181</v>
      </c>
      <c r="D1537" t="s">
        <v>41</v>
      </c>
      <c r="E1537">
        <v>2000711234</v>
      </c>
      <c r="F1537">
        <v>5592</v>
      </c>
      <c r="G1537">
        <v>1260</v>
      </c>
      <c r="H1537">
        <v>0</v>
      </c>
      <c r="I1537" t="s">
        <v>183</v>
      </c>
      <c r="J1537" t="s">
        <v>816</v>
      </c>
      <c r="K1537" t="s">
        <v>927</v>
      </c>
      <c r="O1537">
        <v>0</v>
      </c>
      <c r="U1537" t="s">
        <v>81</v>
      </c>
    </row>
    <row r="1538" spans="1:21" x14ac:dyDescent="0.25">
      <c r="A1538" s="33">
        <v>1540</v>
      </c>
      <c r="B1538" s="24">
        <v>44219</v>
      </c>
      <c r="C1538" t="s">
        <v>181</v>
      </c>
      <c r="D1538" t="s">
        <v>41</v>
      </c>
      <c r="E1538">
        <v>2000712238</v>
      </c>
      <c r="F1538">
        <v>3800</v>
      </c>
      <c r="G1538">
        <v>200</v>
      </c>
      <c r="H1538">
        <v>0</v>
      </c>
      <c r="I1538" t="s">
        <v>183</v>
      </c>
      <c r="J1538" t="s">
        <v>172</v>
      </c>
      <c r="K1538" t="s">
        <v>725</v>
      </c>
      <c r="O1538">
        <v>0</v>
      </c>
      <c r="U1538" t="s">
        <v>81</v>
      </c>
    </row>
    <row r="1539" spans="1:21" x14ac:dyDescent="0.25">
      <c r="A1539" s="33">
        <v>1541</v>
      </c>
      <c r="B1539" s="24">
        <v>44219</v>
      </c>
      <c r="C1539" t="s">
        <v>181</v>
      </c>
      <c r="D1539" t="s">
        <v>41</v>
      </c>
      <c r="E1539">
        <v>2000712350</v>
      </c>
      <c r="F1539">
        <v>640</v>
      </c>
      <c r="G1539">
        <v>20</v>
      </c>
      <c r="H1539">
        <v>0</v>
      </c>
      <c r="I1539" t="s">
        <v>183</v>
      </c>
      <c r="J1539" t="s">
        <v>745</v>
      </c>
      <c r="K1539" t="s">
        <v>879</v>
      </c>
      <c r="O1539">
        <v>0</v>
      </c>
      <c r="U1539" t="s">
        <v>81</v>
      </c>
    </row>
    <row r="1540" spans="1:21" x14ac:dyDescent="0.25">
      <c r="A1540" s="33">
        <v>1542</v>
      </c>
      <c r="B1540" s="24">
        <v>44219</v>
      </c>
      <c r="C1540" t="s">
        <v>181</v>
      </c>
      <c r="D1540" t="s">
        <v>41</v>
      </c>
      <c r="E1540">
        <v>2000712190</v>
      </c>
      <c r="F1540">
        <v>3200</v>
      </c>
      <c r="G1540">
        <v>200</v>
      </c>
      <c r="H1540">
        <v>0</v>
      </c>
      <c r="I1540" t="s">
        <v>183</v>
      </c>
      <c r="J1540" t="s">
        <v>645</v>
      </c>
      <c r="K1540" t="s">
        <v>756</v>
      </c>
      <c r="O1540">
        <v>0</v>
      </c>
      <c r="U1540" t="s">
        <v>81</v>
      </c>
    </row>
    <row r="1541" spans="1:21" x14ac:dyDescent="0.25">
      <c r="A1541" s="33">
        <v>1543</v>
      </c>
      <c r="B1541" s="24">
        <v>44219</v>
      </c>
      <c r="C1541" t="s">
        <v>181</v>
      </c>
      <c r="D1541" t="s">
        <v>41</v>
      </c>
      <c r="E1541">
        <v>2000712032</v>
      </c>
      <c r="F1541">
        <v>2260</v>
      </c>
      <c r="G1541">
        <v>90</v>
      </c>
      <c r="H1541">
        <v>0</v>
      </c>
      <c r="I1541" t="s">
        <v>183</v>
      </c>
      <c r="J1541" t="s">
        <v>170</v>
      </c>
      <c r="K1541" t="s">
        <v>899</v>
      </c>
      <c r="O1541">
        <v>0</v>
      </c>
      <c r="U1541" t="s">
        <v>81</v>
      </c>
    </row>
    <row r="1542" spans="1:21" x14ac:dyDescent="0.25">
      <c r="A1542" s="33">
        <v>1544</v>
      </c>
      <c r="B1542" s="24">
        <v>44219</v>
      </c>
      <c r="C1542" t="s">
        <v>181</v>
      </c>
      <c r="D1542" t="s">
        <v>41</v>
      </c>
      <c r="E1542">
        <v>2000712031</v>
      </c>
      <c r="F1542">
        <v>2206</v>
      </c>
      <c r="G1542">
        <v>90</v>
      </c>
      <c r="H1542">
        <v>0</v>
      </c>
      <c r="I1542" t="s">
        <v>183</v>
      </c>
      <c r="J1542" t="s">
        <v>174</v>
      </c>
      <c r="K1542" t="s">
        <v>774</v>
      </c>
      <c r="O1542">
        <v>0</v>
      </c>
      <c r="U1542" t="s">
        <v>81</v>
      </c>
    </row>
    <row r="1543" spans="1:21" x14ac:dyDescent="0.25">
      <c r="A1543" s="33">
        <v>1545</v>
      </c>
      <c r="B1543" s="24">
        <v>44219</v>
      </c>
      <c r="C1543" t="s">
        <v>181</v>
      </c>
      <c r="D1543" t="s">
        <v>41</v>
      </c>
      <c r="E1543">
        <v>2000712447</v>
      </c>
      <c r="F1543">
        <v>882</v>
      </c>
      <c r="G1543">
        <v>425</v>
      </c>
      <c r="H1543">
        <v>0</v>
      </c>
      <c r="I1543" t="s">
        <v>183</v>
      </c>
      <c r="J1543" t="s">
        <v>745</v>
      </c>
      <c r="K1543" t="s">
        <v>857</v>
      </c>
      <c r="O1543">
        <v>0</v>
      </c>
      <c r="U1543" t="s">
        <v>81</v>
      </c>
    </row>
    <row r="1544" spans="1:21" x14ac:dyDescent="0.25">
      <c r="A1544" s="33">
        <v>1546</v>
      </c>
      <c r="B1544" s="24">
        <v>44219</v>
      </c>
      <c r="C1544" t="s">
        <v>181</v>
      </c>
      <c r="D1544" t="s">
        <v>41</v>
      </c>
      <c r="E1544">
        <v>2000712032</v>
      </c>
      <c r="F1544">
        <v>2260</v>
      </c>
      <c r="G1544">
        <v>90</v>
      </c>
      <c r="H1544">
        <v>0</v>
      </c>
      <c r="I1544" t="s">
        <v>789</v>
      </c>
      <c r="J1544" t="s">
        <v>170</v>
      </c>
      <c r="K1544" t="s">
        <v>899</v>
      </c>
      <c r="O1544">
        <v>0</v>
      </c>
      <c r="U1544" t="s">
        <v>81</v>
      </c>
    </row>
    <row r="1545" spans="1:21" x14ac:dyDescent="0.25">
      <c r="A1545" s="33">
        <v>1547</v>
      </c>
      <c r="B1545" s="24">
        <v>44219</v>
      </c>
      <c r="C1545" t="s">
        <v>181</v>
      </c>
      <c r="D1545" t="s">
        <v>41</v>
      </c>
      <c r="E1545">
        <v>2000712031</v>
      </c>
      <c r="F1545">
        <v>2206</v>
      </c>
      <c r="G1545">
        <v>45</v>
      </c>
      <c r="H1545">
        <v>0</v>
      </c>
      <c r="I1545" t="s">
        <v>789</v>
      </c>
      <c r="J1545" t="s">
        <v>174</v>
      </c>
      <c r="K1545" t="s">
        <v>774</v>
      </c>
      <c r="O1545">
        <v>0</v>
      </c>
      <c r="U1545" t="s">
        <v>81</v>
      </c>
    </row>
    <row r="1546" spans="1:21" x14ac:dyDescent="0.25">
      <c r="A1546" s="33">
        <v>1548</v>
      </c>
      <c r="B1546" s="24">
        <v>44219</v>
      </c>
      <c r="C1546" t="s">
        <v>181</v>
      </c>
      <c r="D1546" t="s">
        <v>41</v>
      </c>
      <c r="E1546">
        <v>2000712031</v>
      </c>
      <c r="F1546">
        <v>2206</v>
      </c>
      <c r="G1546">
        <v>90</v>
      </c>
      <c r="H1546">
        <v>0</v>
      </c>
      <c r="I1546" t="s">
        <v>706</v>
      </c>
      <c r="J1546" t="s">
        <v>174</v>
      </c>
      <c r="K1546" t="s">
        <v>774</v>
      </c>
      <c r="O1546">
        <v>0</v>
      </c>
      <c r="U1546" t="s">
        <v>81</v>
      </c>
    </row>
    <row r="1547" spans="1:21" x14ac:dyDescent="0.25">
      <c r="A1547" s="33">
        <v>1549</v>
      </c>
      <c r="B1547" s="24">
        <v>44219</v>
      </c>
      <c r="C1547" t="s">
        <v>181</v>
      </c>
      <c r="D1547" t="s">
        <v>41</v>
      </c>
      <c r="E1547">
        <v>2000712031</v>
      </c>
      <c r="F1547">
        <v>2206</v>
      </c>
      <c r="G1547">
        <v>90</v>
      </c>
      <c r="H1547">
        <v>0</v>
      </c>
      <c r="I1547" t="s">
        <v>696</v>
      </c>
      <c r="J1547" t="s">
        <v>174</v>
      </c>
      <c r="K1547" t="s">
        <v>774</v>
      </c>
      <c r="O1547">
        <v>0</v>
      </c>
      <c r="U1547" t="s">
        <v>81</v>
      </c>
    </row>
    <row r="1548" spans="1:21" x14ac:dyDescent="0.25">
      <c r="A1548" s="33">
        <v>1550</v>
      </c>
      <c r="B1548" s="24">
        <v>44219</v>
      </c>
      <c r="C1548" t="s">
        <v>181</v>
      </c>
      <c r="D1548" t="s">
        <v>41</v>
      </c>
      <c r="E1548">
        <v>2000712048</v>
      </c>
      <c r="F1548">
        <v>320</v>
      </c>
      <c r="G1548">
        <v>80</v>
      </c>
      <c r="H1548">
        <v>0</v>
      </c>
      <c r="I1548" t="s">
        <v>696</v>
      </c>
      <c r="J1548" t="s">
        <v>174</v>
      </c>
      <c r="K1548" t="s">
        <v>177</v>
      </c>
      <c r="O1548">
        <v>0</v>
      </c>
      <c r="U1548" t="s">
        <v>81</v>
      </c>
    </row>
    <row r="1549" spans="1:21" x14ac:dyDescent="0.25">
      <c r="A1549" s="33">
        <v>1551</v>
      </c>
      <c r="B1549" s="24">
        <v>44219</v>
      </c>
      <c r="C1549" t="s">
        <v>181</v>
      </c>
      <c r="D1549" t="s">
        <v>41</v>
      </c>
      <c r="E1549">
        <v>2000712396</v>
      </c>
      <c r="F1549">
        <v>200</v>
      </c>
      <c r="G1549">
        <v>200</v>
      </c>
      <c r="H1549">
        <v>0</v>
      </c>
      <c r="I1549" t="s">
        <v>696</v>
      </c>
      <c r="J1549" t="s">
        <v>174</v>
      </c>
      <c r="K1549" t="s">
        <v>177</v>
      </c>
      <c r="O1549">
        <v>0</v>
      </c>
      <c r="U1549" t="s">
        <v>81</v>
      </c>
    </row>
    <row r="1550" spans="1:21" x14ac:dyDescent="0.25">
      <c r="A1550" s="33">
        <v>1552</v>
      </c>
      <c r="B1550" s="24">
        <v>44219</v>
      </c>
      <c r="C1550" t="s">
        <v>181</v>
      </c>
      <c r="D1550" t="s">
        <v>41</v>
      </c>
      <c r="E1550">
        <v>2000707222</v>
      </c>
      <c r="F1550">
        <v>1850</v>
      </c>
      <c r="G1550">
        <v>1</v>
      </c>
      <c r="H1550">
        <v>0</v>
      </c>
      <c r="I1550" t="s">
        <v>696</v>
      </c>
      <c r="J1550" t="s">
        <v>174</v>
      </c>
      <c r="K1550" t="s">
        <v>177</v>
      </c>
      <c r="O1550">
        <v>0</v>
      </c>
      <c r="U1550" t="s">
        <v>81</v>
      </c>
    </row>
    <row r="1551" spans="1:21" x14ac:dyDescent="0.25">
      <c r="A1551" s="33">
        <v>1553</v>
      </c>
      <c r="B1551" s="24">
        <v>44219</v>
      </c>
      <c r="C1551" t="s">
        <v>181</v>
      </c>
      <c r="D1551" t="s">
        <v>41</v>
      </c>
      <c r="E1551">
        <v>2000712394</v>
      </c>
      <c r="F1551">
        <v>400</v>
      </c>
      <c r="G1551">
        <v>40</v>
      </c>
      <c r="H1551">
        <v>0</v>
      </c>
      <c r="I1551" t="s">
        <v>696</v>
      </c>
      <c r="J1551" t="s">
        <v>174</v>
      </c>
      <c r="K1551" t="s">
        <v>805</v>
      </c>
      <c r="O1551">
        <v>0</v>
      </c>
      <c r="U1551" t="s">
        <v>81</v>
      </c>
    </row>
    <row r="1552" spans="1:21" x14ac:dyDescent="0.25">
      <c r="A1552" s="33">
        <v>1554</v>
      </c>
      <c r="B1552" s="24">
        <v>44219</v>
      </c>
      <c r="C1552" t="s">
        <v>181</v>
      </c>
      <c r="D1552" t="s">
        <v>41</v>
      </c>
      <c r="E1552">
        <v>2000712032</v>
      </c>
      <c r="F1552">
        <v>2260</v>
      </c>
      <c r="G1552">
        <v>90</v>
      </c>
      <c r="H1552">
        <v>0</v>
      </c>
      <c r="I1552" t="s">
        <v>696</v>
      </c>
      <c r="J1552" t="s">
        <v>170</v>
      </c>
      <c r="K1552" t="s">
        <v>899</v>
      </c>
      <c r="O1552">
        <v>0</v>
      </c>
      <c r="U1552" t="s">
        <v>81</v>
      </c>
    </row>
    <row r="1553" spans="1:21" x14ac:dyDescent="0.25">
      <c r="A1553" s="33">
        <v>1555</v>
      </c>
      <c r="B1553" s="24">
        <v>44219</v>
      </c>
      <c r="C1553" t="s">
        <v>181</v>
      </c>
      <c r="D1553" t="s">
        <v>41</v>
      </c>
      <c r="E1553">
        <v>2000712344</v>
      </c>
      <c r="F1553">
        <v>112</v>
      </c>
      <c r="G1553">
        <v>17</v>
      </c>
      <c r="H1553">
        <v>0</v>
      </c>
      <c r="I1553" t="s">
        <v>184</v>
      </c>
      <c r="J1553" t="s">
        <v>745</v>
      </c>
      <c r="K1553" t="s">
        <v>836</v>
      </c>
      <c r="O1553">
        <v>0</v>
      </c>
      <c r="U1553" t="s">
        <v>81</v>
      </c>
    </row>
    <row r="1554" spans="1:21" x14ac:dyDescent="0.25">
      <c r="A1554" s="33">
        <v>1556</v>
      </c>
      <c r="B1554" s="24">
        <v>44219</v>
      </c>
      <c r="C1554" t="s">
        <v>181</v>
      </c>
      <c r="D1554" t="s">
        <v>41</v>
      </c>
      <c r="E1554">
        <v>2000711722</v>
      </c>
      <c r="F1554">
        <v>630</v>
      </c>
      <c r="G1554">
        <v>123</v>
      </c>
      <c r="H1554">
        <v>0</v>
      </c>
      <c r="I1554" t="s">
        <v>184</v>
      </c>
      <c r="J1554" t="s">
        <v>203</v>
      </c>
      <c r="K1554" t="s">
        <v>768</v>
      </c>
      <c r="O1554">
        <v>0</v>
      </c>
      <c r="U1554" t="s">
        <v>81</v>
      </c>
    </row>
    <row r="1555" spans="1:21" x14ac:dyDescent="0.25">
      <c r="A1555" s="33">
        <v>1557</v>
      </c>
      <c r="B1555" s="24">
        <v>44219</v>
      </c>
      <c r="C1555" t="s">
        <v>181</v>
      </c>
      <c r="D1555" t="s">
        <v>41</v>
      </c>
      <c r="E1555">
        <v>2000712032</v>
      </c>
      <c r="F1555">
        <v>2260</v>
      </c>
      <c r="G1555">
        <v>90</v>
      </c>
      <c r="H1555">
        <v>0</v>
      </c>
      <c r="I1555" t="s">
        <v>184</v>
      </c>
      <c r="J1555" t="s">
        <v>170</v>
      </c>
      <c r="K1555" t="s">
        <v>899</v>
      </c>
      <c r="O1555">
        <v>0</v>
      </c>
      <c r="U1555" t="s">
        <v>81</v>
      </c>
    </row>
    <row r="1556" spans="1:21" x14ac:dyDescent="0.25">
      <c r="A1556" s="33">
        <v>1558</v>
      </c>
      <c r="B1556" s="24">
        <v>44219</v>
      </c>
      <c r="C1556" t="s">
        <v>181</v>
      </c>
      <c r="D1556" t="s">
        <v>41</v>
      </c>
      <c r="E1556">
        <v>2000712031</v>
      </c>
      <c r="F1556">
        <v>2206</v>
      </c>
      <c r="G1556">
        <v>90</v>
      </c>
      <c r="H1556">
        <v>0</v>
      </c>
      <c r="I1556" t="s">
        <v>184</v>
      </c>
      <c r="J1556" t="s">
        <v>174</v>
      </c>
      <c r="K1556" t="s">
        <v>774</v>
      </c>
      <c r="O1556">
        <v>0</v>
      </c>
      <c r="U1556" t="s">
        <v>81</v>
      </c>
    </row>
    <row r="1557" spans="1:21" x14ac:dyDescent="0.25">
      <c r="A1557" s="33">
        <v>1559</v>
      </c>
      <c r="B1557" s="24">
        <v>44219</v>
      </c>
      <c r="C1557" t="s">
        <v>181</v>
      </c>
      <c r="D1557" t="s">
        <v>41</v>
      </c>
      <c r="E1557">
        <v>2000712182</v>
      </c>
      <c r="F1557">
        <v>1600</v>
      </c>
      <c r="G1557">
        <v>30</v>
      </c>
      <c r="H1557">
        <v>0</v>
      </c>
      <c r="I1557" t="s">
        <v>185</v>
      </c>
      <c r="J1557" t="s">
        <v>169</v>
      </c>
      <c r="K1557" t="s">
        <v>179</v>
      </c>
      <c r="O1557">
        <v>0</v>
      </c>
      <c r="U1557" t="s">
        <v>81</v>
      </c>
    </row>
    <row r="1558" spans="1:21" x14ac:dyDescent="0.25">
      <c r="A1558" s="33">
        <v>1560</v>
      </c>
      <c r="B1558" s="24">
        <v>44219</v>
      </c>
      <c r="C1558" t="s">
        <v>181</v>
      </c>
      <c r="D1558" t="s">
        <v>41</v>
      </c>
      <c r="E1558">
        <v>2000712359</v>
      </c>
      <c r="F1558">
        <v>1800</v>
      </c>
      <c r="G1558">
        <v>40</v>
      </c>
      <c r="H1558">
        <v>0</v>
      </c>
      <c r="I1558" t="s">
        <v>185</v>
      </c>
      <c r="J1558" t="s">
        <v>687</v>
      </c>
      <c r="K1558" t="s">
        <v>757</v>
      </c>
      <c r="O1558">
        <v>0</v>
      </c>
      <c r="U1558" t="s">
        <v>81</v>
      </c>
    </row>
    <row r="1559" spans="1:21" x14ac:dyDescent="0.25">
      <c r="A1559" s="33">
        <v>1561</v>
      </c>
      <c r="B1559" s="24">
        <v>44219</v>
      </c>
      <c r="C1559" t="s">
        <v>181</v>
      </c>
      <c r="D1559" t="s">
        <v>41</v>
      </c>
      <c r="E1559">
        <v>2000712906</v>
      </c>
      <c r="F1559">
        <v>1488</v>
      </c>
      <c r="G1559">
        <v>120</v>
      </c>
      <c r="H1559">
        <v>0</v>
      </c>
      <c r="I1559" t="s">
        <v>185</v>
      </c>
      <c r="J1559" t="s">
        <v>655</v>
      </c>
      <c r="K1559" t="s">
        <v>656</v>
      </c>
      <c r="O1559">
        <v>0</v>
      </c>
      <c r="U1559" t="s">
        <v>81</v>
      </c>
    </row>
    <row r="1560" spans="1:21" x14ac:dyDescent="0.25">
      <c r="A1560" s="33">
        <v>1562</v>
      </c>
      <c r="B1560" s="24">
        <v>44219</v>
      </c>
      <c r="C1560" t="s">
        <v>181</v>
      </c>
      <c r="D1560" t="s">
        <v>41</v>
      </c>
      <c r="E1560">
        <v>2000712905</v>
      </c>
      <c r="F1560">
        <v>4000</v>
      </c>
      <c r="G1560">
        <v>80</v>
      </c>
      <c r="H1560">
        <v>0</v>
      </c>
      <c r="I1560" t="s">
        <v>185</v>
      </c>
      <c r="J1560" t="s">
        <v>200</v>
      </c>
      <c r="K1560" t="s">
        <v>653</v>
      </c>
      <c r="O1560">
        <v>0</v>
      </c>
      <c r="U1560" t="s">
        <v>81</v>
      </c>
    </row>
    <row r="1561" spans="1:21" x14ac:dyDescent="0.25">
      <c r="A1561" s="33">
        <v>1563</v>
      </c>
      <c r="B1561" s="24">
        <v>44219</v>
      </c>
      <c r="C1561" t="s">
        <v>181</v>
      </c>
      <c r="D1561" t="s">
        <v>41</v>
      </c>
      <c r="E1561">
        <v>2000712227</v>
      </c>
      <c r="F1561">
        <v>1380</v>
      </c>
      <c r="G1561">
        <v>120</v>
      </c>
      <c r="H1561">
        <v>0</v>
      </c>
      <c r="I1561" t="s">
        <v>185</v>
      </c>
      <c r="J1561" t="s">
        <v>645</v>
      </c>
      <c r="K1561" t="s">
        <v>765</v>
      </c>
      <c r="O1561">
        <v>0</v>
      </c>
      <c r="U1561" t="s">
        <v>81</v>
      </c>
    </row>
    <row r="1562" spans="1:21" x14ac:dyDescent="0.25">
      <c r="A1562" s="33">
        <v>1564</v>
      </c>
      <c r="B1562" s="24">
        <v>44219</v>
      </c>
      <c r="C1562" t="s">
        <v>181</v>
      </c>
      <c r="D1562" t="s">
        <v>41</v>
      </c>
      <c r="E1562">
        <v>2000712316</v>
      </c>
      <c r="F1562">
        <v>1400</v>
      </c>
      <c r="G1562">
        <v>60</v>
      </c>
      <c r="H1562">
        <v>0</v>
      </c>
      <c r="I1562" t="s">
        <v>185</v>
      </c>
      <c r="J1562" t="s">
        <v>169</v>
      </c>
      <c r="K1562" t="s">
        <v>663</v>
      </c>
      <c r="O1562">
        <v>0</v>
      </c>
      <c r="U1562" t="s">
        <v>81</v>
      </c>
    </row>
    <row r="1563" spans="1:21" x14ac:dyDescent="0.25">
      <c r="A1563" s="33">
        <v>1565</v>
      </c>
      <c r="B1563" s="24">
        <v>44219</v>
      </c>
      <c r="C1563" t="s">
        <v>181</v>
      </c>
      <c r="D1563" t="s">
        <v>41</v>
      </c>
      <c r="E1563">
        <v>2000712032</v>
      </c>
      <c r="F1563">
        <v>2260</v>
      </c>
      <c r="G1563">
        <v>90</v>
      </c>
      <c r="H1563">
        <v>0</v>
      </c>
      <c r="I1563" t="s">
        <v>185</v>
      </c>
      <c r="J1563" t="s">
        <v>170</v>
      </c>
      <c r="K1563" t="s">
        <v>899</v>
      </c>
      <c r="O1563">
        <v>0</v>
      </c>
      <c r="U1563" t="s">
        <v>81</v>
      </c>
    </row>
    <row r="1564" spans="1:21" x14ac:dyDescent="0.25">
      <c r="A1564" s="33">
        <v>1566</v>
      </c>
      <c r="B1564" s="24">
        <v>44219</v>
      </c>
      <c r="C1564" t="s">
        <v>181</v>
      </c>
      <c r="D1564" t="s">
        <v>41</v>
      </c>
      <c r="E1564">
        <v>2000712031</v>
      </c>
      <c r="F1564">
        <v>2206</v>
      </c>
      <c r="G1564">
        <v>45</v>
      </c>
      <c r="H1564">
        <v>0</v>
      </c>
      <c r="I1564" t="s">
        <v>185</v>
      </c>
      <c r="J1564" t="s">
        <v>174</v>
      </c>
      <c r="K1564" t="s">
        <v>774</v>
      </c>
      <c r="O1564">
        <v>0</v>
      </c>
      <c r="U1564" t="s">
        <v>81</v>
      </c>
    </row>
    <row r="1565" spans="1:21" x14ac:dyDescent="0.25">
      <c r="A1565" s="33">
        <v>1567</v>
      </c>
      <c r="B1565" s="24">
        <v>44219</v>
      </c>
      <c r="C1565" t="s">
        <v>181</v>
      </c>
      <c r="D1565" t="s">
        <v>41</v>
      </c>
      <c r="E1565">
        <v>2000711854</v>
      </c>
      <c r="F1565">
        <v>1808</v>
      </c>
      <c r="G1565">
        <v>300</v>
      </c>
      <c r="H1565">
        <v>0</v>
      </c>
      <c r="I1565" t="s">
        <v>198</v>
      </c>
      <c r="J1565" t="s">
        <v>203</v>
      </c>
      <c r="K1565" t="s">
        <v>788</v>
      </c>
      <c r="O1565">
        <v>0</v>
      </c>
      <c r="U1565" t="s">
        <v>81</v>
      </c>
    </row>
    <row r="1566" spans="1:21" x14ac:dyDescent="0.25">
      <c r="A1566" s="33">
        <v>1568</v>
      </c>
      <c r="B1566" s="24">
        <v>44219</v>
      </c>
      <c r="C1566" t="s">
        <v>181</v>
      </c>
      <c r="D1566" t="s">
        <v>41</v>
      </c>
      <c r="E1566">
        <v>2000712350</v>
      </c>
      <c r="F1566">
        <v>640</v>
      </c>
      <c r="G1566">
        <v>440</v>
      </c>
      <c r="H1566">
        <v>0</v>
      </c>
      <c r="I1566" t="s">
        <v>198</v>
      </c>
      <c r="J1566" t="s">
        <v>745</v>
      </c>
      <c r="K1566" t="s">
        <v>879</v>
      </c>
      <c r="O1566">
        <v>0</v>
      </c>
      <c r="U1566" t="s">
        <v>81</v>
      </c>
    </row>
    <row r="1567" spans="1:21" x14ac:dyDescent="0.25">
      <c r="A1567" s="33">
        <v>1569</v>
      </c>
      <c r="B1567" s="24">
        <v>44219</v>
      </c>
      <c r="C1567" t="s">
        <v>181</v>
      </c>
      <c r="D1567" t="s">
        <v>41</v>
      </c>
      <c r="E1567">
        <v>2000711468</v>
      </c>
      <c r="F1567">
        <v>150</v>
      </c>
      <c r="G1567">
        <v>149</v>
      </c>
      <c r="H1567">
        <v>0</v>
      </c>
      <c r="I1567" t="s">
        <v>198</v>
      </c>
      <c r="J1567" t="s">
        <v>169</v>
      </c>
      <c r="K1567" t="s">
        <v>847</v>
      </c>
      <c r="O1567">
        <v>0</v>
      </c>
      <c r="U1567" t="s">
        <v>81</v>
      </c>
    </row>
    <row r="1568" spans="1:21" x14ac:dyDescent="0.25">
      <c r="A1568" s="33">
        <v>1570</v>
      </c>
      <c r="B1568" s="24">
        <v>44219</v>
      </c>
      <c r="C1568" t="s">
        <v>181</v>
      </c>
      <c r="D1568" t="s">
        <v>41</v>
      </c>
      <c r="E1568">
        <v>2000712191</v>
      </c>
      <c r="F1568">
        <v>3200</v>
      </c>
      <c r="G1568">
        <v>200</v>
      </c>
      <c r="H1568">
        <v>0</v>
      </c>
      <c r="I1568" t="s">
        <v>198</v>
      </c>
      <c r="J1568" t="s">
        <v>645</v>
      </c>
      <c r="K1568" t="s">
        <v>739</v>
      </c>
      <c r="O1568">
        <v>0</v>
      </c>
      <c r="U1568" t="s">
        <v>81</v>
      </c>
    </row>
    <row r="1569" spans="1:21" x14ac:dyDescent="0.25">
      <c r="A1569" s="33">
        <v>1571</v>
      </c>
      <c r="B1569" s="24">
        <v>44219</v>
      </c>
      <c r="C1569" t="s">
        <v>181</v>
      </c>
      <c r="D1569" t="s">
        <v>41</v>
      </c>
      <c r="E1569">
        <v>2000711722</v>
      </c>
      <c r="F1569">
        <v>630</v>
      </c>
      <c r="G1569">
        <v>60</v>
      </c>
      <c r="H1569">
        <v>0</v>
      </c>
      <c r="I1569" t="s">
        <v>198</v>
      </c>
      <c r="J1569" t="s">
        <v>203</v>
      </c>
      <c r="K1569" t="s">
        <v>768</v>
      </c>
      <c r="O1569">
        <v>0</v>
      </c>
      <c r="U1569" t="s">
        <v>81</v>
      </c>
    </row>
    <row r="1570" spans="1:21" x14ac:dyDescent="0.25">
      <c r="A1570" s="33">
        <v>1572</v>
      </c>
      <c r="B1570" s="24">
        <v>44219</v>
      </c>
      <c r="C1570" t="s">
        <v>181</v>
      </c>
      <c r="D1570" t="s">
        <v>41</v>
      </c>
      <c r="E1570">
        <v>2000712031</v>
      </c>
      <c r="F1570">
        <v>2206</v>
      </c>
      <c r="G1570">
        <v>90</v>
      </c>
      <c r="H1570">
        <v>0</v>
      </c>
      <c r="I1570" t="s">
        <v>198</v>
      </c>
      <c r="J1570" t="s">
        <v>174</v>
      </c>
      <c r="K1570" t="s">
        <v>774</v>
      </c>
      <c r="O1570">
        <v>0</v>
      </c>
      <c r="U1570" t="s">
        <v>81</v>
      </c>
    </row>
    <row r="1571" spans="1:21" x14ac:dyDescent="0.25">
      <c r="A1571" s="33">
        <v>1573</v>
      </c>
      <c r="B1571" s="24">
        <v>44219</v>
      </c>
      <c r="C1571" t="s">
        <v>181</v>
      </c>
      <c r="D1571" t="s">
        <v>41</v>
      </c>
      <c r="E1571">
        <v>2000711362</v>
      </c>
      <c r="F1571">
        <v>720</v>
      </c>
      <c r="G1571">
        <v>17</v>
      </c>
      <c r="H1571">
        <v>0</v>
      </c>
      <c r="I1571" t="s">
        <v>198</v>
      </c>
      <c r="J1571" t="s">
        <v>698</v>
      </c>
      <c r="K1571" t="s">
        <v>786</v>
      </c>
      <c r="O1571">
        <v>0</v>
      </c>
      <c r="U1571" t="s">
        <v>81</v>
      </c>
    </row>
    <row r="1572" spans="1:21" x14ac:dyDescent="0.25">
      <c r="A1572" s="33">
        <v>1574</v>
      </c>
      <c r="B1572" s="24">
        <v>44219</v>
      </c>
      <c r="C1572" t="s">
        <v>181</v>
      </c>
      <c r="D1572" t="s">
        <v>41</v>
      </c>
      <c r="E1572">
        <v>2000712032</v>
      </c>
      <c r="F1572">
        <v>2260</v>
      </c>
      <c r="G1572">
        <v>135</v>
      </c>
      <c r="H1572">
        <v>0</v>
      </c>
      <c r="I1572" t="s">
        <v>198</v>
      </c>
      <c r="J1572" t="s">
        <v>170</v>
      </c>
      <c r="K1572" t="s">
        <v>899</v>
      </c>
      <c r="O1572">
        <v>0</v>
      </c>
      <c r="U1572" t="s">
        <v>81</v>
      </c>
    </row>
    <row r="1573" spans="1:21" x14ac:dyDescent="0.25">
      <c r="A1573" s="33">
        <v>1575</v>
      </c>
      <c r="B1573" s="24">
        <v>44219</v>
      </c>
      <c r="C1573" t="s">
        <v>181</v>
      </c>
      <c r="D1573" t="s">
        <v>41</v>
      </c>
      <c r="E1573">
        <v>2000712317</v>
      </c>
      <c r="F1573">
        <v>150</v>
      </c>
      <c r="G1573">
        <v>150</v>
      </c>
      <c r="H1573">
        <v>0</v>
      </c>
      <c r="I1573" t="s">
        <v>693</v>
      </c>
      <c r="J1573" t="s">
        <v>169</v>
      </c>
      <c r="K1573" t="s">
        <v>852</v>
      </c>
      <c r="O1573">
        <v>0</v>
      </c>
      <c r="U1573" t="s">
        <v>81</v>
      </c>
    </row>
    <row r="1574" spans="1:21" x14ac:dyDescent="0.25">
      <c r="A1574" s="33">
        <v>1576</v>
      </c>
      <c r="B1574" s="24">
        <v>44219</v>
      </c>
      <c r="C1574" t="s">
        <v>181</v>
      </c>
      <c r="D1574" t="s">
        <v>41</v>
      </c>
      <c r="E1574">
        <v>2000712318</v>
      </c>
      <c r="F1574">
        <v>160</v>
      </c>
      <c r="G1574">
        <v>40</v>
      </c>
      <c r="H1574">
        <v>0</v>
      </c>
      <c r="I1574" t="s">
        <v>693</v>
      </c>
      <c r="J1574" t="s">
        <v>169</v>
      </c>
      <c r="K1574" t="s">
        <v>767</v>
      </c>
      <c r="O1574">
        <v>0</v>
      </c>
      <c r="U1574" t="s">
        <v>81</v>
      </c>
    </row>
    <row r="1575" spans="1:21" x14ac:dyDescent="0.25">
      <c r="A1575" s="33">
        <v>1577</v>
      </c>
      <c r="B1575" s="24">
        <v>44219</v>
      </c>
      <c r="C1575" t="s">
        <v>181</v>
      </c>
      <c r="D1575" t="s">
        <v>41</v>
      </c>
      <c r="E1575">
        <v>2000712031</v>
      </c>
      <c r="F1575">
        <v>2206</v>
      </c>
      <c r="G1575">
        <v>90</v>
      </c>
      <c r="H1575">
        <v>0</v>
      </c>
      <c r="I1575" t="s">
        <v>693</v>
      </c>
      <c r="J1575" t="s">
        <v>174</v>
      </c>
      <c r="K1575" t="s">
        <v>774</v>
      </c>
      <c r="O1575">
        <v>0</v>
      </c>
      <c r="U1575" t="s">
        <v>81</v>
      </c>
    </row>
    <row r="1576" spans="1:21" x14ac:dyDescent="0.25">
      <c r="A1576" s="33">
        <v>1578</v>
      </c>
      <c r="B1576" s="24">
        <v>44219</v>
      </c>
      <c r="C1576" t="s">
        <v>181</v>
      </c>
      <c r="D1576" t="s">
        <v>41</v>
      </c>
      <c r="E1576">
        <v>2000712032</v>
      </c>
      <c r="F1576">
        <v>2260</v>
      </c>
      <c r="G1576">
        <v>180</v>
      </c>
      <c r="H1576">
        <v>0</v>
      </c>
      <c r="I1576" t="s">
        <v>693</v>
      </c>
      <c r="J1576" t="s">
        <v>170</v>
      </c>
      <c r="K1576" t="s">
        <v>899</v>
      </c>
      <c r="O1576">
        <v>0</v>
      </c>
      <c r="U1576" t="s">
        <v>81</v>
      </c>
    </row>
    <row r="1577" spans="1:21" x14ac:dyDescent="0.25">
      <c r="A1577" s="33">
        <v>1579</v>
      </c>
      <c r="B1577" s="24">
        <v>44219</v>
      </c>
      <c r="C1577" t="s">
        <v>181</v>
      </c>
      <c r="D1577" t="s">
        <v>41</v>
      </c>
      <c r="E1577">
        <v>2000712032</v>
      </c>
      <c r="F1577">
        <v>2260</v>
      </c>
      <c r="G1577">
        <v>135</v>
      </c>
      <c r="H1577">
        <v>0</v>
      </c>
      <c r="I1577" t="s">
        <v>759</v>
      </c>
      <c r="J1577" t="s">
        <v>170</v>
      </c>
      <c r="K1577" t="s">
        <v>899</v>
      </c>
      <c r="O1577">
        <v>0</v>
      </c>
      <c r="U1577" t="s">
        <v>81</v>
      </c>
    </row>
    <row r="1578" spans="1:21" x14ac:dyDescent="0.25">
      <c r="A1578" s="33">
        <v>1580</v>
      </c>
      <c r="B1578" s="24">
        <v>44219</v>
      </c>
      <c r="C1578" t="s">
        <v>181</v>
      </c>
      <c r="D1578" t="s">
        <v>41</v>
      </c>
      <c r="E1578">
        <v>2000712031</v>
      </c>
      <c r="F1578">
        <v>2206</v>
      </c>
      <c r="G1578">
        <v>1</v>
      </c>
      <c r="H1578">
        <v>0</v>
      </c>
      <c r="I1578" t="s">
        <v>759</v>
      </c>
      <c r="J1578" t="s">
        <v>174</v>
      </c>
      <c r="K1578" t="s">
        <v>774</v>
      </c>
      <c r="O1578">
        <v>0</v>
      </c>
      <c r="U1578" t="s">
        <v>81</v>
      </c>
    </row>
    <row r="1579" spans="1:21" x14ac:dyDescent="0.25">
      <c r="A1579" s="33">
        <v>1581</v>
      </c>
      <c r="B1579" s="24">
        <v>44221</v>
      </c>
      <c r="C1579" t="s">
        <v>39</v>
      </c>
      <c r="D1579" t="s">
        <v>41</v>
      </c>
      <c r="E1579">
        <v>2000712664</v>
      </c>
      <c r="F1579">
        <v>482</v>
      </c>
      <c r="G1579">
        <v>40</v>
      </c>
      <c r="H1579">
        <v>0</v>
      </c>
      <c r="I1579" t="s">
        <v>665</v>
      </c>
      <c r="J1579" t="s">
        <v>174</v>
      </c>
      <c r="K1579" t="s">
        <v>187</v>
      </c>
      <c r="O1579">
        <v>0</v>
      </c>
      <c r="U1579" t="s">
        <v>81</v>
      </c>
    </row>
    <row r="1580" spans="1:21" x14ac:dyDescent="0.25">
      <c r="A1580" s="33">
        <v>1582</v>
      </c>
      <c r="B1580" s="24">
        <v>44221</v>
      </c>
      <c r="C1580" t="s">
        <v>39</v>
      </c>
      <c r="D1580" t="s">
        <v>41</v>
      </c>
      <c r="E1580">
        <v>2000712395</v>
      </c>
      <c r="F1580">
        <v>402</v>
      </c>
      <c r="G1580">
        <v>40</v>
      </c>
      <c r="H1580">
        <v>0</v>
      </c>
      <c r="I1580" t="s">
        <v>665</v>
      </c>
      <c r="J1580" t="s">
        <v>641</v>
      </c>
      <c r="K1580" t="s">
        <v>735</v>
      </c>
      <c r="O1580">
        <v>0</v>
      </c>
      <c r="U1580" t="s">
        <v>81</v>
      </c>
    </row>
    <row r="1581" spans="1:21" x14ac:dyDescent="0.25">
      <c r="A1581" s="33">
        <v>1583</v>
      </c>
      <c r="B1581" s="24">
        <v>44221</v>
      </c>
      <c r="C1581" t="s">
        <v>39</v>
      </c>
      <c r="D1581" t="s">
        <v>41</v>
      </c>
      <c r="E1581">
        <v>2000712656</v>
      </c>
      <c r="F1581">
        <v>1130</v>
      </c>
      <c r="G1581">
        <v>135</v>
      </c>
      <c r="H1581">
        <v>0</v>
      </c>
      <c r="I1581" t="s">
        <v>665</v>
      </c>
      <c r="J1581" t="s">
        <v>698</v>
      </c>
      <c r="K1581" t="s">
        <v>786</v>
      </c>
      <c r="O1581">
        <v>0</v>
      </c>
      <c r="U1581" t="s">
        <v>81</v>
      </c>
    </row>
    <row r="1582" spans="1:21" x14ac:dyDescent="0.25">
      <c r="A1582" s="33">
        <v>1584</v>
      </c>
      <c r="B1582" s="24">
        <v>44221</v>
      </c>
      <c r="C1582" t="s">
        <v>39</v>
      </c>
      <c r="D1582" t="s">
        <v>41</v>
      </c>
      <c r="E1582">
        <v>2000712395</v>
      </c>
      <c r="F1582">
        <v>402</v>
      </c>
      <c r="G1582">
        <v>2</v>
      </c>
      <c r="H1582">
        <v>0</v>
      </c>
      <c r="I1582" t="s">
        <v>938</v>
      </c>
      <c r="J1582" t="s">
        <v>174</v>
      </c>
      <c r="K1582" t="s">
        <v>735</v>
      </c>
      <c r="O1582">
        <v>0</v>
      </c>
      <c r="U1582" t="s">
        <v>81</v>
      </c>
    </row>
    <row r="1583" spans="1:21" x14ac:dyDescent="0.25">
      <c r="A1583" s="33">
        <v>1585</v>
      </c>
      <c r="B1583" s="24">
        <v>44221</v>
      </c>
      <c r="C1583" t="s">
        <v>39</v>
      </c>
      <c r="D1583" t="s">
        <v>41</v>
      </c>
      <c r="E1583">
        <v>2000712031</v>
      </c>
      <c r="F1583">
        <v>2206</v>
      </c>
      <c r="G1583">
        <v>135</v>
      </c>
      <c r="H1583">
        <v>0</v>
      </c>
      <c r="I1583" t="s">
        <v>938</v>
      </c>
      <c r="J1583" t="s">
        <v>174</v>
      </c>
      <c r="K1583" t="s">
        <v>774</v>
      </c>
      <c r="O1583">
        <v>0</v>
      </c>
      <c r="U1583" t="s">
        <v>81</v>
      </c>
    </row>
    <row r="1584" spans="1:21" x14ac:dyDescent="0.25">
      <c r="A1584" s="33">
        <v>1586</v>
      </c>
      <c r="B1584" s="24">
        <v>44221</v>
      </c>
      <c r="C1584" t="s">
        <v>39</v>
      </c>
      <c r="D1584" t="s">
        <v>41</v>
      </c>
      <c r="E1584">
        <v>2000712260</v>
      </c>
      <c r="F1584">
        <v>2000</v>
      </c>
      <c r="G1584">
        <v>200</v>
      </c>
      <c r="H1584">
        <v>0</v>
      </c>
      <c r="I1584" t="s">
        <v>201</v>
      </c>
      <c r="J1584" t="s">
        <v>193</v>
      </c>
      <c r="K1584" t="s">
        <v>686</v>
      </c>
      <c r="O1584">
        <v>0</v>
      </c>
      <c r="U1584" t="s">
        <v>81</v>
      </c>
    </row>
    <row r="1585" spans="1:21" x14ac:dyDescent="0.25">
      <c r="A1585" s="33">
        <v>1587</v>
      </c>
      <c r="B1585" s="24">
        <v>44221</v>
      </c>
      <c r="C1585" t="s">
        <v>39</v>
      </c>
      <c r="D1585" t="s">
        <v>41</v>
      </c>
      <c r="E1585">
        <v>2000709832</v>
      </c>
      <c r="F1585">
        <v>1920</v>
      </c>
      <c r="G1585">
        <v>240</v>
      </c>
      <c r="H1585">
        <v>0</v>
      </c>
      <c r="I1585" t="s">
        <v>201</v>
      </c>
      <c r="J1585" t="s">
        <v>203</v>
      </c>
      <c r="K1585" t="s">
        <v>640</v>
      </c>
      <c r="O1585">
        <v>0</v>
      </c>
      <c r="U1585" t="s">
        <v>81</v>
      </c>
    </row>
    <row r="1586" spans="1:21" x14ac:dyDescent="0.25">
      <c r="A1586" s="33">
        <v>1588</v>
      </c>
      <c r="B1586" s="24">
        <v>44221</v>
      </c>
      <c r="C1586" t="s">
        <v>39</v>
      </c>
      <c r="D1586" t="s">
        <v>41</v>
      </c>
      <c r="E1586">
        <v>2000712905</v>
      </c>
      <c r="F1586">
        <v>4000</v>
      </c>
      <c r="G1586">
        <v>120</v>
      </c>
      <c r="H1586">
        <v>0</v>
      </c>
      <c r="I1586" t="s">
        <v>201</v>
      </c>
      <c r="J1586" t="s">
        <v>200</v>
      </c>
      <c r="K1586" t="s">
        <v>653</v>
      </c>
      <c r="O1586">
        <v>0</v>
      </c>
      <c r="U1586" t="s">
        <v>81</v>
      </c>
    </row>
    <row r="1587" spans="1:21" x14ac:dyDescent="0.25">
      <c r="A1587" s="33">
        <v>1589</v>
      </c>
      <c r="B1587" s="24">
        <v>44221</v>
      </c>
      <c r="C1587" t="s">
        <v>39</v>
      </c>
      <c r="D1587" t="s">
        <v>41</v>
      </c>
      <c r="E1587">
        <v>2000712908</v>
      </c>
      <c r="F1587">
        <v>2000</v>
      </c>
      <c r="G1587">
        <v>160</v>
      </c>
      <c r="H1587">
        <v>0</v>
      </c>
      <c r="I1587" t="s">
        <v>201</v>
      </c>
      <c r="J1587" t="s">
        <v>655</v>
      </c>
      <c r="K1587" t="s">
        <v>939</v>
      </c>
      <c r="O1587">
        <v>0</v>
      </c>
      <c r="U1587" t="s">
        <v>81</v>
      </c>
    </row>
    <row r="1588" spans="1:21" x14ac:dyDescent="0.25">
      <c r="A1588" s="33">
        <v>1590</v>
      </c>
      <c r="B1588" s="24">
        <v>44221</v>
      </c>
      <c r="C1588" t="s">
        <v>39</v>
      </c>
      <c r="D1588" t="s">
        <v>41</v>
      </c>
      <c r="E1588">
        <v>2000712248</v>
      </c>
      <c r="F1588">
        <v>6600</v>
      </c>
      <c r="G1588">
        <v>300</v>
      </c>
      <c r="H1588">
        <v>0</v>
      </c>
      <c r="I1588" t="s">
        <v>201</v>
      </c>
      <c r="J1588" t="s">
        <v>200</v>
      </c>
      <c r="K1588" t="s">
        <v>737</v>
      </c>
      <c r="O1588">
        <v>0</v>
      </c>
      <c r="U1588" t="s">
        <v>81</v>
      </c>
    </row>
    <row r="1589" spans="1:21" x14ac:dyDescent="0.25">
      <c r="A1589" s="33">
        <v>1591</v>
      </c>
      <c r="B1589" s="24">
        <v>44221</v>
      </c>
      <c r="C1589" t="s">
        <v>39</v>
      </c>
      <c r="D1589" t="s">
        <v>41</v>
      </c>
      <c r="E1589">
        <v>2000712192</v>
      </c>
      <c r="F1589">
        <v>3200</v>
      </c>
      <c r="G1589">
        <v>300</v>
      </c>
      <c r="H1589">
        <v>0</v>
      </c>
      <c r="I1589" t="s">
        <v>201</v>
      </c>
      <c r="J1589" t="s">
        <v>645</v>
      </c>
      <c r="K1589" t="s">
        <v>658</v>
      </c>
      <c r="O1589">
        <v>0</v>
      </c>
      <c r="U1589" t="s">
        <v>81</v>
      </c>
    </row>
    <row r="1590" spans="1:21" x14ac:dyDescent="0.25">
      <c r="A1590" s="33">
        <v>1592</v>
      </c>
      <c r="B1590" s="24">
        <v>44221</v>
      </c>
      <c r="C1590" t="s">
        <v>39</v>
      </c>
      <c r="D1590" t="s">
        <v>41</v>
      </c>
      <c r="E1590">
        <v>2000712257</v>
      </c>
      <c r="F1590">
        <v>2000</v>
      </c>
      <c r="G1590">
        <v>200</v>
      </c>
      <c r="H1590">
        <v>0</v>
      </c>
      <c r="I1590" t="s">
        <v>201</v>
      </c>
      <c r="J1590" t="s">
        <v>193</v>
      </c>
      <c r="K1590" t="s">
        <v>176</v>
      </c>
      <c r="O1590">
        <v>0</v>
      </c>
      <c r="U1590" t="s">
        <v>81</v>
      </c>
    </row>
    <row r="1591" spans="1:21" x14ac:dyDescent="0.25">
      <c r="A1591" s="33">
        <v>1593</v>
      </c>
      <c r="B1591" s="24">
        <v>44221</v>
      </c>
      <c r="C1591" t="s">
        <v>39</v>
      </c>
      <c r="D1591" t="s">
        <v>41</v>
      </c>
      <c r="E1591">
        <v>2000709832</v>
      </c>
      <c r="F1591">
        <v>1920</v>
      </c>
      <c r="G1591">
        <v>240</v>
      </c>
      <c r="H1591">
        <v>0</v>
      </c>
      <c r="I1591" t="s">
        <v>201</v>
      </c>
      <c r="J1591" t="s">
        <v>203</v>
      </c>
      <c r="K1591" t="s">
        <v>728</v>
      </c>
      <c r="O1591">
        <v>0</v>
      </c>
      <c r="U1591" t="s">
        <v>81</v>
      </c>
    </row>
    <row r="1592" spans="1:21" x14ac:dyDescent="0.25">
      <c r="A1592" s="33">
        <v>1594</v>
      </c>
      <c r="B1592" s="24">
        <v>44221</v>
      </c>
      <c r="C1592" t="s">
        <v>39</v>
      </c>
      <c r="D1592" t="s">
        <v>41</v>
      </c>
      <c r="E1592">
        <v>2000712259</v>
      </c>
      <c r="F1592">
        <v>2000</v>
      </c>
      <c r="G1592">
        <v>160</v>
      </c>
      <c r="H1592">
        <v>0</v>
      </c>
      <c r="I1592" t="s">
        <v>201</v>
      </c>
      <c r="J1592" t="s">
        <v>193</v>
      </c>
      <c r="K1592" t="s">
        <v>650</v>
      </c>
      <c r="O1592">
        <v>0</v>
      </c>
      <c r="U1592" t="s">
        <v>81</v>
      </c>
    </row>
    <row r="1593" spans="1:21" x14ac:dyDescent="0.25">
      <c r="A1593" s="33">
        <v>1595</v>
      </c>
      <c r="B1593" s="24">
        <v>44221</v>
      </c>
      <c r="C1593" t="s">
        <v>39</v>
      </c>
      <c r="D1593" t="s">
        <v>41</v>
      </c>
      <c r="E1593">
        <v>2000712449</v>
      </c>
      <c r="F1593">
        <v>4221</v>
      </c>
      <c r="G1593">
        <v>240</v>
      </c>
      <c r="H1593">
        <v>0</v>
      </c>
      <c r="I1593" t="s">
        <v>201</v>
      </c>
      <c r="J1593" t="s">
        <v>169</v>
      </c>
      <c r="K1593" t="s">
        <v>652</v>
      </c>
      <c r="O1593">
        <v>0</v>
      </c>
      <c r="U1593" t="s">
        <v>81</v>
      </c>
    </row>
    <row r="1594" spans="1:21" x14ac:dyDescent="0.25">
      <c r="A1594" s="33">
        <v>1596</v>
      </c>
      <c r="B1594" s="24">
        <v>44221</v>
      </c>
      <c r="C1594" t="s">
        <v>39</v>
      </c>
      <c r="D1594" t="s">
        <v>41</v>
      </c>
      <c r="E1594">
        <v>2000711854</v>
      </c>
      <c r="F1594">
        <v>1808</v>
      </c>
      <c r="G1594">
        <v>400</v>
      </c>
      <c r="H1594">
        <v>0</v>
      </c>
      <c r="I1594" t="s">
        <v>666</v>
      </c>
      <c r="J1594" t="s">
        <v>203</v>
      </c>
      <c r="K1594" t="s">
        <v>788</v>
      </c>
      <c r="O1594">
        <v>0</v>
      </c>
      <c r="U1594" t="s">
        <v>81</v>
      </c>
    </row>
    <row r="1595" spans="1:21" x14ac:dyDescent="0.25">
      <c r="A1595" s="33">
        <v>1597</v>
      </c>
      <c r="B1595" s="24">
        <v>44221</v>
      </c>
      <c r="C1595" t="s">
        <v>39</v>
      </c>
      <c r="D1595" t="s">
        <v>41</v>
      </c>
      <c r="E1595">
        <v>2000712394</v>
      </c>
      <c r="F1595">
        <v>400</v>
      </c>
      <c r="G1595">
        <v>40</v>
      </c>
      <c r="H1595">
        <v>0</v>
      </c>
      <c r="I1595" t="s">
        <v>666</v>
      </c>
      <c r="J1595" t="s">
        <v>174</v>
      </c>
      <c r="K1595" t="s">
        <v>805</v>
      </c>
      <c r="O1595">
        <v>0</v>
      </c>
      <c r="U1595" t="s">
        <v>81</v>
      </c>
    </row>
    <row r="1596" spans="1:21" ht="30" x14ac:dyDescent="0.25">
      <c r="A1596" s="33">
        <v>1598</v>
      </c>
      <c r="B1596" s="24">
        <v>44221</v>
      </c>
      <c r="C1596" t="s">
        <v>39</v>
      </c>
      <c r="D1596" t="s">
        <v>41</v>
      </c>
      <c r="E1596">
        <v>2000712395</v>
      </c>
      <c r="F1596">
        <v>402</v>
      </c>
      <c r="G1596">
        <v>320</v>
      </c>
      <c r="H1596">
        <v>0</v>
      </c>
      <c r="I1596" t="s">
        <v>666</v>
      </c>
      <c r="J1596" t="s">
        <v>174</v>
      </c>
      <c r="K1596" t="s">
        <v>735</v>
      </c>
      <c r="O1596">
        <v>0</v>
      </c>
      <c r="T1596" s="62" t="s">
        <v>723</v>
      </c>
      <c r="U1596" t="s">
        <v>81</v>
      </c>
    </row>
    <row r="1597" spans="1:21" x14ac:dyDescent="0.25">
      <c r="A1597" s="33">
        <v>1599</v>
      </c>
      <c r="B1597" s="24">
        <v>44221</v>
      </c>
      <c r="C1597" t="s">
        <v>39</v>
      </c>
      <c r="D1597" t="s">
        <v>41</v>
      </c>
      <c r="E1597">
        <v>2000712361</v>
      </c>
      <c r="F1597">
        <v>900</v>
      </c>
      <c r="G1597">
        <v>80</v>
      </c>
      <c r="H1597">
        <v>0</v>
      </c>
      <c r="I1597" t="s">
        <v>666</v>
      </c>
      <c r="J1597" t="s">
        <v>687</v>
      </c>
      <c r="K1597" t="s">
        <v>705</v>
      </c>
      <c r="O1597">
        <v>0</v>
      </c>
      <c r="U1597" t="s">
        <v>81</v>
      </c>
    </row>
    <row r="1598" spans="1:21" x14ac:dyDescent="0.25">
      <c r="A1598" s="33">
        <v>1600</v>
      </c>
      <c r="B1598" s="24">
        <v>44221</v>
      </c>
      <c r="C1598" t="s">
        <v>39</v>
      </c>
      <c r="D1598" t="s">
        <v>41</v>
      </c>
      <c r="E1598">
        <v>2000712394</v>
      </c>
      <c r="F1598">
        <v>400</v>
      </c>
      <c r="G1598">
        <v>317</v>
      </c>
      <c r="H1598">
        <v>0</v>
      </c>
      <c r="I1598" t="s">
        <v>178</v>
      </c>
      <c r="J1598" t="s">
        <v>174</v>
      </c>
      <c r="K1598" t="s">
        <v>805</v>
      </c>
      <c r="O1598">
        <v>0</v>
      </c>
      <c r="U1598" t="s">
        <v>81</v>
      </c>
    </row>
    <row r="1599" spans="1:21" x14ac:dyDescent="0.25">
      <c r="A1599" s="33">
        <v>1601</v>
      </c>
      <c r="B1599" s="24">
        <v>44221</v>
      </c>
      <c r="C1599" t="s">
        <v>39</v>
      </c>
      <c r="D1599" t="s">
        <v>41</v>
      </c>
      <c r="E1599">
        <v>2000712031</v>
      </c>
      <c r="F1599">
        <v>2206</v>
      </c>
      <c r="G1599">
        <v>90</v>
      </c>
      <c r="H1599">
        <v>0</v>
      </c>
      <c r="I1599" t="s">
        <v>178</v>
      </c>
      <c r="J1599" t="s">
        <v>174</v>
      </c>
      <c r="K1599" t="s">
        <v>774</v>
      </c>
      <c r="O1599">
        <v>0</v>
      </c>
      <c r="U1599" t="s">
        <v>81</v>
      </c>
    </row>
    <row r="1600" spans="1:21" x14ac:dyDescent="0.25">
      <c r="A1600" s="33">
        <v>1602</v>
      </c>
      <c r="B1600" s="24">
        <v>44221</v>
      </c>
      <c r="C1600" t="s">
        <v>39</v>
      </c>
      <c r="D1600" t="s">
        <v>41</v>
      </c>
      <c r="E1600">
        <v>2000712665</v>
      </c>
      <c r="F1600">
        <v>280</v>
      </c>
      <c r="G1600">
        <v>280</v>
      </c>
      <c r="H1600">
        <v>0</v>
      </c>
      <c r="I1600" t="s">
        <v>178</v>
      </c>
      <c r="J1600" t="s">
        <v>174</v>
      </c>
      <c r="K1600" t="s">
        <v>722</v>
      </c>
      <c r="O1600">
        <v>0</v>
      </c>
      <c r="U1600" t="s">
        <v>81</v>
      </c>
    </row>
    <row r="1601" spans="1:21" x14ac:dyDescent="0.25">
      <c r="A1601" s="33">
        <v>1603</v>
      </c>
      <c r="B1601" s="24">
        <v>44221</v>
      </c>
      <c r="C1601" t="s">
        <v>39</v>
      </c>
      <c r="D1601" t="s">
        <v>41</v>
      </c>
      <c r="E1601">
        <v>2000712994</v>
      </c>
      <c r="F1601">
        <v>96</v>
      </c>
      <c r="G1601">
        <v>96</v>
      </c>
      <c r="H1601">
        <v>0</v>
      </c>
      <c r="I1601" t="s">
        <v>178</v>
      </c>
      <c r="J1601" t="s">
        <v>169</v>
      </c>
      <c r="K1601" t="s">
        <v>663</v>
      </c>
      <c r="O1601">
        <v>0</v>
      </c>
      <c r="U1601" t="s">
        <v>81</v>
      </c>
    </row>
    <row r="1602" spans="1:21" x14ac:dyDescent="0.25">
      <c r="A1602" s="33">
        <v>1604</v>
      </c>
      <c r="B1602" s="24">
        <v>44221</v>
      </c>
      <c r="C1602" t="s">
        <v>39</v>
      </c>
      <c r="D1602" t="s">
        <v>41</v>
      </c>
      <c r="E1602">
        <v>2000712261</v>
      </c>
      <c r="F1602">
        <v>200</v>
      </c>
      <c r="G1602">
        <v>140</v>
      </c>
      <c r="H1602">
        <v>0</v>
      </c>
      <c r="I1602" t="s">
        <v>642</v>
      </c>
      <c r="J1602" t="s">
        <v>193</v>
      </c>
      <c r="K1602" t="s">
        <v>647</v>
      </c>
      <c r="O1602">
        <v>0</v>
      </c>
      <c r="U1602" t="s">
        <v>81</v>
      </c>
    </row>
    <row r="1603" spans="1:21" x14ac:dyDescent="0.25">
      <c r="A1603" s="33">
        <v>1605</v>
      </c>
      <c r="B1603" s="24">
        <v>44221</v>
      </c>
      <c r="C1603" t="s">
        <v>39</v>
      </c>
      <c r="D1603" t="s">
        <v>41</v>
      </c>
      <c r="E1603">
        <v>2000712333</v>
      </c>
      <c r="F1603">
        <v>40</v>
      </c>
      <c r="G1603">
        <v>20</v>
      </c>
      <c r="H1603">
        <v>0</v>
      </c>
      <c r="I1603" t="s">
        <v>642</v>
      </c>
      <c r="J1603" t="s">
        <v>645</v>
      </c>
      <c r="K1603" t="s">
        <v>853</v>
      </c>
      <c r="O1603">
        <v>0</v>
      </c>
      <c r="U1603" t="s">
        <v>81</v>
      </c>
    </row>
    <row r="1604" spans="1:21" x14ac:dyDescent="0.25">
      <c r="A1604" s="33">
        <v>1606</v>
      </c>
      <c r="B1604" s="24">
        <v>44221</v>
      </c>
      <c r="C1604" t="s">
        <v>39</v>
      </c>
      <c r="D1604" t="s">
        <v>41</v>
      </c>
      <c r="E1604">
        <v>2000712239</v>
      </c>
      <c r="F1604">
        <v>3800</v>
      </c>
      <c r="G1604">
        <v>20</v>
      </c>
      <c r="H1604">
        <v>0</v>
      </c>
      <c r="I1604" t="s">
        <v>642</v>
      </c>
      <c r="J1604" t="s">
        <v>172</v>
      </c>
      <c r="K1604" t="s">
        <v>173</v>
      </c>
      <c r="O1604">
        <v>0</v>
      </c>
      <c r="U1604" t="s">
        <v>81</v>
      </c>
    </row>
    <row r="1605" spans="1:21" x14ac:dyDescent="0.25">
      <c r="A1605" s="33">
        <v>1607</v>
      </c>
      <c r="B1605" s="24">
        <v>44221</v>
      </c>
      <c r="C1605" t="s">
        <v>39</v>
      </c>
      <c r="D1605" t="s">
        <v>41</v>
      </c>
      <c r="E1605">
        <v>2000712193</v>
      </c>
      <c r="F1605">
        <v>3200</v>
      </c>
      <c r="G1605">
        <v>120</v>
      </c>
      <c r="H1605">
        <v>0</v>
      </c>
      <c r="I1605" t="s">
        <v>642</v>
      </c>
      <c r="J1605" t="s">
        <v>645</v>
      </c>
      <c r="K1605" t="s">
        <v>721</v>
      </c>
      <c r="O1605">
        <v>0</v>
      </c>
      <c r="U1605" t="s">
        <v>81</v>
      </c>
    </row>
    <row r="1606" spans="1:21" x14ac:dyDescent="0.25">
      <c r="A1606" s="33">
        <v>1608</v>
      </c>
      <c r="B1606" s="24">
        <v>44221</v>
      </c>
      <c r="C1606" t="s">
        <v>39</v>
      </c>
      <c r="D1606" t="s">
        <v>41</v>
      </c>
      <c r="E1606">
        <v>2000712724</v>
      </c>
      <c r="F1606">
        <v>2300</v>
      </c>
      <c r="G1606">
        <v>130</v>
      </c>
      <c r="H1606">
        <v>0</v>
      </c>
      <c r="I1606" t="s">
        <v>642</v>
      </c>
      <c r="J1606" t="s">
        <v>172</v>
      </c>
      <c r="K1606" t="s">
        <v>724</v>
      </c>
      <c r="O1606">
        <v>0</v>
      </c>
      <c r="U1606" t="s">
        <v>81</v>
      </c>
    </row>
    <row r="1607" spans="1:21" x14ac:dyDescent="0.25">
      <c r="A1607" s="33">
        <v>1609</v>
      </c>
      <c r="B1607" s="24">
        <v>44221</v>
      </c>
      <c r="C1607" t="s">
        <v>39</v>
      </c>
      <c r="D1607" t="s">
        <v>41</v>
      </c>
      <c r="E1607">
        <v>2000712226</v>
      </c>
      <c r="F1607">
        <v>440</v>
      </c>
      <c r="G1607">
        <v>80</v>
      </c>
      <c r="H1607">
        <v>0</v>
      </c>
      <c r="I1607" t="s">
        <v>642</v>
      </c>
      <c r="J1607" t="s">
        <v>645</v>
      </c>
      <c r="K1607" t="s">
        <v>719</v>
      </c>
      <c r="O1607">
        <v>0</v>
      </c>
      <c r="U1607" t="s">
        <v>81</v>
      </c>
    </row>
    <row r="1608" spans="1:21" x14ac:dyDescent="0.25">
      <c r="A1608" s="33">
        <v>1610</v>
      </c>
      <c r="B1608" s="24">
        <v>44221</v>
      </c>
      <c r="C1608" t="s">
        <v>39</v>
      </c>
      <c r="D1608" t="s">
        <v>41</v>
      </c>
      <c r="E1608">
        <v>2000712335</v>
      </c>
      <c r="F1608">
        <v>100</v>
      </c>
      <c r="G1608">
        <v>20</v>
      </c>
      <c r="H1608">
        <v>0</v>
      </c>
      <c r="I1608" t="s">
        <v>642</v>
      </c>
      <c r="J1608" t="s">
        <v>645</v>
      </c>
      <c r="K1608" t="s">
        <v>720</v>
      </c>
      <c r="O1608">
        <v>0</v>
      </c>
      <c r="U1608" t="s">
        <v>81</v>
      </c>
    </row>
    <row r="1609" spans="1:21" x14ac:dyDescent="0.25">
      <c r="A1609" s="33">
        <v>1611</v>
      </c>
      <c r="B1609" s="24">
        <v>44221</v>
      </c>
      <c r="C1609" t="s">
        <v>39</v>
      </c>
      <c r="D1609" t="s">
        <v>41</v>
      </c>
      <c r="E1609">
        <v>2000712228</v>
      </c>
      <c r="F1609">
        <v>670</v>
      </c>
      <c r="G1609">
        <v>80</v>
      </c>
      <c r="H1609">
        <v>0</v>
      </c>
      <c r="I1609" t="s">
        <v>642</v>
      </c>
      <c r="J1609" t="s">
        <v>645</v>
      </c>
      <c r="K1609" t="s">
        <v>718</v>
      </c>
      <c r="O1609">
        <v>0</v>
      </c>
      <c r="U1609" t="s">
        <v>81</v>
      </c>
    </row>
    <row r="1610" spans="1:21" x14ac:dyDescent="0.25">
      <c r="A1610" s="33">
        <v>1612</v>
      </c>
      <c r="B1610" s="24">
        <v>44221</v>
      </c>
      <c r="C1610" t="s">
        <v>39</v>
      </c>
      <c r="D1610" t="s">
        <v>41</v>
      </c>
      <c r="E1610">
        <v>2000711362</v>
      </c>
      <c r="F1610">
        <v>720</v>
      </c>
      <c r="G1610">
        <v>135</v>
      </c>
      <c r="H1610">
        <v>0</v>
      </c>
      <c r="I1610" t="s">
        <v>191</v>
      </c>
      <c r="J1610" t="s">
        <v>698</v>
      </c>
      <c r="K1610" t="s">
        <v>786</v>
      </c>
      <c r="O1610">
        <v>0</v>
      </c>
      <c r="U1610" t="s">
        <v>81</v>
      </c>
    </row>
    <row r="1611" spans="1:21" x14ac:dyDescent="0.25">
      <c r="A1611" s="33">
        <v>1613</v>
      </c>
      <c r="B1611" s="24">
        <v>44221</v>
      </c>
      <c r="C1611" t="s">
        <v>39</v>
      </c>
      <c r="D1611" t="s">
        <v>41</v>
      </c>
      <c r="E1611">
        <v>2000711722</v>
      </c>
      <c r="F1611">
        <v>630</v>
      </c>
      <c r="G1611">
        <v>30</v>
      </c>
      <c r="H1611">
        <v>0</v>
      </c>
      <c r="I1611" t="s">
        <v>168</v>
      </c>
      <c r="J1611" t="s">
        <v>203</v>
      </c>
      <c r="K1611" t="s">
        <v>768</v>
      </c>
      <c r="O1611">
        <v>0</v>
      </c>
      <c r="U1611" t="s">
        <v>81</v>
      </c>
    </row>
    <row r="1612" spans="1:21" x14ac:dyDescent="0.25">
      <c r="A1612" s="33">
        <v>1614</v>
      </c>
      <c r="B1612" s="24">
        <v>44221</v>
      </c>
      <c r="C1612" t="s">
        <v>39</v>
      </c>
      <c r="D1612" t="s">
        <v>41</v>
      </c>
      <c r="E1612">
        <v>2000711721</v>
      </c>
      <c r="F1612">
        <v>420</v>
      </c>
      <c r="G1612">
        <v>120</v>
      </c>
      <c r="H1612">
        <v>0</v>
      </c>
      <c r="I1612" t="s">
        <v>168</v>
      </c>
      <c r="J1612" t="s">
        <v>203</v>
      </c>
      <c r="K1612" t="s">
        <v>793</v>
      </c>
      <c r="O1612">
        <v>0</v>
      </c>
      <c r="U1612" t="s">
        <v>81</v>
      </c>
    </row>
    <row r="1613" spans="1:21" x14ac:dyDescent="0.25">
      <c r="A1613" s="33">
        <v>1615</v>
      </c>
      <c r="B1613" s="24">
        <v>44221</v>
      </c>
      <c r="C1613" t="s">
        <v>39</v>
      </c>
      <c r="D1613" t="s">
        <v>41</v>
      </c>
      <c r="E1613">
        <v>2000711362</v>
      </c>
      <c r="F1613">
        <v>720</v>
      </c>
      <c r="G1613">
        <v>45</v>
      </c>
      <c r="H1613">
        <v>0</v>
      </c>
      <c r="I1613" t="s">
        <v>194</v>
      </c>
      <c r="J1613" t="s">
        <v>698</v>
      </c>
      <c r="K1613" t="s">
        <v>786</v>
      </c>
      <c r="O1613">
        <v>0</v>
      </c>
      <c r="U1613" t="s">
        <v>81</v>
      </c>
    </row>
    <row r="1614" spans="1:21" x14ac:dyDescent="0.25">
      <c r="A1614" s="33">
        <v>1616</v>
      </c>
      <c r="B1614" s="24">
        <v>44221</v>
      </c>
      <c r="C1614" t="s">
        <v>39</v>
      </c>
      <c r="D1614" t="s">
        <v>41</v>
      </c>
      <c r="E1614">
        <v>2000712182</v>
      </c>
      <c r="F1614">
        <v>1600</v>
      </c>
      <c r="G1614">
        <v>30</v>
      </c>
      <c r="H1614">
        <v>0</v>
      </c>
      <c r="I1614" t="s">
        <v>194</v>
      </c>
      <c r="J1614" t="s">
        <v>169</v>
      </c>
      <c r="K1614" t="s">
        <v>179</v>
      </c>
      <c r="O1614">
        <v>0</v>
      </c>
      <c r="U1614" t="s">
        <v>81</v>
      </c>
    </row>
    <row r="1615" spans="1:21" x14ac:dyDescent="0.25">
      <c r="A1615" s="33">
        <v>1617</v>
      </c>
      <c r="B1615" s="24">
        <v>44221</v>
      </c>
      <c r="C1615" t="s">
        <v>39</v>
      </c>
      <c r="D1615" t="s">
        <v>41</v>
      </c>
      <c r="E1615">
        <v>2000712316</v>
      </c>
      <c r="F1615">
        <v>1400</v>
      </c>
      <c r="G1615">
        <v>60</v>
      </c>
      <c r="H1615">
        <v>0</v>
      </c>
      <c r="I1615" t="s">
        <v>194</v>
      </c>
      <c r="J1615" t="s">
        <v>169</v>
      </c>
      <c r="K1615" t="s">
        <v>663</v>
      </c>
      <c r="O1615">
        <v>0</v>
      </c>
      <c r="U1615" t="s">
        <v>81</v>
      </c>
    </row>
    <row r="1616" spans="1:21" x14ac:dyDescent="0.25">
      <c r="A1616" s="33">
        <v>1618</v>
      </c>
      <c r="B1616" s="24">
        <v>44221</v>
      </c>
      <c r="C1616" t="s">
        <v>39</v>
      </c>
      <c r="D1616" t="s">
        <v>41</v>
      </c>
      <c r="E1616">
        <v>2000712656</v>
      </c>
      <c r="F1616">
        <v>1130</v>
      </c>
      <c r="G1616">
        <v>285</v>
      </c>
      <c r="H1616">
        <v>0</v>
      </c>
      <c r="I1616" t="s">
        <v>194</v>
      </c>
      <c r="J1616" t="s">
        <v>698</v>
      </c>
      <c r="K1616" t="s">
        <v>786</v>
      </c>
      <c r="O1616">
        <v>0</v>
      </c>
      <c r="U1616" t="s">
        <v>81</v>
      </c>
    </row>
    <row r="1617" spans="1:21" ht="30" x14ac:dyDescent="0.25">
      <c r="A1617" s="33">
        <v>1619</v>
      </c>
      <c r="B1617" s="24">
        <v>44221</v>
      </c>
      <c r="C1617" t="s">
        <v>39</v>
      </c>
      <c r="D1617" t="s">
        <v>41</v>
      </c>
      <c r="E1617">
        <v>2000711721</v>
      </c>
      <c r="F1617">
        <v>420</v>
      </c>
      <c r="G1617">
        <v>60</v>
      </c>
      <c r="H1617">
        <v>0</v>
      </c>
      <c r="I1617" t="s">
        <v>194</v>
      </c>
      <c r="J1617" t="s">
        <v>203</v>
      </c>
      <c r="K1617" t="s">
        <v>793</v>
      </c>
      <c r="O1617">
        <v>0</v>
      </c>
      <c r="T1617" s="62" t="s">
        <v>723</v>
      </c>
      <c r="U1617" t="s">
        <v>81</v>
      </c>
    </row>
    <row r="1618" spans="1:21" x14ac:dyDescent="0.25">
      <c r="A1618" s="33">
        <v>1620</v>
      </c>
      <c r="B1618" s="24">
        <v>44221</v>
      </c>
      <c r="C1618" t="s">
        <v>39</v>
      </c>
      <c r="D1618" t="s">
        <v>41</v>
      </c>
      <c r="E1618">
        <v>2000712664</v>
      </c>
      <c r="F1618">
        <v>482</v>
      </c>
      <c r="G1618">
        <v>80</v>
      </c>
      <c r="H1618">
        <v>0</v>
      </c>
      <c r="I1618" t="s">
        <v>194</v>
      </c>
      <c r="J1618" t="s">
        <v>174</v>
      </c>
      <c r="K1618" t="s">
        <v>187</v>
      </c>
      <c r="O1618">
        <v>0</v>
      </c>
      <c r="U1618" t="s">
        <v>81</v>
      </c>
    </row>
    <row r="1619" spans="1:21" x14ac:dyDescent="0.25">
      <c r="A1619" s="33">
        <v>1621</v>
      </c>
      <c r="B1619" s="24">
        <v>44221</v>
      </c>
      <c r="C1619" t="s">
        <v>39</v>
      </c>
      <c r="D1619" t="s">
        <v>41</v>
      </c>
      <c r="E1619">
        <v>2000712656</v>
      </c>
      <c r="F1619">
        <v>1130</v>
      </c>
      <c r="G1619">
        <v>480</v>
      </c>
      <c r="H1619">
        <v>0</v>
      </c>
      <c r="I1619" t="s">
        <v>661</v>
      </c>
      <c r="J1619" t="s">
        <v>698</v>
      </c>
      <c r="K1619" t="s">
        <v>786</v>
      </c>
      <c r="O1619">
        <v>0</v>
      </c>
      <c r="U1619" t="s">
        <v>81</v>
      </c>
    </row>
    <row r="1620" spans="1:21" x14ac:dyDescent="0.25">
      <c r="A1620" s="33">
        <v>1622</v>
      </c>
      <c r="B1620" s="24">
        <v>44221</v>
      </c>
      <c r="C1620" t="s">
        <v>39</v>
      </c>
      <c r="D1620" t="s">
        <v>41</v>
      </c>
      <c r="E1620">
        <v>2000711362</v>
      </c>
      <c r="F1620">
        <v>720</v>
      </c>
      <c r="G1620">
        <v>90</v>
      </c>
      <c r="H1620">
        <v>0</v>
      </c>
      <c r="I1620" t="s">
        <v>661</v>
      </c>
      <c r="J1620" t="s">
        <v>698</v>
      </c>
      <c r="K1620" t="s">
        <v>786</v>
      </c>
      <c r="O1620">
        <v>0</v>
      </c>
      <c r="U1620" t="s">
        <v>81</v>
      </c>
    </row>
    <row r="1621" spans="1:21" x14ac:dyDescent="0.25">
      <c r="A1621" s="33">
        <v>1623</v>
      </c>
      <c r="B1621" s="24">
        <v>44221</v>
      </c>
      <c r="C1621" t="s">
        <v>39</v>
      </c>
      <c r="D1621" t="s">
        <v>51</v>
      </c>
      <c r="E1621">
        <v>2000711963</v>
      </c>
      <c r="F1621">
        <v>680</v>
      </c>
      <c r="G1621">
        <v>170</v>
      </c>
      <c r="H1621">
        <v>0</v>
      </c>
      <c r="I1621" t="s">
        <v>168</v>
      </c>
      <c r="J1621" t="s">
        <v>673</v>
      </c>
      <c r="K1621" t="s">
        <v>708</v>
      </c>
      <c r="O1621">
        <v>0</v>
      </c>
      <c r="U1621" t="s">
        <v>81</v>
      </c>
    </row>
    <row r="1622" spans="1:21" x14ac:dyDescent="0.25">
      <c r="A1622" s="33">
        <v>1624</v>
      </c>
      <c r="B1622" s="24">
        <v>44221</v>
      </c>
      <c r="C1622" t="s">
        <v>39</v>
      </c>
      <c r="D1622" t="s">
        <v>51</v>
      </c>
      <c r="E1622">
        <v>2000711962</v>
      </c>
      <c r="F1622">
        <v>70</v>
      </c>
      <c r="G1622">
        <v>20</v>
      </c>
      <c r="H1622">
        <v>0</v>
      </c>
      <c r="I1622" t="s">
        <v>168</v>
      </c>
      <c r="J1622" t="s">
        <v>669</v>
      </c>
      <c r="K1622" t="s">
        <v>778</v>
      </c>
      <c r="O1622">
        <v>0</v>
      </c>
      <c r="U1622" t="s">
        <v>81</v>
      </c>
    </row>
    <row r="1623" spans="1:21" x14ac:dyDescent="0.25">
      <c r="A1623" s="33">
        <v>1625</v>
      </c>
      <c r="B1623" s="24">
        <v>44221</v>
      </c>
      <c r="C1623" t="s">
        <v>39</v>
      </c>
      <c r="D1623" t="s">
        <v>51</v>
      </c>
      <c r="E1623">
        <v>2000712458</v>
      </c>
      <c r="F1623">
        <v>1600</v>
      </c>
      <c r="G1623">
        <v>120</v>
      </c>
      <c r="H1623">
        <v>0</v>
      </c>
      <c r="I1623" t="s">
        <v>168</v>
      </c>
      <c r="J1623" t="s">
        <v>667</v>
      </c>
      <c r="K1623" t="s">
        <v>730</v>
      </c>
      <c r="O1623">
        <v>0</v>
      </c>
      <c r="U1623" t="s">
        <v>81</v>
      </c>
    </row>
    <row r="1624" spans="1:21" x14ac:dyDescent="0.25">
      <c r="A1624" s="33">
        <v>1626</v>
      </c>
      <c r="B1624" s="24">
        <v>44221</v>
      </c>
      <c r="C1624" t="s">
        <v>39</v>
      </c>
      <c r="D1624" t="s">
        <v>51</v>
      </c>
      <c r="E1624">
        <v>2000712881</v>
      </c>
      <c r="F1624">
        <v>250</v>
      </c>
      <c r="G1624">
        <v>40</v>
      </c>
      <c r="H1624">
        <v>0</v>
      </c>
      <c r="I1624" t="s">
        <v>168</v>
      </c>
      <c r="J1624" t="s">
        <v>669</v>
      </c>
      <c r="K1624" t="s">
        <v>834</v>
      </c>
      <c r="O1624">
        <v>0</v>
      </c>
      <c r="U1624" t="s">
        <v>81</v>
      </c>
    </row>
    <row r="1625" spans="1:21" x14ac:dyDescent="0.25">
      <c r="A1625" s="33">
        <v>1627</v>
      </c>
      <c r="B1625" s="24">
        <v>44221</v>
      </c>
      <c r="C1625" t="s">
        <v>39</v>
      </c>
      <c r="D1625" t="s">
        <v>51</v>
      </c>
      <c r="E1625">
        <v>2000712653</v>
      </c>
      <c r="F1625">
        <v>600</v>
      </c>
      <c r="G1625">
        <v>80</v>
      </c>
      <c r="H1625">
        <v>0</v>
      </c>
      <c r="I1625" t="s">
        <v>168</v>
      </c>
      <c r="J1625" t="s">
        <v>669</v>
      </c>
      <c r="K1625" t="s">
        <v>834</v>
      </c>
      <c r="O1625">
        <v>0</v>
      </c>
      <c r="U1625" t="s">
        <v>81</v>
      </c>
    </row>
    <row r="1626" spans="1:21" x14ac:dyDescent="0.25">
      <c r="A1626" s="33">
        <v>1628</v>
      </c>
      <c r="B1626" s="24">
        <v>44221</v>
      </c>
      <c r="C1626" t="s">
        <v>39</v>
      </c>
      <c r="D1626" t="s">
        <v>51</v>
      </c>
      <c r="E1626">
        <v>2000712650</v>
      </c>
      <c r="F1626">
        <v>660</v>
      </c>
      <c r="G1626">
        <v>60</v>
      </c>
      <c r="H1626">
        <v>0</v>
      </c>
      <c r="I1626" t="s">
        <v>168</v>
      </c>
      <c r="J1626" t="s">
        <v>667</v>
      </c>
      <c r="K1626" t="s">
        <v>668</v>
      </c>
      <c r="O1626">
        <v>0</v>
      </c>
      <c r="U1626" t="s">
        <v>81</v>
      </c>
    </row>
    <row r="1627" spans="1:21" x14ac:dyDescent="0.25">
      <c r="A1627" s="33">
        <v>1629</v>
      </c>
      <c r="B1627" s="24">
        <v>44221</v>
      </c>
      <c r="C1627" t="s">
        <v>39</v>
      </c>
      <c r="D1627" t="s">
        <v>51</v>
      </c>
      <c r="E1627">
        <v>2000711960</v>
      </c>
      <c r="F1627">
        <v>1000</v>
      </c>
      <c r="G1627">
        <v>80</v>
      </c>
      <c r="H1627">
        <v>0</v>
      </c>
      <c r="I1627" t="s">
        <v>191</v>
      </c>
      <c r="J1627" t="s">
        <v>673</v>
      </c>
      <c r="K1627" t="s">
        <v>672</v>
      </c>
      <c r="O1627">
        <v>0</v>
      </c>
      <c r="U1627" t="s">
        <v>81</v>
      </c>
    </row>
    <row r="1628" spans="1:21" x14ac:dyDescent="0.25">
      <c r="A1628" s="33">
        <v>1630</v>
      </c>
      <c r="B1628" s="24">
        <v>44221</v>
      </c>
      <c r="C1628" t="s">
        <v>39</v>
      </c>
      <c r="D1628" t="s">
        <v>51</v>
      </c>
      <c r="E1628">
        <v>2000711963</v>
      </c>
      <c r="F1628">
        <v>680</v>
      </c>
      <c r="G1628">
        <v>30</v>
      </c>
      <c r="H1628">
        <v>0</v>
      </c>
      <c r="I1628" t="s">
        <v>191</v>
      </c>
      <c r="J1628" t="s">
        <v>673</v>
      </c>
      <c r="K1628" t="s">
        <v>708</v>
      </c>
      <c r="O1628">
        <v>0</v>
      </c>
      <c r="U1628" t="s">
        <v>81</v>
      </c>
    </row>
    <row r="1629" spans="1:21" x14ac:dyDescent="0.25">
      <c r="A1629" s="33">
        <v>1631</v>
      </c>
      <c r="B1629" s="24">
        <v>44221</v>
      </c>
      <c r="C1629" t="s">
        <v>181</v>
      </c>
      <c r="D1629" t="s">
        <v>41</v>
      </c>
      <c r="E1629">
        <v>2000712395</v>
      </c>
      <c r="F1629">
        <v>402</v>
      </c>
      <c r="G1629">
        <v>40</v>
      </c>
      <c r="H1629">
        <v>0</v>
      </c>
      <c r="I1629" t="s">
        <v>696</v>
      </c>
      <c r="J1629" t="s">
        <v>174</v>
      </c>
      <c r="K1629" t="s">
        <v>735</v>
      </c>
      <c r="O1629">
        <v>0</v>
      </c>
      <c r="U1629" t="s">
        <v>81</v>
      </c>
    </row>
    <row r="1630" spans="1:21" x14ac:dyDescent="0.25">
      <c r="A1630" s="33">
        <v>1632</v>
      </c>
      <c r="B1630" s="24">
        <v>44221</v>
      </c>
      <c r="C1630" t="s">
        <v>181</v>
      </c>
      <c r="D1630" t="s">
        <v>41</v>
      </c>
      <c r="E1630">
        <v>2000712664</v>
      </c>
      <c r="F1630">
        <v>482</v>
      </c>
      <c r="G1630">
        <v>362</v>
      </c>
      <c r="H1630">
        <v>0</v>
      </c>
      <c r="I1630" t="s">
        <v>696</v>
      </c>
      <c r="J1630" t="s">
        <v>174</v>
      </c>
      <c r="K1630" t="s">
        <v>187</v>
      </c>
      <c r="O1630">
        <v>0</v>
      </c>
      <c r="U1630" t="s">
        <v>81</v>
      </c>
    </row>
    <row r="1631" spans="1:21" x14ac:dyDescent="0.25">
      <c r="A1631" s="33">
        <v>1633</v>
      </c>
      <c r="B1631" s="24">
        <v>44221</v>
      </c>
      <c r="C1631" t="s">
        <v>181</v>
      </c>
      <c r="D1631" t="s">
        <v>41</v>
      </c>
      <c r="E1631">
        <v>2000712666</v>
      </c>
      <c r="F1631">
        <v>280</v>
      </c>
      <c r="G1631">
        <v>80</v>
      </c>
      <c r="H1631">
        <v>0</v>
      </c>
      <c r="I1631" t="s">
        <v>696</v>
      </c>
      <c r="J1631" t="s">
        <v>174</v>
      </c>
      <c r="K1631" t="s">
        <v>177</v>
      </c>
      <c r="O1631">
        <v>0</v>
      </c>
      <c r="U1631" t="s">
        <v>81</v>
      </c>
    </row>
    <row r="1632" spans="1:21" x14ac:dyDescent="0.25">
      <c r="A1632" s="33">
        <v>1634</v>
      </c>
      <c r="B1632" s="24">
        <v>44221</v>
      </c>
      <c r="C1632" t="s">
        <v>181</v>
      </c>
      <c r="D1632" t="s">
        <v>41</v>
      </c>
      <c r="E1632">
        <v>2000712657</v>
      </c>
      <c r="F1632">
        <v>674</v>
      </c>
      <c r="G1632">
        <v>70</v>
      </c>
      <c r="H1632">
        <v>0</v>
      </c>
      <c r="I1632" t="s">
        <v>696</v>
      </c>
      <c r="J1632" t="s">
        <v>170</v>
      </c>
      <c r="K1632" t="s">
        <v>206</v>
      </c>
      <c r="O1632">
        <v>0</v>
      </c>
      <c r="U1632" t="s">
        <v>81</v>
      </c>
    </row>
    <row r="1633" spans="1:21" x14ac:dyDescent="0.25">
      <c r="A1633" s="33">
        <v>1635</v>
      </c>
      <c r="B1633" s="24">
        <v>44221</v>
      </c>
      <c r="C1633" t="s">
        <v>181</v>
      </c>
      <c r="D1633" t="s">
        <v>41</v>
      </c>
      <c r="E1633">
        <v>2000712994</v>
      </c>
      <c r="F1633">
        <v>96</v>
      </c>
      <c r="G1633">
        <v>96</v>
      </c>
      <c r="H1633">
        <v>0</v>
      </c>
      <c r="I1633" t="s">
        <v>198</v>
      </c>
      <c r="J1633" t="s">
        <v>169</v>
      </c>
      <c r="K1633" t="s">
        <v>663</v>
      </c>
      <c r="O1633">
        <v>0</v>
      </c>
      <c r="U1633" t="s">
        <v>83</v>
      </c>
    </row>
    <row r="1634" spans="1:21" x14ac:dyDescent="0.25">
      <c r="A1634" s="33">
        <v>1636</v>
      </c>
      <c r="B1634" s="24">
        <v>44221</v>
      </c>
      <c r="C1634" t="s">
        <v>181</v>
      </c>
      <c r="D1634" t="s">
        <v>41</v>
      </c>
      <c r="E1634">
        <v>2000712995</v>
      </c>
      <c r="F1634">
        <v>48</v>
      </c>
      <c r="G1634">
        <v>48</v>
      </c>
      <c r="H1634">
        <v>0</v>
      </c>
      <c r="I1634" t="s">
        <v>198</v>
      </c>
      <c r="J1634" t="s">
        <v>169</v>
      </c>
      <c r="K1634" t="s">
        <v>663</v>
      </c>
      <c r="O1634">
        <v>0</v>
      </c>
      <c r="U1634" t="s">
        <v>81</v>
      </c>
    </row>
    <row r="1635" spans="1:21" x14ac:dyDescent="0.25">
      <c r="A1635" s="33">
        <v>1637</v>
      </c>
      <c r="B1635" s="24">
        <v>44221</v>
      </c>
      <c r="C1635" t="s">
        <v>181</v>
      </c>
      <c r="D1635" t="s">
        <v>41</v>
      </c>
      <c r="E1635">
        <v>2000712031</v>
      </c>
      <c r="F1635">
        <v>2206</v>
      </c>
      <c r="G1635">
        <v>90</v>
      </c>
      <c r="H1635">
        <v>0</v>
      </c>
      <c r="I1635" t="s">
        <v>198</v>
      </c>
      <c r="J1635" t="s">
        <v>174</v>
      </c>
      <c r="K1635" t="s">
        <v>774</v>
      </c>
      <c r="O1635">
        <v>0</v>
      </c>
      <c r="U1635" t="s">
        <v>81</v>
      </c>
    </row>
    <row r="1636" spans="1:21" x14ac:dyDescent="0.25">
      <c r="A1636" s="33">
        <v>1638</v>
      </c>
      <c r="B1636" s="24">
        <v>44221</v>
      </c>
      <c r="C1636" t="s">
        <v>181</v>
      </c>
      <c r="D1636" t="s">
        <v>41</v>
      </c>
      <c r="E1636">
        <v>2000711677</v>
      </c>
      <c r="F1636">
        <v>1130</v>
      </c>
      <c r="G1636">
        <v>270</v>
      </c>
      <c r="H1636">
        <v>0</v>
      </c>
      <c r="I1636" t="s">
        <v>198</v>
      </c>
      <c r="J1636" t="s">
        <v>170</v>
      </c>
      <c r="K1636" t="s">
        <v>899</v>
      </c>
      <c r="O1636">
        <v>0</v>
      </c>
      <c r="U1636" t="s">
        <v>81</v>
      </c>
    </row>
    <row r="1637" spans="1:21" x14ac:dyDescent="0.25">
      <c r="A1637" s="33">
        <v>1639</v>
      </c>
      <c r="B1637" s="24">
        <v>44221</v>
      </c>
      <c r="C1637" t="s">
        <v>181</v>
      </c>
      <c r="D1637" t="s">
        <v>41</v>
      </c>
      <c r="E1637">
        <v>2000712657</v>
      </c>
      <c r="F1637">
        <v>674</v>
      </c>
      <c r="G1637">
        <v>155</v>
      </c>
      <c r="H1637">
        <v>0</v>
      </c>
      <c r="I1637" t="s">
        <v>198</v>
      </c>
      <c r="J1637" t="s">
        <v>170</v>
      </c>
      <c r="K1637" t="s">
        <v>206</v>
      </c>
      <c r="O1637">
        <v>0</v>
      </c>
      <c r="U1637" t="s">
        <v>81</v>
      </c>
    </row>
    <row r="1638" spans="1:21" ht="60" x14ac:dyDescent="0.25">
      <c r="A1638" s="33">
        <v>1640</v>
      </c>
      <c r="B1638" s="24">
        <v>44221</v>
      </c>
      <c r="C1638" t="s">
        <v>181</v>
      </c>
      <c r="D1638" t="s">
        <v>41</v>
      </c>
      <c r="E1638">
        <v>2000712707</v>
      </c>
      <c r="F1638">
        <v>440</v>
      </c>
      <c r="G1638">
        <v>40</v>
      </c>
      <c r="H1638">
        <v>0</v>
      </c>
      <c r="I1638" t="s">
        <v>198</v>
      </c>
      <c r="J1638" t="s">
        <v>645</v>
      </c>
      <c r="K1638" t="s">
        <v>752</v>
      </c>
      <c r="O1638">
        <v>0</v>
      </c>
      <c r="T1638" s="62" t="s">
        <v>821</v>
      </c>
      <c r="U1638" t="s">
        <v>81</v>
      </c>
    </row>
    <row r="1639" spans="1:21" x14ac:dyDescent="0.25">
      <c r="A1639" s="33">
        <v>1641</v>
      </c>
      <c r="B1639" s="24">
        <v>44221</v>
      </c>
      <c r="C1639" t="s">
        <v>181</v>
      </c>
      <c r="D1639" t="s">
        <v>41</v>
      </c>
      <c r="E1639">
        <v>2000711677</v>
      </c>
      <c r="F1639">
        <v>1130</v>
      </c>
      <c r="G1639">
        <v>90</v>
      </c>
      <c r="H1639">
        <v>0</v>
      </c>
      <c r="I1639" t="s">
        <v>789</v>
      </c>
      <c r="J1639" t="s">
        <v>170</v>
      </c>
      <c r="K1639" t="s">
        <v>899</v>
      </c>
      <c r="O1639">
        <v>0</v>
      </c>
      <c r="U1639" t="s">
        <v>81</v>
      </c>
    </row>
    <row r="1640" spans="1:21" x14ac:dyDescent="0.25">
      <c r="A1640" s="33">
        <v>1642</v>
      </c>
      <c r="B1640" s="24">
        <v>44221</v>
      </c>
      <c r="C1640" t="s">
        <v>181</v>
      </c>
      <c r="D1640" t="s">
        <v>41</v>
      </c>
      <c r="E1640">
        <v>2000711314</v>
      </c>
      <c r="F1640">
        <v>28</v>
      </c>
      <c r="G1640">
        <v>10</v>
      </c>
      <c r="H1640">
        <v>0</v>
      </c>
      <c r="I1640" t="s">
        <v>789</v>
      </c>
      <c r="J1640" t="s">
        <v>170</v>
      </c>
      <c r="K1640" t="s">
        <v>206</v>
      </c>
      <c r="O1640">
        <v>0</v>
      </c>
      <c r="U1640" t="s">
        <v>81</v>
      </c>
    </row>
    <row r="1641" spans="1:21" x14ac:dyDescent="0.25">
      <c r="A1641" s="33">
        <v>1643</v>
      </c>
      <c r="B1641" s="24">
        <v>44221</v>
      </c>
      <c r="C1641" t="s">
        <v>181</v>
      </c>
      <c r="D1641" t="s">
        <v>41</v>
      </c>
      <c r="E1641">
        <v>2000712031</v>
      </c>
      <c r="F1641">
        <v>2206</v>
      </c>
      <c r="G1641">
        <v>135</v>
      </c>
      <c r="H1641">
        <v>0</v>
      </c>
      <c r="I1641" t="s">
        <v>184</v>
      </c>
      <c r="J1641" t="s">
        <v>174</v>
      </c>
      <c r="K1641" t="s">
        <v>774</v>
      </c>
      <c r="O1641">
        <v>0</v>
      </c>
      <c r="U1641" t="s">
        <v>81</v>
      </c>
    </row>
    <row r="1642" spans="1:21" x14ac:dyDescent="0.25">
      <c r="A1642" s="33">
        <v>1644</v>
      </c>
      <c r="B1642" s="24">
        <v>44221</v>
      </c>
      <c r="C1642" t="s">
        <v>181</v>
      </c>
      <c r="D1642" t="s">
        <v>41</v>
      </c>
      <c r="E1642">
        <v>2000711677</v>
      </c>
      <c r="F1642">
        <v>1130</v>
      </c>
      <c r="G1642">
        <v>208</v>
      </c>
      <c r="H1642">
        <v>0</v>
      </c>
      <c r="I1642" t="s">
        <v>184</v>
      </c>
      <c r="J1642" t="s">
        <v>170</v>
      </c>
      <c r="K1642" t="s">
        <v>899</v>
      </c>
      <c r="O1642">
        <v>0</v>
      </c>
      <c r="U1642" t="s">
        <v>81</v>
      </c>
    </row>
    <row r="1643" spans="1:21" x14ac:dyDescent="0.25">
      <c r="A1643" s="33">
        <v>1645</v>
      </c>
      <c r="B1643" s="24">
        <v>44221</v>
      </c>
      <c r="C1643" t="s">
        <v>181</v>
      </c>
      <c r="D1643" t="s">
        <v>41</v>
      </c>
      <c r="E1643">
        <v>2000711361</v>
      </c>
      <c r="F1643">
        <v>2400</v>
      </c>
      <c r="G1643">
        <v>45</v>
      </c>
      <c r="H1643">
        <v>0</v>
      </c>
      <c r="I1643" t="s">
        <v>184</v>
      </c>
      <c r="J1643" t="s">
        <v>170</v>
      </c>
      <c r="K1643" t="s">
        <v>899</v>
      </c>
      <c r="O1643">
        <v>0</v>
      </c>
      <c r="U1643" t="s">
        <v>81</v>
      </c>
    </row>
    <row r="1644" spans="1:21" x14ac:dyDescent="0.25">
      <c r="A1644" s="33">
        <v>1646</v>
      </c>
      <c r="B1644" s="24">
        <v>44221</v>
      </c>
      <c r="C1644" t="s">
        <v>181</v>
      </c>
      <c r="D1644" t="s">
        <v>41</v>
      </c>
      <c r="E1644">
        <v>2000711340</v>
      </c>
      <c r="F1644">
        <v>2000</v>
      </c>
      <c r="G1644">
        <v>1</v>
      </c>
      <c r="H1644">
        <v>0</v>
      </c>
      <c r="I1644" t="s">
        <v>184</v>
      </c>
      <c r="J1644" t="s">
        <v>170</v>
      </c>
      <c r="K1644" t="s">
        <v>899</v>
      </c>
      <c r="O1644">
        <v>0</v>
      </c>
      <c r="U1644" t="s">
        <v>81</v>
      </c>
    </row>
    <row r="1645" spans="1:21" x14ac:dyDescent="0.25">
      <c r="A1645" s="33">
        <v>1647</v>
      </c>
      <c r="B1645" s="24">
        <v>44221</v>
      </c>
      <c r="C1645" t="s">
        <v>181</v>
      </c>
      <c r="D1645" t="s">
        <v>41</v>
      </c>
      <c r="E1645">
        <v>2000712031</v>
      </c>
      <c r="F1645">
        <v>2206</v>
      </c>
      <c r="G1645">
        <v>90</v>
      </c>
      <c r="H1645">
        <v>0</v>
      </c>
      <c r="I1645" t="s">
        <v>759</v>
      </c>
      <c r="J1645" t="s">
        <v>174</v>
      </c>
      <c r="K1645" t="s">
        <v>774</v>
      </c>
      <c r="O1645">
        <v>0</v>
      </c>
      <c r="U1645" t="s">
        <v>81</v>
      </c>
    </row>
    <row r="1646" spans="1:21" x14ac:dyDescent="0.25">
      <c r="A1646" s="33">
        <v>1648</v>
      </c>
      <c r="B1646" s="24">
        <v>44221</v>
      </c>
      <c r="C1646" t="s">
        <v>181</v>
      </c>
      <c r="D1646" t="s">
        <v>41</v>
      </c>
      <c r="E1646">
        <v>2000711340</v>
      </c>
      <c r="F1646">
        <v>2000</v>
      </c>
      <c r="G1646">
        <v>45</v>
      </c>
      <c r="H1646">
        <v>0</v>
      </c>
      <c r="I1646" t="s">
        <v>759</v>
      </c>
      <c r="J1646" t="s">
        <v>170</v>
      </c>
      <c r="K1646" t="s">
        <v>899</v>
      </c>
      <c r="O1646">
        <v>0</v>
      </c>
      <c r="U1646" t="s">
        <v>81</v>
      </c>
    </row>
    <row r="1647" spans="1:21" x14ac:dyDescent="0.25">
      <c r="A1647" s="33">
        <v>1649</v>
      </c>
      <c r="B1647" s="24">
        <v>44221</v>
      </c>
      <c r="C1647" t="s">
        <v>181</v>
      </c>
      <c r="D1647" t="s">
        <v>41</v>
      </c>
      <c r="E1647">
        <v>2000711677</v>
      </c>
      <c r="F1647">
        <v>1130</v>
      </c>
      <c r="G1647">
        <v>270</v>
      </c>
      <c r="H1647">
        <v>0</v>
      </c>
      <c r="I1647" t="s">
        <v>759</v>
      </c>
      <c r="J1647" t="s">
        <v>170</v>
      </c>
      <c r="K1647" t="s">
        <v>899</v>
      </c>
      <c r="O1647">
        <v>0</v>
      </c>
      <c r="U1647" t="s">
        <v>81</v>
      </c>
    </row>
    <row r="1648" spans="1:21" x14ac:dyDescent="0.25">
      <c r="A1648" s="33">
        <v>1650</v>
      </c>
      <c r="B1648" s="24">
        <v>44221</v>
      </c>
      <c r="C1648" t="s">
        <v>181</v>
      </c>
      <c r="D1648" t="s">
        <v>41</v>
      </c>
      <c r="E1648">
        <v>2000712816</v>
      </c>
      <c r="F1648">
        <v>752</v>
      </c>
      <c r="G1648">
        <v>150</v>
      </c>
      <c r="H1648">
        <v>0</v>
      </c>
      <c r="I1648" t="s">
        <v>680</v>
      </c>
      <c r="J1648" t="s">
        <v>169</v>
      </c>
      <c r="K1648" t="s">
        <v>867</v>
      </c>
      <c r="O1648">
        <v>0</v>
      </c>
      <c r="U1648" t="s">
        <v>81</v>
      </c>
    </row>
    <row r="1649" spans="1:21" x14ac:dyDescent="0.25">
      <c r="A1649" s="33">
        <v>1651</v>
      </c>
      <c r="B1649" s="24">
        <v>44221</v>
      </c>
      <c r="C1649" t="s">
        <v>181</v>
      </c>
      <c r="D1649" t="s">
        <v>41</v>
      </c>
      <c r="E1649">
        <v>2000687440</v>
      </c>
      <c r="F1649">
        <v>300</v>
      </c>
      <c r="G1649">
        <v>4</v>
      </c>
      <c r="H1649">
        <v>0</v>
      </c>
      <c r="I1649" t="s">
        <v>680</v>
      </c>
      <c r="J1649" t="s">
        <v>169</v>
      </c>
      <c r="K1649" t="s">
        <v>867</v>
      </c>
      <c r="O1649">
        <v>0</v>
      </c>
      <c r="U1649" t="s">
        <v>81</v>
      </c>
    </row>
    <row r="1650" spans="1:21" x14ac:dyDescent="0.25">
      <c r="A1650" s="33">
        <v>1652</v>
      </c>
      <c r="B1650" s="24">
        <v>44221</v>
      </c>
      <c r="C1650" t="s">
        <v>181</v>
      </c>
      <c r="D1650" t="s">
        <v>41</v>
      </c>
      <c r="E1650">
        <v>2000711826</v>
      </c>
      <c r="F1650">
        <v>1440</v>
      </c>
      <c r="G1650">
        <v>240</v>
      </c>
      <c r="H1650">
        <v>0</v>
      </c>
      <c r="I1650" t="s">
        <v>680</v>
      </c>
      <c r="J1650" t="s">
        <v>203</v>
      </c>
      <c r="K1650" t="s">
        <v>640</v>
      </c>
      <c r="O1650">
        <v>0</v>
      </c>
      <c r="U1650" t="s">
        <v>81</v>
      </c>
    </row>
    <row r="1651" spans="1:21" x14ac:dyDescent="0.25">
      <c r="A1651" s="33">
        <v>1653</v>
      </c>
      <c r="B1651" s="24">
        <v>44221</v>
      </c>
      <c r="C1651" t="s">
        <v>181</v>
      </c>
      <c r="D1651" t="s">
        <v>41</v>
      </c>
      <c r="E1651">
        <v>2000712258</v>
      </c>
      <c r="F1651">
        <v>2000</v>
      </c>
      <c r="G1651">
        <v>300</v>
      </c>
      <c r="H1651">
        <v>0</v>
      </c>
      <c r="I1651" t="s">
        <v>680</v>
      </c>
      <c r="J1651" t="s">
        <v>193</v>
      </c>
      <c r="K1651" t="s">
        <v>683</v>
      </c>
      <c r="O1651">
        <v>0</v>
      </c>
      <c r="U1651" t="s">
        <v>81</v>
      </c>
    </row>
    <row r="1652" spans="1:21" x14ac:dyDescent="0.25">
      <c r="A1652" s="33">
        <v>1654</v>
      </c>
      <c r="B1652" s="24">
        <v>44221</v>
      </c>
      <c r="C1652" t="s">
        <v>181</v>
      </c>
      <c r="D1652" t="s">
        <v>41</v>
      </c>
      <c r="E1652">
        <v>2000712721</v>
      </c>
      <c r="F1652">
        <v>1540</v>
      </c>
      <c r="G1652">
        <v>400</v>
      </c>
      <c r="H1652">
        <v>0</v>
      </c>
      <c r="I1652" t="s">
        <v>680</v>
      </c>
      <c r="J1652" t="s">
        <v>172</v>
      </c>
      <c r="K1652" t="s">
        <v>725</v>
      </c>
      <c r="O1652">
        <v>0</v>
      </c>
      <c r="U1652" t="s">
        <v>81</v>
      </c>
    </row>
    <row r="1653" spans="1:21" x14ac:dyDescent="0.25">
      <c r="A1653" s="33">
        <v>1655</v>
      </c>
      <c r="B1653" s="24">
        <v>44221</v>
      </c>
      <c r="C1653" t="s">
        <v>181</v>
      </c>
      <c r="D1653" t="s">
        <v>41</v>
      </c>
      <c r="E1653">
        <v>2000712031</v>
      </c>
      <c r="F1653">
        <v>2206</v>
      </c>
      <c r="G1653">
        <v>45</v>
      </c>
      <c r="H1653">
        <v>0</v>
      </c>
      <c r="I1653" t="s">
        <v>183</v>
      </c>
      <c r="J1653" t="s">
        <v>174</v>
      </c>
      <c r="K1653" t="s">
        <v>774</v>
      </c>
      <c r="O1653">
        <v>0</v>
      </c>
      <c r="U1653" t="s">
        <v>81</v>
      </c>
    </row>
    <row r="1654" spans="1:21" x14ac:dyDescent="0.25">
      <c r="A1654" s="33">
        <v>1656</v>
      </c>
      <c r="B1654" s="24">
        <v>44221</v>
      </c>
      <c r="C1654" t="s">
        <v>181</v>
      </c>
      <c r="D1654" t="s">
        <v>41</v>
      </c>
      <c r="E1654">
        <v>2000712656</v>
      </c>
      <c r="F1654">
        <v>1130</v>
      </c>
      <c r="G1654">
        <v>95</v>
      </c>
      <c r="H1654">
        <v>0</v>
      </c>
      <c r="I1654" t="s">
        <v>183</v>
      </c>
      <c r="J1654" t="s">
        <v>698</v>
      </c>
      <c r="K1654" t="s">
        <v>786</v>
      </c>
      <c r="O1654">
        <v>0</v>
      </c>
      <c r="U1654" t="s">
        <v>81</v>
      </c>
    </row>
    <row r="1655" spans="1:21" x14ac:dyDescent="0.25">
      <c r="A1655" s="33">
        <v>1657</v>
      </c>
      <c r="B1655" s="24">
        <v>44221</v>
      </c>
      <c r="C1655" t="s">
        <v>181</v>
      </c>
      <c r="D1655" t="s">
        <v>41</v>
      </c>
      <c r="E1655">
        <v>2000711362</v>
      </c>
      <c r="F1655">
        <v>720</v>
      </c>
      <c r="G1655">
        <v>4</v>
      </c>
      <c r="H1655">
        <v>0</v>
      </c>
      <c r="I1655" t="s">
        <v>183</v>
      </c>
      <c r="J1655" t="s">
        <v>698</v>
      </c>
      <c r="K1655" t="s">
        <v>786</v>
      </c>
      <c r="O1655">
        <v>0</v>
      </c>
      <c r="U1655" t="s">
        <v>81</v>
      </c>
    </row>
    <row r="1656" spans="1:21" x14ac:dyDescent="0.25">
      <c r="A1656" s="33">
        <v>1658</v>
      </c>
      <c r="B1656" s="24">
        <v>44221</v>
      </c>
      <c r="C1656" t="s">
        <v>181</v>
      </c>
      <c r="D1656" t="s">
        <v>41</v>
      </c>
      <c r="E1656">
        <v>2000711721</v>
      </c>
      <c r="F1656">
        <v>420</v>
      </c>
      <c r="G1656">
        <v>150</v>
      </c>
      <c r="H1656">
        <v>0</v>
      </c>
      <c r="I1656" t="s">
        <v>183</v>
      </c>
      <c r="J1656" t="s">
        <v>203</v>
      </c>
      <c r="K1656" t="s">
        <v>793</v>
      </c>
      <c r="O1656">
        <v>0</v>
      </c>
      <c r="U1656" t="s">
        <v>81</v>
      </c>
    </row>
    <row r="1657" spans="1:21" ht="30" x14ac:dyDescent="0.25">
      <c r="A1657" s="33">
        <v>1659</v>
      </c>
      <c r="B1657" s="24">
        <v>44221</v>
      </c>
      <c r="C1657" t="s">
        <v>181</v>
      </c>
      <c r="D1657" t="s">
        <v>41</v>
      </c>
      <c r="E1657">
        <v>2000711677</v>
      </c>
      <c r="F1657">
        <v>1130</v>
      </c>
      <c r="G1657">
        <v>45</v>
      </c>
      <c r="H1657">
        <v>0</v>
      </c>
      <c r="I1657" t="s">
        <v>183</v>
      </c>
      <c r="J1657" t="s">
        <v>170</v>
      </c>
      <c r="K1657" t="s">
        <v>899</v>
      </c>
      <c r="O1657">
        <v>0</v>
      </c>
      <c r="T1657" s="62" t="s">
        <v>723</v>
      </c>
      <c r="U1657" t="s">
        <v>81</v>
      </c>
    </row>
    <row r="1658" spans="1:21" ht="30" x14ac:dyDescent="0.25">
      <c r="A1658" s="33">
        <v>1660</v>
      </c>
      <c r="B1658" s="24">
        <v>44221</v>
      </c>
      <c r="C1658" t="s">
        <v>181</v>
      </c>
      <c r="D1658" t="s">
        <v>41</v>
      </c>
      <c r="E1658">
        <v>2000712657</v>
      </c>
      <c r="F1658">
        <v>674</v>
      </c>
      <c r="G1658">
        <v>180</v>
      </c>
      <c r="H1658">
        <v>0</v>
      </c>
      <c r="I1658" t="s">
        <v>183</v>
      </c>
      <c r="J1658" t="s">
        <v>170</v>
      </c>
      <c r="K1658" t="s">
        <v>206</v>
      </c>
      <c r="O1658">
        <v>0</v>
      </c>
      <c r="T1658" s="62" t="s">
        <v>723</v>
      </c>
      <c r="U1658" t="s">
        <v>81</v>
      </c>
    </row>
    <row r="1659" spans="1:21" x14ac:dyDescent="0.25">
      <c r="A1659" s="33">
        <v>1661</v>
      </c>
      <c r="B1659" s="24">
        <v>44221</v>
      </c>
      <c r="C1659" t="s">
        <v>181</v>
      </c>
      <c r="D1659" t="s">
        <v>41</v>
      </c>
      <c r="E1659">
        <v>2000712415</v>
      </c>
      <c r="F1659">
        <v>2000</v>
      </c>
      <c r="G1659">
        <v>120</v>
      </c>
      <c r="H1659">
        <v>0</v>
      </c>
      <c r="I1659" t="s">
        <v>185</v>
      </c>
      <c r="J1659" t="s">
        <v>169</v>
      </c>
      <c r="K1659" t="s">
        <v>179</v>
      </c>
      <c r="O1659">
        <v>0</v>
      </c>
      <c r="U1659" t="s">
        <v>81</v>
      </c>
    </row>
    <row r="1660" spans="1:21" x14ac:dyDescent="0.25">
      <c r="A1660" s="33">
        <v>1662</v>
      </c>
      <c r="B1660" s="24">
        <v>44221</v>
      </c>
      <c r="C1660" t="s">
        <v>181</v>
      </c>
      <c r="D1660" t="s">
        <v>41</v>
      </c>
      <c r="E1660">
        <v>2000712337</v>
      </c>
      <c r="F1660">
        <v>1800</v>
      </c>
      <c r="G1660">
        <v>120</v>
      </c>
      <c r="H1660">
        <v>0</v>
      </c>
      <c r="I1660" t="s">
        <v>185</v>
      </c>
      <c r="J1660" t="s">
        <v>169</v>
      </c>
      <c r="K1660" t="s">
        <v>190</v>
      </c>
      <c r="O1660">
        <v>0</v>
      </c>
      <c r="U1660" t="s">
        <v>81</v>
      </c>
    </row>
    <row r="1661" spans="1:21" x14ac:dyDescent="0.25">
      <c r="A1661" s="33">
        <v>1663</v>
      </c>
      <c r="B1661" s="24">
        <v>44221</v>
      </c>
      <c r="C1661" t="s">
        <v>181</v>
      </c>
      <c r="D1661" t="s">
        <v>41</v>
      </c>
      <c r="E1661">
        <v>2000712708</v>
      </c>
      <c r="F1661">
        <v>2470</v>
      </c>
      <c r="G1661">
        <v>120</v>
      </c>
      <c r="H1661">
        <v>0</v>
      </c>
      <c r="I1661" t="s">
        <v>185</v>
      </c>
      <c r="J1661" t="s">
        <v>645</v>
      </c>
      <c r="K1661" t="s">
        <v>790</v>
      </c>
      <c r="O1661">
        <v>0</v>
      </c>
      <c r="U1661" t="s">
        <v>81</v>
      </c>
    </row>
    <row r="1662" spans="1:21" x14ac:dyDescent="0.25">
      <c r="A1662" s="33">
        <v>1664</v>
      </c>
      <c r="B1662" s="24">
        <v>44221</v>
      </c>
      <c r="C1662" t="s">
        <v>181</v>
      </c>
      <c r="D1662" t="s">
        <v>41</v>
      </c>
      <c r="E1662">
        <v>2000712707</v>
      </c>
      <c r="F1662">
        <v>440</v>
      </c>
      <c r="G1662">
        <v>40</v>
      </c>
      <c r="H1662">
        <v>0</v>
      </c>
      <c r="I1662" t="s">
        <v>185</v>
      </c>
      <c r="J1662" t="s">
        <v>645</v>
      </c>
      <c r="K1662" t="s">
        <v>752</v>
      </c>
      <c r="O1662">
        <v>0</v>
      </c>
      <c r="U1662" t="s">
        <v>81</v>
      </c>
    </row>
    <row r="1663" spans="1:21" x14ac:dyDescent="0.25">
      <c r="A1663" s="33">
        <v>1665</v>
      </c>
      <c r="B1663" s="24">
        <v>44221</v>
      </c>
      <c r="C1663" t="s">
        <v>181</v>
      </c>
      <c r="D1663" t="s">
        <v>41</v>
      </c>
      <c r="E1663">
        <v>2000712656</v>
      </c>
      <c r="F1663">
        <v>1130</v>
      </c>
      <c r="G1663">
        <v>135</v>
      </c>
      <c r="H1663">
        <v>0</v>
      </c>
      <c r="I1663" t="s">
        <v>693</v>
      </c>
      <c r="J1663" t="s">
        <v>698</v>
      </c>
      <c r="K1663" t="s">
        <v>786</v>
      </c>
      <c r="O1663">
        <v>0</v>
      </c>
      <c r="U1663" t="s">
        <v>81</v>
      </c>
    </row>
    <row r="1664" spans="1:21" x14ac:dyDescent="0.25">
      <c r="A1664" s="33">
        <v>1666</v>
      </c>
      <c r="B1664" s="24">
        <v>44221</v>
      </c>
      <c r="C1664" t="s">
        <v>181</v>
      </c>
      <c r="D1664" t="s">
        <v>41</v>
      </c>
      <c r="E1664">
        <v>2000712360</v>
      </c>
      <c r="F1664">
        <v>1500</v>
      </c>
      <c r="G1664">
        <v>240</v>
      </c>
      <c r="H1664">
        <v>0</v>
      </c>
      <c r="I1664" t="s">
        <v>693</v>
      </c>
      <c r="J1664" t="s">
        <v>687</v>
      </c>
      <c r="K1664" t="s">
        <v>688</v>
      </c>
      <c r="O1664">
        <v>0</v>
      </c>
      <c r="U1664" t="s">
        <v>81</v>
      </c>
    </row>
    <row r="1665" spans="1:21" x14ac:dyDescent="0.25">
      <c r="A1665" s="33">
        <v>1667</v>
      </c>
      <c r="B1665" s="24">
        <v>44221</v>
      </c>
      <c r="C1665" t="s">
        <v>181</v>
      </c>
      <c r="D1665" t="s">
        <v>41</v>
      </c>
      <c r="E1665">
        <v>2000712694</v>
      </c>
      <c r="F1665">
        <v>2000</v>
      </c>
      <c r="G1665">
        <v>20</v>
      </c>
      <c r="H1665">
        <v>0</v>
      </c>
      <c r="I1665" t="s">
        <v>693</v>
      </c>
      <c r="J1665" t="s">
        <v>193</v>
      </c>
      <c r="K1665" t="s">
        <v>647</v>
      </c>
      <c r="O1665">
        <v>0</v>
      </c>
      <c r="U1665" t="s">
        <v>81</v>
      </c>
    </row>
    <row r="1666" spans="1:21" x14ac:dyDescent="0.25">
      <c r="A1666" s="33">
        <v>1668</v>
      </c>
      <c r="B1666" s="24">
        <v>44221</v>
      </c>
      <c r="C1666" t="s">
        <v>181</v>
      </c>
      <c r="D1666" t="s">
        <v>51</v>
      </c>
      <c r="E1666">
        <v>2000712881</v>
      </c>
      <c r="F1666">
        <v>250</v>
      </c>
      <c r="G1666">
        <v>90</v>
      </c>
      <c r="H1666">
        <v>0</v>
      </c>
      <c r="I1666" t="s">
        <v>706</v>
      </c>
      <c r="J1666" t="s">
        <v>669</v>
      </c>
      <c r="K1666" t="s">
        <v>707</v>
      </c>
      <c r="O1666">
        <v>0</v>
      </c>
      <c r="U1666" t="s">
        <v>81</v>
      </c>
    </row>
    <row r="1667" spans="1:21" x14ac:dyDescent="0.25">
      <c r="A1667" s="33">
        <v>1669</v>
      </c>
      <c r="B1667" s="24">
        <v>44221</v>
      </c>
      <c r="C1667" t="s">
        <v>181</v>
      </c>
      <c r="D1667" t="s">
        <v>51</v>
      </c>
      <c r="E1667">
        <v>2000709353</v>
      </c>
      <c r="F1667">
        <v>120</v>
      </c>
      <c r="G1667">
        <v>1</v>
      </c>
      <c r="H1667">
        <v>0</v>
      </c>
      <c r="I1667" t="s">
        <v>706</v>
      </c>
      <c r="J1667" t="s">
        <v>669</v>
      </c>
      <c r="K1667" t="s">
        <v>810</v>
      </c>
      <c r="O1667">
        <v>0</v>
      </c>
      <c r="U1667" t="s">
        <v>81</v>
      </c>
    </row>
    <row r="1668" spans="1:21" x14ac:dyDescent="0.25">
      <c r="A1668" s="33">
        <v>1670</v>
      </c>
      <c r="B1668" s="24">
        <v>44221</v>
      </c>
      <c r="C1668" t="s">
        <v>181</v>
      </c>
      <c r="D1668" t="s">
        <v>51</v>
      </c>
      <c r="E1668">
        <v>2000711963</v>
      </c>
      <c r="F1668">
        <v>680</v>
      </c>
      <c r="G1668">
        <v>19</v>
      </c>
      <c r="H1668">
        <v>0</v>
      </c>
      <c r="I1668" t="s">
        <v>706</v>
      </c>
      <c r="J1668" t="s">
        <v>673</v>
      </c>
      <c r="K1668" t="s">
        <v>708</v>
      </c>
      <c r="O1668">
        <v>0</v>
      </c>
      <c r="U1668" t="s">
        <v>81</v>
      </c>
    </row>
    <row r="1669" spans="1:21" x14ac:dyDescent="0.25">
      <c r="A1669" s="33">
        <v>1671</v>
      </c>
      <c r="B1669" s="24">
        <v>44221</v>
      </c>
      <c r="C1669" t="s">
        <v>181</v>
      </c>
      <c r="D1669" t="s">
        <v>51</v>
      </c>
      <c r="E1669">
        <v>2000709357</v>
      </c>
      <c r="F1669">
        <v>450</v>
      </c>
      <c r="G1669">
        <v>1</v>
      </c>
      <c r="H1669">
        <v>0</v>
      </c>
      <c r="I1669" t="s">
        <v>706</v>
      </c>
      <c r="J1669" t="s">
        <v>770</v>
      </c>
      <c r="K1669" t="s">
        <v>771</v>
      </c>
      <c r="O1669">
        <v>0</v>
      </c>
      <c r="U1669" t="s">
        <v>81</v>
      </c>
    </row>
    <row r="1670" spans="1:21" x14ac:dyDescent="0.25">
      <c r="A1670" s="33">
        <v>1672</v>
      </c>
      <c r="B1670" s="24">
        <v>44221</v>
      </c>
      <c r="C1670" t="s">
        <v>181</v>
      </c>
      <c r="D1670" t="s">
        <v>51</v>
      </c>
      <c r="E1670">
        <v>2000712882</v>
      </c>
      <c r="F1670">
        <v>350</v>
      </c>
      <c r="G1670">
        <v>1</v>
      </c>
      <c r="H1670">
        <v>0</v>
      </c>
      <c r="I1670" t="s">
        <v>706</v>
      </c>
      <c r="J1670" t="s">
        <v>669</v>
      </c>
      <c r="K1670" t="s">
        <v>755</v>
      </c>
      <c r="O1670">
        <v>0</v>
      </c>
      <c r="U1670" t="s">
        <v>81</v>
      </c>
    </row>
    <row r="1671" spans="1:21" x14ac:dyDescent="0.25">
      <c r="A1671" s="33">
        <v>1673</v>
      </c>
      <c r="B1671" s="24">
        <v>44221</v>
      </c>
      <c r="C1671" t="s">
        <v>181</v>
      </c>
      <c r="D1671" t="s">
        <v>51</v>
      </c>
      <c r="E1671">
        <v>2000712650</v>
      </c>
      <c r="F1671">
        <v>660</v>
      </c>
      <c r="G1671">
        <v>150</v>
      </c>
      <c r="H1671">
        <v>0</v>
      </c>
      <c r="I1671" t="s">
        <v>706</v>
      </c>
      <c r="J1671" t="s">
        <v>667</v>
      </c>
      <c r="K1671" t="s">
        <v>668</v>
      </c>
      <c r="O1671">
        <v>0</v>
      </c>
      <c r="U1671" t="s">
        <v>81</v>
      </c>
    </row>
    <row r="1672" spans="1:21" x14ac:dyDescent="0.25">
      <c r="A1672" s="33">
        <v>1674</v>
      </c>
      <c r="B1672" s="24">
        <v>44221</v>
      </c>
      <c r="C1672" t="s">
        <v>181</v>
      </c>
      <c r="D1672" t="s">
        <v>51</v>
      </c>
      <c r="E1672">
        <v>2000712455</v>
      </c>
      <c r="F1672">
        <v>330</v>
      </c>
      <c r="G1672">
        <v>180</v>
      </c>
      <c r="H1672">
        <v>0</v>
      </c>
      <c r="I1672" t="s">
        <v>706</v>
      </c>
      <c r="J1672" t="s">
        <v>669</v>
      </c>
      <c r="K1672" t="s">
        <v>801</v>
      </c>
      <c r="O1672">
        <v>0</v>
      </c>
      <c r="U1672" t="s">
        <v>81</v>
      </c>
    </row>
    <row r="1673" spans="1:21" x14ac:dyDescent="0.25">
      <c r="A1673" s="33">
        <v>1675</v>
      </c>
      <c r="B1673" s="24">
        <v>44221</v>
      </c>
      <c r="C1673" t="s">
        <v>181</v>
      </c>
      <c r="D1673" t="s">
        <v>51</v>
      </c>
      <c r="E1673">
        <v>2000711961</v>
      </c>
      <c r="F1673">
        <v>360</v>
      </c>
      <c r="G1673">
        <v>150</v>
      </c>
      <c r="H1673">
        <v>0</v>
      </c>
      <c r="I1673" t="s">
        <v>706</v>
      </c>
      <c r="J1673" t="s">
        <v>673</v>
      </c>
      <c r="K1673" t="s">
        <v>760</v>
      </c>
      <c r="O1673">
        <v>0</v>
      </c>
      <c r="U1673" t="s">
        <v>81</v>
      </c>
    </row>
    <row r="1674" spans="1:21" x14ac:dyDescent="0.25">
      <c r="A1674" s="33">
        <v>1676</v>
      </c>
      <c r="B1674" s="24">
        <v>44221</v>
      </c>
      <c r="C1674" t="s">
        <v>181</v>
      </c>
      <c r="D1674" t="s">
        <v>51</v>
      </c>
      <c r="E1674">
        <v>2000712649</v>
      </c>
      <c r="F1674">
        <v>150</v>
      </c>
      <c r="G1674">
        <v>60</v>
      </c>
      <c r="H1674">
        <v>0</v>
      </c>
      <c r="I1674" t="s">
        <v>706</v>
      </c>
      <c r="J1674" t="s">
        <v>781</v>
      </c>
      <c r="K1674" t="s">
        <v>782</v>
      </c>
      <c r="O1674">
        <v>0</v>
      </c>
      <c r="U1674" t="s">
        <v>81</v>
      </c>
    </row>
    <row r="1675" spans="1:21" x14ac:dyDescent="0.25">
      <c r="A1675" s="33">
        <v>1677</v>
      </c>
      <c r="B1675" s="24">
        <v>44221</v>
      </c>
      <c r="C1675" t="s">
        <v>181</v>
      </c>
      <c r="D1675" t="s">
        <v>51</v>
      </c>
      <c r="E1675">
        <v>2000712546</v>
      </c>
      <c r="F1675">
        <v>900</v>
      </c>
      <c r="G1675">
        <v>140</v>
      </c>
      <c r="H1675">
        <v>0</v>
      </c>
      <c r="I1675" t="s">
        <v>706</v>
      </c>
      <c r="J1675" t="s">
        <v>667</v>
      </c>
      <c r="K1675" t="s">
        <v>671</v>
      </c>
      <c r="O1675">
        <v>0</v>
      </c>
      <c r="U1675" t="s">
        <v>81</v>
      </c>
    </row>
    <row r="1676" spans="1:21" x14ac:dyDescent="0.25">
      <c r="A1676" s="33">
        <v>1678</v>
      </c>
      <c r="B1676" s="24">
        <v>44221</v>
      </c>
      <c r="C1676" t="s">
        <v>181</v>
      </c>
      <c r="D1676" t="s">
        <v>51</v>
      </c>
      <c r="E1676">
        <v>2000712883</v>
      </c>
      <c r="F1676">
        <v>352</v>
      </c>
      <c r="G1676">
        <v>100</v>
      </c>
      <c r="H1676">
        <v>0</v>
      </c>
      <c r="I1676" t="s">
        <v>706</v>
      </c>
      <c r="J1676" t="s">
        <v>669</v>
      </c>
      <c r="K1676" t="s">
        <v>707</v>
      </c>
      <c r="O1676">
        <v>0</v>
      </c>
      <c r="U1676" t="s">
        <v>81</v>
      </c>
    </row>
    <row r="1677" spans="1:21" x14ac:dyDescent="0.25">
      <c r="A1677" s="33">
        <v>1679</v>
      </c>
      <c r="B1677" s="24">
        <v>44221</v>
      </c>
      <c r="C1677" t="s">
        <v>181</v>
      </c>
      <c r="D1677" t="s">
        <v>51</v>
      </c>
      <c r="E1677">
        <v>2000712483</v>
      </c>
      <c r="F1677">
        <v>285</v>
      </c>
      <c r="G1677">
        <v>30</v>
      </c>
      <c r="H1677">
        <v>0</v>
      </c>
      <c r="I1677" t="s">
        <v>706</v>
      </c>
      <c r="J1677" t="s">
        <v>669</v>
      </c>
      <c r="K1677" t="s">
        <v>670</v>
      </c>
      <c r="O1677">
        <v>0</v>
      </c>
      <c r="U1677" t="s">
        <v>81</v>
      </c>
    </row>
    <row r="1678" spans="1:21" x14ac:dyDescent="0.25">
      <c r="A1678" s="33">
        <v>1680</v>
      </c>
      <c r="B1678" s="24">
        <v>44222</v>
      </c>
      <c r="C1678" t="s">
        <v>39</v>
      </c>
      <c r="D1678" t="s">
        <v>41</v>
      </c>
      <c r="E1678">
        <v>2000712657</v>
      </c>
      <c r="F1678">
        <v>674</v>
      </c>
      <c r="G1678">
        <v>20</v>
      </c>
      <c r="H1678">
        <v>0</v>
      </c>
      <c r="I1678" t="s">
        <v>661</v>
      </c>
      <c r="J1678" t="s">
        <v>170</v>
      </c>
      <c r="K1678" t="s">
        <v>206</v>
      </c>
      <c r="O1678">
        <v>0</v>
      </c>
      <c r="U1678" t="s">
        <v>81</v>
      </c>
    </row>
    <row r="1679" spans="1:21" x14ac:dyDescent="0.25">
      <c r="A1679" s="33">
        <v>1681</v>
      </c>
      <c r="B1679" s="24">
        <v>44222</v>
      </c>
      <c r="C1679" t="s">
        <v>39</v>
      </c>
      <c r="D1679" t="s">
        <v>41</v>
      </c>
      <c r="E1679">
        <v>2000712370</v>
      </c>
      <c r="F1679">
        <v>818</v>
      </c>
      <c r="G1679">
        <v>412</v>
      </c>
      <c r="H1679">
        <v>0</v>
      </c>
      <c r="I1679" t="s">
        <v>661</v>
      </c>
      <c r="J1679" t="s">
        <v>863</v>
      </c>
      <c r="K1679" t="s">
        <v>171</v>
      </c>
      <c r="O1679">
        <v>0</v>
      </c>
      <c r="U1679" t="s">
        <v>81</v>
      </c>
    </row>
    <row r="1680" spans="1:21" x14ac:dyDescent="0.25">
      <c r="A1680" s="33">
        <v>1682</v>
      </c>
      <c r="B1680" s="24">
        <v>44222</v>
      </c>
      <c r="C1680" t="s">
        <v>39</v>
      </c>
      <c r="D1680" t="s">
        <v>41</v>
      </c>
      <c r="E1680">
        <v>2000712658</v>
      </c>
      <c r="F1680">
        <v>900</v>
      </c>
      <c r="G1680">
        <v>360</v>
      </c>
      <c r="H1680">
        <v>0</v>
      </c>
      <c r="I1680" t="s">
        <v>661</v>
      </c>
      <c r="J1680" t="s">
        <v>170</v>
      </c>
      <c r="K1680" t="s">
        <v>697</v>
      </c>
      <c r="O1680">
        <v>0</v>
      </c>
      <c r="U1680" t="s">
        <v>81</v>
      </c>
    </row>
    <row r="1681" spans="1:21" x14ac:dyDescent="0.25">
      <c r="A1681" s="33">
        <v>1683</v>
      </c>
      <c r="B1681" s="24">
        <v>44222</v>
      </c>
      <c r="C1681" t="s">
        <v>39</v>
      </c>
      <c r="D1681" t="s">
        <v>41</v>
      </c>
      <c r="E1681">
        <v>2000708959</v>
      </c>
      <c r="F1681">
        <v>1132</v>
      </c>
      <c r="G1681">
        <v>30</v>
      </c>
      <c r="H1681">
        <v>0</v>
      </c>
      <c r="I1681" t="s">
        <v>661</v>
      </c>
      <c r="J1681" t="s">
        <v>170</v>
      </c>
      <c r="K1681" t="s">
        <v>171</v>
      </c>
      <c r="O1681">
        <v>0</v>
      </c>
      <c r="U1681" t="s">
        <v>81</v>
      </c>
    </row>
    <row r="1682" spans="1:21" x14ac:dyDescent="0.25">
      <c r="A1682" s="33">
        <v>1684</v>
      </c>
      <c r="B1682" s="24">
        <v>44222</v>
      </c>
      <c r="C1682" t="s">
        <v>39</v>
      </c>
      <c r="D1682" t="s">
        <v>41</v>
      </c>
      <c r="E1682">
        <v>2000712658</v>
      </c>
      <c r="F1682">
        <v>900</v>
      </c>
      <c r="G1682">
        <v>90</v>
      </c>
      <c r="H1682">
        <v>0</v>
      </c>
      <c r="I1682" t="s">
        <v>180</v>
      </c>
      <c r="J1682" t="s">
        <v>170</v>
      </c>
      <c r="K1682" t="s">
        <v>697</v>
      </c>
      <c r="O1682">
        <v>0</v>
      </c>
      <c r="U1682" t="s">
        <v>81</v>
      </c>
    </row>
    <row r="1683" spans="1:21" x14ac:dyDescent="0.25">
      <c r="A1683" s="33">
        <v>1685</v>
      </c>
      <c r="B1683" s="24">
        <v>44222</v>
      </c>
      <c r="C1683" t="s">
        <v>39</v>
      </c>
      <c r="D1683" t="s">
        <v>41</v>
      </c>
      <c r="E1683">
        <v>2000712397</v>
      </c>
      <c r="F1683">
        <v>240</v>
      </c>
      <c r="G1683">
        <v>20</v>
      </c>
      <c r="H1683">
        <v>0</v>
      </c>
      <c r="I1683" t="s">
        <v>180</v>
      </c>
      <c r="J1683" t="s">
        <v>174</v>
      </c>
      <c r="K1683" t="s">
        <v>870</v>
      </c>
      <c r="O1683">
        <v>0</v>
      </c>
      <c r="U1683" t="s">
        <v>81</v>
      </c>
    </row>
    <row r="1684" spans="1:21" x14ac:dyDescent="0.25">
      <c r="A1684" s="33">
        <v>1686</v>
      </c>
      <c r="B1684" s="24">
        <v>44222</v>
      </c>
      <c r="C1684" t="s">
        <v>39</v>
      </c>
      <c r="D1684" t="s">
        <v>41</v>
      </c>
      <c r="E1684">
        <v>2000712416</v>
      </c>
      <c r="F1684">
        <v>2000</v>
      </c>
      <c r="G1684">
        <v>30</v>
      </c>
      <c r="H1684">
        <v>0</v>
      </c>
      <c r="I1684" t="s">
        <v>180</v>
      </c>
      <c r="J1684" t="s">
        <v>169</v>
      </c>
      <c r="K1684" t="s">
        <v>179</v>
      </c>
      <c r="O1684">
        <v>0</v>
      </c>
      <c r="U1684" t="s">
        <v>81</v>
      </c>
    </row>
    <row r="1685" spans="1:21" x14ac:dyDescent="0.25">
      <c r="A1685" s="33">
        <v>1687</v>
      </c>
      <c r="B1685" s="24">
        <v>44222</v>
      </c>
      <c r="C1685" t="s">
        <v>39</v>
      </c>
      <c r="D1685" t="s">
        <v>41</v>
      </c>
      <c r="E1685">
        <v>2000712657</v>
      </c>
      <c r="F1685">
        <v>674</v>
      </c>
      <c r="G1685">
        <v>244</v>
      </c>
      <c r="H1685">
        <v>0</v>
      </c>
      <c r="I1685" t="s">
        <v>178</v>
      </c>
      <c r="J1685" t="s">
        <v>170</v>
      </c>
      <c r="K1685" t="s">
        <v>206</v>
      </c>
      <c r="O1685">
        <v>0</v>
      </c>
      <c r="U1685" t="s">
        <v>81</v>
      </c>
    </row>
    <row r="1686" spans="1:21" x14ac:dyDescent="0.25">
      <c r="A1686" s="33">
        <v>1688</v>
      </c>
      <c r="B1686" s="24">
        <v>44222</v>
      </c>
      <c r="C1686" t="s">
        <v>39</v>
      </c>
      <c r="D1686" t="s">
        <v>41</v>
      </c>
      <c r="E1686">
        <v>2000711677</v>
      </c>
      <c r="F1686">
        <v>1130</v>
      </c>
      <c r="G1686">
        <v>90</v>
      </c>
      <c r="H1686">
        <v>0</v>
      </c>
      <c r="I1686" t="s">
        <v>178</v>
      </c>
      <c r="J1686" t="s">
        <v>170</v>
      </c>
      <c r="K1686" t="s">
        <v>899</v>
      </c>
      <c r="O1686">
        <v>0</v>
      </c>
      <c r="U1686" t="s">
        <v>81</v>
      </c>
    </row>
    <row r="1687" spans="1:21" x14ac:dyDescent="0.25">
      <c r="A1687" s="33">
        <v>1689</v>
      </c>
      <c r="B1687" s="24">
        <v>44222</v>
      </c>
      <c r="C1687" t="s">
        <v>39</v>
      </c>
      <c r="D1687" t="s">
        <v>41</v>
      </c>
      <c r="E1687">
        <v>2000712370</v>
      </c>
      <c r="F1687">
        <v>818</v>
      </c>
      <c r="G1687">
        <v>135</v>
      </c>
      <c r="H1687">
        <v>0</v>
      </c>
      <c r="I1687" t="s">
        <v>178</v>
      </c>
      <c r="J1687" t="s">
        <v>170</v>
      </c>
      <c r="K1687" t="s">
        <v>171</v>
      </c>
      <c r="O1687">
        <v>0</v>
      </c>
      <c r="U1687" t="s">
        <v>81</v>
      </c>
    </row>
    <row r="1688" spans="1:21" x14ac:dyDescent="0.25">
      <c r="A1688" s="33">
        <v>1690</v>
      </c>
      <c r="B1688" s="24">
        <v>44222</v>
      </c>
      <c r="C1688" t="s">
        <v>39</v>
      </c>
      <c r="D1688" t="s">
        <v>41</v>
      </c>
      <c r="E1688">
        <v>2000793344</v>
      </c>
      <c r="F1688">
        <v>37</v>
      </c>
      <c r="G1688">
        <v>3</v>
      </c>
      <c r="H1688">
        <v>0</v>
      </c>
      <c r="I1688" t="s">
        <v>178</v>
      </c>
      <c r="J1688" t="s">
        <v>215</v>
      </c>
      <c r="K1688" t="s">
        <v>838</v>
      </c>
      <c r="O1688">
        <v>0</v>
      </c>
      <c r="U1688" t="s">
        <v>81</v>
      </c>
    </row>
    <row r="1689" spans="1:21" x14ac:dyDescent="0.25">
      <c r="A1689" s="33">
        <v>1691</v>
      </c>
      <c r="B1689" s="24">
        <v>44222</v>
      </c>
      <c r="C1689" t="s">
        <v>39</v>
      </c>
      <c r="D1689" t="s">
        <v>41</v>
      </c>
      <c r="E1689">
        <v>2000693346</v>
      </c>
      <c r="F1689">
        <v>37</v>
      </c>
      <c r="G1689">
        <v>8</v>
      </c>
      <c r="H1689">
        <v>0</v>
      </c>
      <c r="I1689" t="s">
        <v>178</v>
      </c>
      <c r="J1689" t="s">
        <v>215</v>
      </c>
      <c r="K1689" t="s">
        <v>838</v>
      </c>
      <c r="O1689">
        <v>0</v>
      </c>
      <c r="U1689" t="s">
        <v>81</v>
      </c>
    </row>
    <row r="1690" spans="1:21" x14ac:dyDescent="0.25">
      <c r="A1690" s="33">
        <v>1692</v>
      </c>
      <c r="B1690" s="24">
        <v>44222</v>
      </c>
      <c r="C1690" t="s">
        <v>39</v>
      </c>
      <c r="D1690" t="s">
        <v>41</v>
      </c>
      <c r="E1690">
        <v>2000711677</v>
      </c>
      <c r="F1690">
        <v>1130</v>
      </c>
      <c r="G1690">
        <v>45</v>
      </c>
      <c r="H1690">
        <v>0</v>
      </c>
      <c r="I1690" t="s">
        <v>168</v>
      </c>
      <c r="J1690" t="s">
        <v>170</v>
      </c>
      <c r="K1690" t="s">
        <v>899</v>
      </c>
      <c r="O1690">
        <v>0</v>
      </c>
      <c r="U1690" t="s">
        <v>81</v>
      </c>
    </row>
    <row r="1691" spans="1:21" x14ac:dyDescent="0.25">
      <c r="A1691" s="33">
        <v>1693</v>
      </c>
      <c r="B1691" s="24">
        <v>44222</v>
      </c>
      <c r="C1691" t="s">
        <v>39</v>
      </c>
      <c r="D1691" t="s">
        <v>41</v>
      </c>
      <c r="E1691">
        <v>2000712995</v>
      </c>
      <c r="F1691">
        <v>48</v>
      </c>
      <c r="G1691">
        <v>48</v>
      </c>
      <c r="H1691">
        <v>0</v>
      </c>
      <c r="I1691" t="s">
        <v>168</v>
      </c>
      <c r="J1691" t="s">
        <v>169</v>
      </c>
      <c r="K1691" t="s">
        <v>663</v>
      </c>
      <c r="O1691">
        <v>0</v>
      </c>
      <c r="U1691" t="s">
        <v>83</v>
      </c>
    </row>
    <row r="1692" spans="1:21" x14ac:dyDescent="0.25">
      <c r="A1692" s="33">
        <v>1694</v>
      </c>
      <c r="B1692" s="24">
        <v>44222</v>
      </c>
      <c r="C1692" t="s">
        <v>39</v>
      </c>
      <c r="D1692" t="s">
        <v>41</v>
      </c>
      <c r="E1692">
        <v>2000711721</v>
      </c>
      <c r="F1692">
        <v>420</v>
      </c>
      <c r="G1692">
        <v>60</v>
      </c>
      <c r="H1692">
        <v>0</v>
      </c>
      <c r="I1692" t="s">
        <v>194</v>
      </c>
      <c r="J1692" t="s">
        <v>203</v>
      </c>
      <c r="K1692" t="s">
        <v>793</v>
      </c>
      <c r="O1692">
        <v>0</v>
      </c>
      <c r="U1692" t="s">
        <v>81</v>
      </c>
    </row>
    <row r="1693" spans="1:21" ht="30" x14ac:dyDescent="0.25">
      <c r="A1693" s="33">
        <v>1695</v>
      </c>
      <c r="B1693" s="24">
        <v>44222</v>
      </c>
      <c r="C1693" t="s">
        <v>39</v>
      </c>
      <c r="D1693" t="s">
        <v>41</v>
      </c>
      <c r="E1693">
        <v>2000712370</v>
      </c>
      <c r="F1693">
        <v>818</v>
      </c>
      <c r="G1693">
        <v>90</v>
      </c>
      <c r="H1693">
        <v>0</v>
      </c>
      <c r="I1693" t="s">
        <v>194</v>
      </c>
      <c r="J1693" t="s">
        <v>174</v>
      </c>
      <c r="K1693" t="s">
        <v>171</v>
      </c>
      <c r="O1693">
        <v>0</v>
      </c>
      <c r="T1693" s="62" t="s">
        <v>723</v>
      </c>
      <c r="U1693" t="s">
        <v>81</v>
      </c>
    </row>
    <row r="1694" spans="1:21" x14ac:dyDescent="0.25">
      <c r="A1694" s="33">
        <v>1696</v>
      </c>
      <c r="B1694" s="24">
        <v>44222</v>
      </c>
      <c r="C1694" t="s">
        <v>39</v>
      </c>
      <c r="D1694" t="s">
        <v>41</v>
      </c>
      <c r="E1694">
        <v>2000712663</v>
      </c>
      <c r="F1694">
        <v>3000</v>
      </c>
      <c r="G1694">
        <v>120</v>
      </c>
      <c r="H1694">
        <v>0</v>
      </c>
      <c r="I1694" t="s">
        <v>194</v>
      </c>
      <c r="J1694" t="s">
        <v>687</v>
      </c>
      <c r="K1694" t="s">
        <v>688</v>
      </c>
      <c r="O1694">
        <v>0</v>
      </c>
      <c r="U1694" t="s">
        <v>81</v>
      </c>
    </row>
    <row r="1695" spans="1:21" x14ac:dyDescent="0.25">
      <c r="A1695" s="33">
        <v>1697</v>
      </c>
      <c r="B1695" s="24">
        <v>44222</v>
      </c>
      <c r="C1695" t="s">
        <v>39</v>
      </c>
      <c r="D1695" t="s">
        <v>41</v>
      </c>
      <c r="E1695">
        <v>2000711677</v>
      </c>
      <c r="F1695">
        <v>1130</v>
      </c>
      <c r="G1695">
        <v>90</v>
      </c>
      <c r="H1695">
        <v>0</v>
      </c>
      <c r="I1695" t="s">
        <v>194</v>
      </c>
      <c r="J1695" t="s">
        <v>170</v>
      </c>
      <c r="K1695" t="s">
        <v>899</v>
      </c>
      <c r="O1695">
        <v>0</v>
      </c>
      <c r="U1695" t="s">
        <v>81</v>
      </c>
    </row>
    <row r="1696" spans="1:21" x14ac:dyDescent="0.25">
      <c r="A1696" s="33">
        <v>1698</v>
      </c>
      <c r="B1696" s="24">
        <v>44222</v>
      </c>
      <c r="C1696" t="s">
        <v>39</v>
      </c>
      <c r="D1696" t="s">
        <v>41</v>
      </c>
      <c r="E1696">
        <v>2000711361</v>
      </c>
      <c r="F1696">
        <v>2400</v>
      </c>
      <c r="G1696">
        <v>43</v>
      </c>
      <c r="H1696">
        <v>0</v>
      </c>
      <c r="I1696" t="s">
        <v>194</v>
      </c>
      <c r="J1696" t="s">
        <v>170</v>
      </c>
      <c r="K1696" t="s">
        <v>899</v>
      </c>
      <c r="O1696">
        <v>0</v>
      </c>
      <c r="U1696" t="s">
        <v>81</v>
      </c>
    </row>
    <row r="1697" spans="1:21" x14ac:dyDescent="0.25">
      <c r="A1697" s="33">
        <v>1699</v>
      </c>
      <c r="B1697" s="24">
        <v>44222</v>
      </c>
      <c r="C1697" t="s">
        <v>39</v>
      </c>
      <c r="D1697" t="s">
        <v>41</v>
      </c>
      <c r="E1697">
        <v>2000713119</v>
      </c>
      <c r="F1697">
        <v>2300</v>
      </c>
      <c r="G1697">
        <v>170</v>
      </c>
      <c r="H1697">
        <v>0</v>
      </c>
      <c r="I1697" t="s">
        <v>642</v>
      </c>
      <c r="J1697" t="s">
        <v>172</v>
      </c>
      <c r="K1697" t="s">
        <v>724</v>
      </c>
      <c r="O1697">
        <v>0</v>
      </c>
      <c r="U1697" t="s">
        <v>81</v>
      </c>
    </row>
    <row r="1698" spans="1:21" x14ac:dyDescent="0.25">
      <c r="A1698" s="33">
        <v>1700</v>
      </c>
      <c r="B1698" s="24">
        <v>44222</v>
      </c>
      <c r="C1698" t="s">
        <v>39</v>
      </c>
      <c r="D1698" t="s">
        <v>41</v>
      </c>
      <c r="E1698">
        <v>2000713049</v>
      </c>
      <c r="F1698">
        <v>540</v>
      </c>
      <c r="G1698">
        <v>80</v>
      </c>
      <c r="H1698">
        <v>0</v>
      </c>
      <c r="I1698" t="s">
        <v>642</v>
      </c>
      <c r="J1698" t="s">
        <v>645</v>
      </c>
      <c r="K1698" t="s">
        <v>690</v>
      </c>
      <c r="O1698">
        <v>0</v>
      </c>
      <c r="U1698" t="s">
        <v>81</v>
      </c>
    </row>
    <row r="1699" spans="1:21" x14ac:dyDescent="0.25">
      <c r="A1699" s="33">
        <v>1701</v>
      </c>
      <c r="B1699" s="24">
        <v>44222</v>
      </c>
      <c r="C1699" t="s">
        <v>39</v>
      </c>
      <c r="D1699" t="s">
        <v>41</v>
      </c>
      <c r="E1699">
        <v>2000712725</v>
      </c>
      <c r="F1699">
        <v>1540</v>
      </c>
      <c r="G1699">
        <v>130</v>
      </c>
      <c r="H1699">
        <v>0</v>
      </c>
      <c r="I1699" t="s">
        <v>642</v>
      </c>
      <c r="J1699" t="s">
        <v>172</v>
      </c>
      <c r="K1699" t="s">
        <v>692</v>
      </c>
      <c r="O1699">
        <v>0</v>
      </c>
      <c r="U1699" t="s">
        <v>81</v>
      </c>
    </row>
    <row r="1700" spans="1:21" x14ac:dyDescent="0.25">
      <c r="A1700" s="33">
        <v>1702</v>
      </c>
      <c r="B1700" s="24">
        <v>44222</v>
      </c>
      <c r="C1700" t="s">
        <v>39</v>
      </c>
      <c r="D1700" t="s">
        <v>41</v>
      </c>
      <c r="E1700">
        <v>2000712343</v>
      </c>
      <c r="F1700">
        <v>3200</v>
      </c>
      <c r="G1700">
        <v>120</v>
      </c>
      <c r="H1700">
        <v>0</v>
      </c>
      <c r="I1700" t="s">
        <v>642</v>
      </c>
      <c r="J1700" t="s">
        <v>645</v>
      </c>
      <c r="K1700" t="s">
        <v>721</v>
      </c>
      <c r="O1700">
        <v>0</v>
      </c>
      <c r="U1700" t="s">
        <v>81</v>
      </c>
    </row>
    <row r="1701" spans="1:21" x14ac:dyDescent="0.25">
      <c r="A1701" s="33">
        <v>1703</v>
      </c>
      <c r="B1701" s="24">
        <v>44222</v>
      </c>
      <c r="C1701" t="s">
        <v>39</v>
      </c>
      <c r="D1701" t="s">
        <v>41</v>
      </c>
      <c r="E1701">
        <v>2000712048</v>
      </c>
      <c r="F1701">
        <v>200</v>
      </c>
      <c r="G1701">
        <v>20</v>
      </c>
      <c r="H1701">
        <v>0</v>
      </c>
      <c r="I1701" t="s">
        <v>642</v>
      </c>
      <c r="J1701" t="s">
        <v>645</v>
      </c>
      <c r="K1701" t="s">
        <v>719</v>
      </c>
      <c r="O1701">
        <v>0</v>
      </c>
      <c r="U1701" t="s">
        <v>81</v>
      </c>
    </row>
    <row r="1702" spans="1:21" x14ac:dyDescent="0.25">
      <c r="A1702" s="33">
        <v>1704</v>
      </c>
      <c r="B1702" s="24">
        <v>44222</v>
      </c>
      <c r="C1702" t="s">
        <v>39</v>
      </c>
      <c r="D1702" t="s">
        <v>41</v>
      </c>
      <c r="E1702">
        <v>2000711855</v>
      </c>
      <c r="F1702">
        <v>4210</v>
      </c>
      <c r="G1702">
        <v>300</v>
      </c>
      <c r="H1702">
        <v>0</v>
      </c>
      <c r="I1702" t="s">
        <v>201</v>
      </c>
      <c r="J1702" t="s">
        <v>199</v>
      </c>
      <c r="K1702" t="s">
        <v>660</v>
      </c>
      <c r="O1702">
        <v>0</v>
      </c>
      <c r="U1702" t="s">
        <v>81</v>
      </c>
    </row>
    <row r="1703" spans="1:21" x14ac:dyDescent="0.25">
      <c r="A1703" s="33">
        <v>1705</v>
      </c>
      <c r="B1703" s="24">
        <v>44222</v>
      </c>
      <c r="C1703" t="s">
        <v>39</v>
      </c>
      <c r="D1703" t="s">
        <v>41</v>
      </c>
      <c r="E1703">
        <v>2000712341</v>
      </c>
      <c r="F1703">
        <v>3200</v>
      </c>
      <c r="G1703">
        <v>200</v>
      </c>
      <c r="H1703">
        <v>0</v>
      </c>
      <c r="I1703" t="s">
        <v>201</v>
      </c>
      <c r="J1703" t="s">
        <v>645</v>
      </c>
      <c r="K1703" t="s">
        <v>739</v>
      </c>
      <c r="O1703">
        <v>0</v>
      </c>
      <c r="U1703" t="s">
        <v>81</v>
      </c>
    </row>
    <row r="1704" spans="1:21" x14ac:dyDescent="0.25">
      <c r="A1704" s="33">
        <v>1706</v>
      </c>
      <c r="B1704" s="24">
        <v>44222</v>
      </c>
      <c r="C1704" t="s">
        <v>39</v>
      </c>
      <c r="D1704" t="s">
        <v>41</v>
      </c>
      <c r="E1704">
        <v>2000712448</v>
      </c>
      <c r="F1704">
        <v>4032</v>
      </c>
      <c r="G1704">
        <v>200</v>
      </c>
      <c r="H1704">
        <v>0</v>
      </c>
      <c r="I1704" t="s">
        <v>201</v>
      </c>
      <c r="J1704" t="s">
        <v>645</v>
      </c>
      <c r="K1704" t="s">
        <v>659</v>
      </c>
      <c r="O1704">
        <v>0</v>
      </c>
      <c r="U1704" t="s">
        <v>81</v>
      </c>
    </row>
    <row r="1705" spans="1:21" x14ac:dyDescent="0.25">
      <c r="A1705" s="33">
        <v>1707</v>
      </c>
      <c r="B1705" s="24">
        <v>44222</v>
      </c>
      <c r="C1705" t="s">
        <v>39</v>
      </c>
      <c r="D1705" t="s">
        <v>41</v>
      </c>
      <c r="E1705">
        <v>2000712816</v>
      </c>
      <c r="F1705">
        <v>752</v>
      </c>
      <c r="G1705">
        <v>150</v>
      </c>
      <c r="H1705">
        <v>0</v>
      </c>
      <c r="I1705" t="s">
        <v>201</v>
      </c>
      <c r="J1705" t="s">
        <v>169</v>
      </c>
      <c r="K1705" t="s">
        <v>867</v>
      </c>
      <c r="O1705">
        <v>0</v>
      </c>
      <c r="U1705" t="s">
        <v>81</v>
      </c>
    </row>
    <row r="1706" spans="1:21" x14ac:dyDescent="0.25">
      <c r="A1706" s="33">
        <v>1708</v>
      </c>
      <c r="B1706" s="24">
        <v>44222</v>
      </c>
      <c r="C1706" t="s">
        <v>39</v>
      </c>
      <c r="D1706" t="s">
        <v>41</v>
      </c>
      <c r="E1706">
        <v>2000712340</v>
      </c>
      <c r="F1706">
        <v>3200</v>
      </c>
      <c r="G1706">
        <v>200</v>
      </c>
      <c r="H1706">
        <v>0</v>
      </c>
      <c r="I1706" t="s">
        <v>201</v>
      </c>
      <c r="J1706" t="s">
        <v>645</v>
      </c>
      <c r="K1706" t="s">
        <v>756</v>
      </c>
      <c r="O1706">
        <v>0</v>
      </c>
      <c r="U1706" t="s">
        <v>81</v>
      </c>
    </row>
    <row r="1707" spans="1:21" x14ac:dyDescent="0.25">
      <c r="A1707" s="33">
        <v>1709</v>
      </c>
      <c r="B1707" s="24">
        <v>44222</v>
      </c>
      <c r="C1707" t="s">
        <v>39</v>
      </c>
      <c r="D1707" t="s">
        <v>41</v>
      </c>
      <c r="E1707">
        <v>2000712815</v>
      </c>
      <c r="F1707">
        <v>7800</v>
      </c>
      <c r="G1707">
        <v>300</v>
      </c>
      <c r="H1707">
        <v>0</v>
      </c>
      <c r="I1707" t="s">
        <v>201</v>
      </c>
      <c r="J1707" t="s">
        <v>200</v>
      </c>
      <c r="K1707" t="s">
        <v>737</v>
      </c>
      <c r="O1707">
        <v>0</v>
      </c>
      <c r="U1707" t="s">
        <v>81</v>
      </c>
    </row>
    <row r="1708" spans="1:21" x14ac:dyDescent="0.25">
      <c r="A1708" s="33">
        <v>1710</v>
      </c>
      <c r="B1708" s="24">
        <v>44222</v>
      </c>
      <c r="C1708" t="s">
        <v>39</v>
      </c>
      <c r="D1708" t="s">
        <v>41</v>
      </c>
      <c r="E1708">
        <v>2000712907</v>
      </c>
      <c r="F1708">
        <v>4016</v>
      </c>
      <c r="G1708">
        <v>200</v>
      </c>
      <c r="H1708">
        <v>0</v>
      </c>
      <c r="I1708" t="s">
        <v>201</v>
      </c>
      <c r="J1708" t="s">
        <v>200</v>
      </c>
      <c r="K1708" t="s">
        <v>653</v>
      </c>
      <c r="O1708">
        <v>0</v>
      </c>
      <c r="U1708" t="s">
        <v>81</v>
      </c>
    </row>
    <row r="1709" spans="1:21" x14ac:dyDescent="0.25">
      <c r="A1709" s="33">
        <v>1711</v>
      </c>
      <c r="B1709" s="24">
        <v>44222</v>
      </c>
      <c r="C1709" t="s">
        <v>39</v>
      </c>
      <c r="D1709" t="s">
        <v>41</v>
      </c>
      <c r="E1709">
        <v>2000712342</v>
      </c>
      <c r="F1709">
        <v>3200</v>
      </c>
      <c r="G1709">
        <v>150</v>
      </c>
      <c r="H1709">
        <v>0</v>
      </c>
      <c r="I1709" t="s">
        <v>201</v>
      </c>
      <c r="J1709" t="s">
        <v>645</v>
      </c>
      <c r="K1709" t="s">
        <v>658</v>
      </c>
      <c r="O1709">
        <v>0</v>
      </c>
      <c r="U1709" t="s">
        <v>81</v>
      </c>
    </row>
    <row r="1710" spans="1:21" x14ac:dyDescent="0.25">
      <c r="A1710" s="33">
        <v>1712</v>
      </c>
      <c r="B1710" s="24">
        <v>44222</v>
      </c>
      <c r="C1710" t="s">
        <v>39</v>
      </c>
      <c r="D1710" t="s">
        <v>41</v>
      </c>
      <c r="E1710">
        <v>2000712666</v>
      </c>
      <c r="F1710">
        <v>280</v>
      </c>
      <c r="G1710">
        <v>200</v>
      </c>
      <c r="H1710">
        <v>0</v>
      </c>
      <c r="I1710" t="s">
        <v>666</v>
      </c>
      <c r="J1710" t="s">
        <v>174</v>
      </c>
      <c r="K1710" t="s">
        <v>177</v>
      </c>
      <c r="O1710">
        <v>0</v>
      </c>
      <c r="U1710" t="s">
        <v>81</v>
      </c>
    </row>
    <row r="1711" spans="1:21" x14ac:dyDescent="0.25">
      <c r="A1711" s="33">
        <v>1713</v>
      </c>
      <c r="B1711" s="24">
        <v>44222</v>
      </c>
      <c r="C1711" t="s">
        <v>39</v>
      </c>
      <c r="D1711" t="s">
        <v>41</v>
      </c>
      <c r="E1711">
        <v>2000709979</v>
      </c>
      <c r="F1711">
        <v>2064</v>
      </c>
      <c r="G1711">
        <v>12</v>
      </c>
      <c r="H1711">
        <v>0</v>
      </c>
      <c r="I1711" t="s">
        <v>666</v>
      </c>
      <c r="J1711" t="s">
        <v>655</v>
      </c>
      <c r="K1711" t="s">
        <v>939</v>
      </c>
      <c r="O1711">
        <v>0</v>
      </c>
      <c r="U1711" t="s">
        <v>81</v>
      </c>
    </row>
    <row r="1712" spans="1:21" x14ac:dyDescent="0.25">
      <c r="A1712" s="33">
        <v>1714</v>
      </c>
      <c r="B1712" s="24">
        <v>44222</v>
      </c>
      <c r="C1712" t="s">
        <v>39</v>
      </c>
      <c r="D1712" t="s">
        <v>41</v>
      </c>
      <c r="E1712">
        <v>2000707222</v>
      </c>
      <c r="F1712">
        <v>1850</v>
      </c>
      <c r="G1712">
        <v>1</v>
      </c>
      <c r="H1712">
        <v>0</v>
      </c>
      <c r="I1712" t="s">
        <v>666</v>
      </c>
      <c r="J1712" t="s">
        <v>174</v>
      </c>
      <c r="K1712" t="s">
        <v>177</v>
      </c>
      <c r="O1712">
        <v>0</v>
      </c>
      <c r="U1712" t="s">
        <v>81</v>
      </c>
    </row>
    <row r="1713" spans="1:21" x14ac:dyDescent="0.25">
      <c r="A1713" s="33">
        <v>1715</v>
      </c>
      <c r="B1713" s="24">
        <v>44222</v>
      </c>
      <c r="C1713" t="s">
        <v>39</v>
      </c>
      <c r="D1713" t="s">
        <v>41</v>
      </c>
      <c r="E1713">
        <v>2000712397</v>
      </c>
      <c r="F1713">
        <v>240</v>
      </c>
      <c r="G1713">
        <v>218</v>
      </c>
      <c r="H1713">
        <v>0</v>
      </c>
      <c r="I1713" t="s">
        <v>666</v>
      </c>
      <c r="J1713" t="s">
        <v>174</v>
      </c>
      <c r="K1713" t="s">
        <v>870</v>
      </c>
      <c r="O1713">
        <v>0</v>
      </c>
      <c r="U1713" t="s">
        <v>81</v>
      </c>
    </row>
    <row r="1714" spans="1:21" x14ac:dyDescent="0.25">
      <c r="A1714" s="33">
        <v>1716</v>
      </c>
      <c r="B1714" s="24">
        <v>44222</v>
      </c>
      <c r="C1714" t="s">
        <v>39</v>
      </c>
      <c r="D1714" t="s">
        <v>51</v>
      </c>
      <c r="E1714">
        <v>2000712883</v>
      </c>
      <c r="F1714">
        <v>352</v>
      </c>
      <c r="G1714">
        <v>62</v>
      </c>
      <c r="H1714">
        <v>0</v>
      </c>
      <c r="I1714" t="s">
        <v>178</v>
      </c>
      <c r="J1714" t="s">
        <v>669</v>
      </c>
      <c r="K1714" t="s">
        <v>707</v>
      </c>
      <c r="O1714">
        <v>0</v>
      </c>
      <c r="U1714" t="s">
        <v>81</v>
      </c>
    </row>
    <row r="1715" spans="1:21" x14ac:dyDescent="0.25">
      <c r="A1715" s="33">
        <v>1717</v>
      </c>
      <c r="B1715" s="24">
        <v>44222</v>
      </c>
      <c r="C1715" t="s">
        <v>39</v>
      </c>
      <c r="D1715" t="s">
        <v>51</v>
      </c>
      <c r="E1715">
        <v>2000712883</v>
      </c>
      <c r="F1715">
        <v>352</v>
      </c>
      <c r="G1715">
        <v>100</v>
      </c>
      <c r="H1715">
        <v>0</v>
      </c>
      <c r="I1715" t="s">
        <v>168</v>
      </c>
      <c r="J1715" t="s">
        <v>669</v>
      </c>
      <c r="K1715" t="s">
        <v>707</v>
      </c>
      <c r="O1715">
        <v>0</v>
      </c>
      <c r="U1715" t="s">
        <v>81</v>
      </c>
    </row>
    <row r="1716" spans="1:21" x14ac:dyDescent="0.25">
      <c r="A1716" s="33">
        <v>1718</v>
      </c>
      <c r="B1716" s="24">
        <v>44222</v>
      </c>
      <c r="C1716" t="s">
        <v>39</v>
      </c>
      <c r="D1716" t="s">
        <v>51</v>
      </c>
      <c r="E1716">
        <v>2000712450</v>
      </c>
      <c r="F1716">
        <v>945</v>
      </c>
      <c r="G1716">
        <v>80</v>
      </c>
      <c r="H1716">
        <v>0</v>
      </c>
      <c r="I1716" t="s">
        <v>168</v>
      </c>
      <c r="J1716" t="s">
        <v>673</v>
      </c>
      <c r="K1716" t="s">
        <v>674</v>
      </c>
      <c r="O1716">
        <v>0</v>
      </c>
      <c r="U1716" t="s">
        <v>81</v>
      </c>
    </row>
    <row r="1717" spans="1:21" x14ac:dyDescent="0.25">
      <c r="A1717" s="33">
        <v>1719</v>
      </c>
      <c r="B1717" s="24">
        <v>44222</v>
      </c>
      <c r="C1717" t="s">
        <v>39</v>
      </c>
      <c r="D1717" t="s">
        <v>51</v>
      </c>
      <c r="E1717">
        <v>2000712904</v>
      </c>
      <c r="F1717">
        <v>1059</v>
      </c>
      <c r="G1717">
        <v>192</v>
      </c>
      <c r="H1717">
        <v>0</v>
      </c>
      <c r="I1717" t="s">
        <v>168</v>
      </c>
      <c r="J1717" t="s">
        <v>709</v>
      </c>
      <c r="K1717" t="s">
        <v>710</v>
      </c>
      <c r="O1717">
        <v>0</v>
      </c>
      <c r="U1717" t="s">
        <v>81</v>
      </c>
    </row>
    <row r="1718" spans="1:21" x14ac:dyDescent="0.25">
      <c r="A1718" s="33">
        <v>1720</v>
      </c>
      <c r="B1718" s="24">
        <v>44222</v>
      </c>
      <c r="C1718" t="s">
        <v>39</v>
      </c>
      <c r="D1718" t="s">
        <v>51</v>
      </c>
      <c r="E1718">
        <v>2000712483</v>
      </c>
      <c r="F1718">
        <v>285</v>
      </c>
      <c r="G1718">
        <v>130</v>
      </c>
      <c r="H1718">
        <v>0</v>
      </c>
      <c r="I1718" t="s">
        <v>168</v>
      </c>
      <c r="J1718" t="s">
        <v>669</v>
      </c>
      <c r="K1718" t="s">
        <v>670</v>
      </c>
      <c r="O1718">
        <v>0</v>
      </c>
      <c r="U1718" t="s">
        <v>81</v>
      </c>
    </row>
    <row r="1719" spans="1:21" x14ac:dyDescent="0.25">
      <c r="A1719" s="33">
        <v>1721</v>
      </c>
      <c r="B1719" s="24">
        <v>44222</v>
      </c>
      <c r="C1719" t="s">
        <v>39</v>
      </c>
      <c r="D1719" t="s">
        <v>51</v>
      </c>
      <c r="E1719">
        <v>2000712654</v>
      </c>
      <c r="F1719">
        <v>30</v>
      </c>
      <c r="G1719">
        <v>20</v>
      </c>
      <c r="H1719">
        <v>0</v>
      </c>
      <c r="I1719" t="s">
        <v>168</v>
      </c>
      <c r="J1719" t="s">
        <v>669</v>
      </c>
      <c r="K1719" t="s">
        <v>773</v>
      </c>
      <c r="O1719">
        <v>0</v>
      </c>
      <c r="U1719" t="s">
        <v>81</v>
      </c>
    </row>
    <row r="1720" spans="1:21" x14ac:dyDescent="0.25">
      <c r="A1720" s="33">
        <v>1722</v>
      </c>
      <c r="B1720" s="24">
        <v>44222</v>
      </c>
      <c r="C1720" t="s">
        <v>39</v>
      </c>
      <c r="D1720" t="s">
        <v>51</v>
      </c>
      <c r="E1720">
        <v>2000712465</v>
      </c>
      <c r="F1720">
        <v>300</v>
      </c>
      <c r="G1720">
        <v>30</v>
      </c>
      <c r="H1720">
        <v>0</v>
      </c>
      <c r="I1720" t="s">
        <v>168</v>
      </c>
      <c r="J1720" t="s">
        <v>669</v>
      </c>
      <c r="K1720" t="s">
        <v>801</v>
      </c>
      <c r="O1720">
        <v>0</v>
      </c>
      <c r="U1720" t="s">
        <v>81</v>
      </c>
    </row>
    <row r="1721" spans="1:21" x14ac:dyDescent="0.25">
      <c r="A1721" s="33">
        <v>1723</v>
      </c>
      <c r="B1721" s="24">
        <v>44222</v>
      </c>
      <c r="C1721" t="s">
        <v>181</v>
      </c>
      <c r="D1721" t="s">
        <v>41</v>
      </c>
      <c r="E1721">
        <v>2000710292</v>
      </c>
      <c r="F1721">
        <v>280</v>
      </c>
      <c r="G1721">
        <v>120</v>
      </c>
      <c r="H1721">
        <v>0</v>
      </c>
      <c r="I1721" t="s">
        <v>759</v>
      </c>
      <c r="J1721" t="s">
        <v>645</v>
      </c>
      <c r="K1721" t="s">
        <v>910</v>
      </c>
      <c r="O1721">
        <v>0</v>
      </c>
      <c r="U1721" t="s">
        <v>81</v>
      </c>
    </row>
    <row r="1722" spans="1:21" x14ac:dyDescent="0.25">
      <c r="A1722" s="33">
        <v>1724</v>
      </c>
      <c r="B1722" s="24">
        <v>44222</v>
      </c>
      <c r="C1722" t="s">
        <v>181</v>
      </c>
      <c r="D1722" t="s">
        <v>41</v>
      </c>
      <c r="E1722">
        <v>2000712690</v>
      </c>
      <c r="F1722">
        <v>2000</v>
      </c>
      <c r="G1722">
        <v>200</v>
      </c>
      <c r="H1722">
        <v>0</v>
      </c>
      <c r="I1722" t="s">
        <v>759</v>
      </c>
      <c r="J1722" t="s">
        <v>193</v>
      </c>
      <c r="K1722" t="s">
        <v>647</v>
      </c>
      <c r="O1722">
        <v>0</v>
      </c>
      <c r="U1722" t="s">
        <v>81</v>
      </c>
    </row>
    <row r="1723" spans="1:21" x14ac:dyDescent="0.25">
      <c r="A1723" s="33">
        <v>1725</v>
      </c>
      <c r="B1723" s="24">
        <v>44222</v>
      </c>
      <c r="C1723" t="s">
        <v>181</v>
      </c>
      <c r="D1723" t="s">
        <v>41</v>
      </c>
      <c r="E1723">
        <v>2000712720</v>
      </c>
      <c r="F1723">
        <v>3900</v>
      </c>
      <c r="G1723">
        <v>400</v>
      </c>
      <c r="H1723">
        <v>0</v>
      </c>
      <c r="I1723" t="s">
        <v>759</v>
      </c>
      <c r="J1723" t="s">
        <v>172</v>
      </c>
      <c r="K1723" t="s">
        <v>725</v>
      </c>
      <c r="O1723">
        <v>0</v>
      </c>
      <c r="U1723" t="s">
        <v>81</v>
      </c>
    </row>
    <row r="1724" spans="1:21" x14ac:dyDescent="0.25">
      <c r="A1724" s="33">
        <v>1726</v>
      </c>
      <c r="B1724" s="24">
        <v>44222</v>
      </c>
      <c r="C1724" t="s">
        <v>181</v>
      </c>
      <c r="D1724" t="s">
        <v>41</v>
      </c>
      <c r="E1724">
        <v>2000713139</v>
      </c>
      <c r="F1724">
        <v>480</v>
      </c>
      <c r="G1724">
        <v>74</v>
      </c>
      <c r="H1724">
        <v>0</v>
      </c>
      <c r="I1724" t="s">
        <v>759</v>
      </c>
      <c r="J1724" t="s">
        <v>174</v>
      </c>
      <c r="K1724" t="s">
        <v>186</v>
      </c>
      <c r="O1724">
        <v>0</v>
      </c>
      <c r="U1724" t="s">
        <v>81</v>
      </c>
    </row>
    <row r="1725" spans="1:21" x14ac:dyDescent="0.25">
      <c r="A1725" s="33">
        <v>1727</v>
      </c>
      <c r="B1725" s="24">
        <v>44222</v>
      </c>
      <c r="C1725" t="s">
        <v>181</v>
      </c>
      <c r="D1725" t="s">
        <v>41</v>
      </c>
      <c r="E1725">
        <v>2000712667</v>
      </c>
      <c r="F1725">
        <v>120</v>
      </c>
      <c r="G1725">
        <v>20</v>
      </c>
      <c r="H1725">
        <v>0</v>
      </c>
      <c r="I1725" t="s">
        <v>759</v>
      </c>
      <c r="J1725" t="s">
        <v>174</v>
      </c>
      <c r="K1725" t="s">
        <v>204</v>
      </c>
      <c r="O1725">
        <v>0</v>
      </c>
      <c r="U1725" t="s">
        <v>81</v>
      </c>
    </row>
    <row r="1726" spans="1:21" x14ac:dyDescent="0.25">
      <c r="A1726" s="33">
        <v>1728</v>
      </c>
      <c r="B1726" s="24">
        <v>44222</v>
      </c>
      <c r="C1726" t="s">
        <v>181</v>
      </c>
      <c r="D1726" t="s">
        <v>41</v>
      </c>
      <c r="E1726">
        <v>2000713139</v>
      </c>
      <c r="F1726">
        <v>480</v>
      </c>
      <c r="G1726">
        <v>60</v>
      </c>
      <c r="H1726">
        <v>0</v>
      </c>
      <c r="I1726" t="s">
        <v>789</v>
      </c>
      <c r="J1726" t="s">
        <v>174</v>
      </c>
      <c r="K1726" t="s">
        <v>186</v>
      </c>
      <c r="O1726">
        <v>0</v>
      </c>
      <c r="U1726" t="s">
        <v>81</v>
      </c>
    </row>
    <row r="1727" spans="1:21" x14ac:dyDescent="0.25">
      <c r="A1727" s="33">
        <v>1729</v>
      </c>
      <c r="B1727" s="24">
        <v>44222</v>
      </c>
      <c r="C1727" t="s">
        <v>181</v>
      </c>
      <c r="D1727" t="s">
        <v>41</v>
      </c>
      <c r="E1727">
        <v>2000712667</v>
      </c>
      <c r="F1727">
        <v>120</v>
      </c>
      <c r="G1727">
        <v>40</v>
      </c>
      <c r="H1727">
        <v>0</v>
      </c>
      <c r="I1727" t="s">
        <v>789</v>
      </c>
      <c r="J1727" t="s">
        <v>174</v>
      </c>
      <c r="K1727" t="s">
        <v>204</v>
      </c>
      <c r="O1727">
        <v>0</v>
      </c>
      <c r="U1727" t="s">
        <v>81</v>
      </c>
    </row>
    <row r="1728" spans="1:21" x14ac:dyDescent="0.25">
      <c r="A1728" s="33">
        <v>1730</v>
      </c>
      <c r="B1728" s="24">
        <v>44222</v>
      </c>
      <c r="C1728" t="s">
        <v>181</v>
      </c>
      <c r="D1728" t="s">
        <v>41</v>
      </c>
      <c r="E1728">
        <v>2000712370</v>
      </c>
      <c r="F1728">
        <v>818</v>
      </c>
      <c r="G1728">
        <v>45</v>
      </c>
      <c r="H1728">
        <v>0</v>
      </c>
      <c r="I1728" t="s">
        <v>184</v>
      </c>
      <c r="J1728" t="s">
        <v>170</v>
      </c>
      <c r="K1728" t="s">
        <v>171</v>
      </c>
      <c r="O1728">
        <v>0</v>
      </c>
      <c r="U1728" t="s">
        <v>81</v>
      </c>
    </row>
    <row r="1729" spans="1:21" x14ac:dyDescent="0.25">
      <c r="A1729" s="33">
        <v>1731</v>
      </c>
      <c r="B1729" s="24">
        <v>44222</v>
      </c>
      <c r="C1729" t="s">
        <v>181</v>
      </c>
      <c r="D1729" t="s">
        <v>41</v>
      </c>
      <c r="E1729">
        <v>2000713138</v>
      </c>
      <c r="F1729">
        <v>446</v>
      </c>
      <c r="G1729">
        <v>80</v>
      </c>
      <c r="H1729">
        <v>0</v>
      </c>
      <c r="I1729" t="s">
        <v>184</v>
      </c>
      <c r="J1729" t="s">
        <v>174</v>
      </c>
      <c r="K1729" t="s">
        <v>644</v>
      </c>
      <c r="O1729">
        <v>0</v>
      </c>
      <c r="U1729" t="s">
        <v>81</v>
      </c>
    </row>
    <row r="1730" spans="1:21" x14ac:dyDescent="0.25">
      <c r="A1730" s="33">
        <v>1732</v>
      </c>
      <c r="B1730" s="24">
        <v>44222</v>
      </c>
      <c r="C1730" t="s">
        <v>181</v>
      </c>
      <c r="D1730" t="s">
        <v>41</v>
      </c>
      <c r="E1730">
        <v>2000706629</v>
      </c>
      <c r="F1730">
        <v>764</v>
      </c>
      <c r="G1730">
        <v>2</v>
      </c>
      <c r="H1730">
        <v>0</v>
      </c>
      <c r="I1730" t="s">
        <v>184</v>
      </c>
      <c r="J1730" t="s">
        <v>174</v>
      </c>
      <c r="K1730" t="s">
        <v>186</v>
      </c>
      <c r="O1730">
        <v>0</v>
      </c>
      <c r="U1730" t="s">
        <v>81</v>
      </c>
    </row>
    <row r="1731" spans="1:21" x14ac:dyDescent="0.25">
      <c r="A1731" s="33">
        <v>1733</v>
      </c>
      <c r="B1731" s="24">
        <v>44222</v>
      </c>
      <c r="C1731" t="s">
        <v>181</v>
      </c>
      <c r="D1731" t="s">
        <v>41</v>
      </c>
      <c r="E1731">
        <v>2000713139</v>
      </c>
      <c r="F1731">
        <v>480</v>
      </c>
      <c r="G1731">
        <v>280</v>
      </c>
      <c r="H1731">
        <v>0</v>
      </c>
      <c r="I1731" t="s">
        <v>184</v>
      </c>
      <c r="J1731" t="s">
        <v>174</v>
      </c>
      <c r="K1731" t="s">
        <v>186</v>
      </c>
      <c r="O1731">
        <v>0</v>
      </c>
      <c r="U1731" t="s">
        <v>81</v>
      </c>
    </row>
    <row r="1732" spans="1:21" x14ac:dyDescent="0.25">
      <c r="A1732" s="33">
        <v>1734</v>
      </c>
      <c r="B1732" s="24">
        <v>44222</v>
      </c>
      <c r="C1732" t="s">
        <v>181</v>
      </c>
      <c r="D1732" t="s">
        <v>41</v>
      </c>
      <c r="E1732">
        <v>2000703699</v>
      </c>
      <c r="F1732">
        <v>1640</v>
      </c>
      <c r="G1732">
        <v>3</v>
      </c>
      <c r="H1732">
        <v>0</v>
      </c>
      <c r="I1732" t="s">
        <v>184</v>
      </c>
      <c r="J1732" t="s">
        <v>174</v>
      </c>
      <c r="K1732" t="s">
        <v>186</v>
      </c>
      <c r="O1732">
        <v>0</v>
      </c>
      <c r="U1732" t="s">
        <v>81</v>
      </c>
    </row>
    <row r="1733" spans="1:21" x14ac:dyDescent="0.25">
      <c r="A1733" s="33">
        <v>1735</v>
      </c>
      <c r="B1733" s="24">
        <v>44222</v>
      </c>
      <c r="C1733" t="s">
        <v>181</v>
      </c>
      <c r="D1733" t="s">
        <v>41</v>
      </c>
      <c r="E1733">
        <v>2000713138</v>
      </c>
      <c r="F1733">
        <v>446</v>
      </c>
      <c r="G1733">
        <v>366</v>
      </c>
      <c r="H1733">
        <v>0</v>
      </c>
      <c r="I1733" t="s">
        <v>696</v>
      </c>
      <c r="J1733" t="s">
        <v>174</v>
      </c>
      <c r="K1733" t="s">
        <v>644</v>
      </c>
      <c r="O1733">
        <v>0</v>
      </c>
      <c r="U1733" t="s">
        <v>81</v>
      </c>
    </row>
    <row r="1734" spans="1:21" x14ac:dyDescent="0.25">
      <c r="A1734" s="33">
        <v>1736</v>
      </c>
      <c r="B1734" s="24">
        <v>44222</v>
      </c>
      <c r="C1734" t="s">
        <v>181</v>
      </c>
      <c r="D1734" t="s">
        <v>41</v>
      </c>
      <c r="E1734">
        <v>2000705992</v>
      </c>
      <c r="F1734">
        <v>2800</v>
      </c>
      <c r="G1734">
        <v>2</v>
      </c>
      <c r="H1734">
        <v>0</v>
      </c>
      <c r="I1734" t="s">
        <v>696</v>
      </c>
      <c r="J1734" t="s">
        <v>174</v>
      </c>
      <c r="K1734" t="s">
        <v>644</v>
      </c>
      <c r="O1734">
        <v>0</v>
      </c>
      <c r="U1734" t="s">
        <v>81</v>
      </c>
    </row>
    <row r="1735" spans="1:21" x14ac:dyDescent="0.25">
      <c r="A1735" s="33">
        <v>1737</v>
      </c>
      <c r="B1735" s="24">
        <v>44222</v>
      </c>
      <c r="C1735" t="s">
        <v>181</v>
      </c>
      <c r="D1735" t="s">
        <v>41</v>
      </c>
      <c r="E1735">
        <v>2000393344</v>
      </c>
      <c r="F1735">
        <v>37</v>
      </c>
      <c r="G1735">
        <v>3</v>
      </c>
      <c r="H1735">
        <v>0</v>
      </c>
      <c r="I1735" t="s">
        <v>198</v>
      </c>
      <c r="J1735" t="s">
        <v>215</v>
      </c>
      <c r="K1735" t="s">
        <v>838</v>
      </c>
      <c r="O1735">
        <v>0</v>
      </c>
      <c r="U1735" t="s">
        <v>83</v>
      </c>
    </row>
    <row r="1736" spans="1:21" x14ac:dyDescent="0.25">
      <c r="A1736" s="33">
        <v>1738</v>
      </c>
      <c r="B1736" s="24">
        <v>44222</v>
      </c>
      <c r="C1736" t="s">
        <v>181</v>
      </c>
      <c r="D1736" t="s">
        <v>41</v>
      </c>
      <c r="E1736">
        <v>2000393346</v>
      </c>
      <c r="F1736">
        <v>37</v>
      </c>
      <c r="G1736">
        <v>8</v>
      </c>
      <c r="H1736">
        <v>0</v>
      </c>
      <c r="I1736" t="s">
        <v>198</v>
      </c>
      <c r="J1736" t="s">
        <v>215</v>
      </c>
      <c r="K1736" t="s">
        <v>838</v>
      </c>
      <c r="O1736">
        <v>0</v>
      </c>
      <c r="U1736" t="s">
        <v>83</v>
      </c>
    </row>
    <row r="1737" spans="1:21" x14ac:dyDescent="0.25">
      <c r="A1737" s="33">
        <v>1739</v>
      </c>
      <c r="B1737" s="24">
        <v>44222</v>
      </c>
      <c r="C1737" t="s">
        <v>181</v>
      </c>
      <c r="D1737" t="s">
        <v>41</v>
      </c>
      <c r="E1737">
        <v>2000712370</v>
      </c>
      <c r="F1737">
        <v>818</v>
      </c>
      <c r="G1737">
        <v>45</v>
      </c>
      <c r="H1737">
        <v>0</v>
      </c>
      <c r="I1737" t="s">
        <v>198</v>
      </c>
      <c r="J1737" t="s">
        <v>170</v>
      </c>
      <c r="K1737" t="s">
        <v>171</v>
      </c>
      <c r="O1737">
        <v>0</v>
      </c>
      <c r="U1737" t="s">
        <v>81</v>
      </c>
    </row>
    <row r="1738" spans="1:21" x14ac:dyDescent="0.25">
      <c r="A1738" s="33">
        <v>1740</v>
      </c>
      <c r="B1738" s="24">
        <v>44222</v>
      </c>
      <c r="C1738" t="s">
        <v>181</v>
      </c>
      <c r="D1738" t="s">
        <v>41</v>
      </c>
      <c r="E1738">
        <v>2000712658</v>
      </c>
      <c r="F1738">
        <v>900</v>
      </c>
      <c r="G1738">
        <v>225</v>
      </c>
      <c r="H1738">
        <v>0</v>
      </c>
      <c r="I1738" t="s">
        <v>198</v>
      </c>
      <c r="J1738" t="s">
        <v>170</v>
      </c>
      <c r="K1738" t="s">
        <v>697</v>
      </c>
      <c r="O1738">
        <v>0</v>
      </c>
      <c r="U1738" t="s">
        <v>81</v>
      </c>
    </row>
    <row r="1739" spans="1:21" x14ac:dyDescent="0.25">
      <c r="A1739" s="33">
        <v>1741</v>
      </c>
      <c r="B1739" s="24">
        <v>44222</v>
      </c>
      <c r="C1739" t="s">
        <v>181</v>
      </c>
      <c r="D1739" t="s">
        <v>41</v>
      </c>
      <c r="E1739">
        <v>2000713386</v>
      </c>
      <c r="F1739">
        <v>952</v>
      </c>
      <c r="G1739">
        <v>90</v>
      </c>
      <c r="H1739">
        <v>0</v>
      </c>
      <c r="I1739" t="s">
        <v>198</v>
      </c>
      <c r="J1739" t="s">
        <v>170</v>
      </c>
      <c r="K1739" t="s">
        <v>182</v>
      </c>
      <c r="O1739">
        <v>0</v>
      </c>
      <c r="U1739" t="s">
        <v>81</v>
      </c>
    </row>
    <row r="1740" spans="1:21" ht="30" x14ac:dyDescent="0.25">
      <c r="A1740" s="33">
        <v>1742</v>
      </c>
      <c r="B1740" s="24">
        <v>44222</v>
      </c>
      <c r="C1740" t="s">
        <v>181</v>
      </c>
      <c r="D1740" t="s">
        <v>41</v>
      </c>
      <c r="E1740">
        <v>2000713139</v>
      </c>
      <c r="F1740">
        <v>480</v>
      </c>
      <c r="G1740">
        <v>60</v>
      </c>
      <c r="H1740">
        <v>0</v>
      </c>
      <c r="I1740" t="s">
        <v>198</v>
      </c>
      <c r="J1740" t="s">
        <v>174</v>
      </c>
      <c r="K1740" t="s">
        <v>186</v>
      </c>
      <c r="O1740">
        <v>0</v>
      </c>
      <c r="T1740" s="62" t="s">
        <v>723</v>
      </c>
      <c r="U1740" t="s">
        <v>81</v>
      </c>
    </row>
    <row r="1741" spans="1:21" x14ac:dyDescent="0.25">
      <c r="A1741" s="33">
        <v>1743</v>
      </c>
      <c r="B1741" s="24">
        <v>44222</v>
      </c>
      <c r="C1741" t="s">
        <v>181</v>
      </c>
      <c r="D1741" t="s">
        <v>41</v>
      </c>
      <c r="E1741">
        <v>2000712723</v>
      </c>
      <c r="F1741">
        <v>2300</v>
      </c>
      <c r="G1741">
        <v>400</v>
      </c>
      <c r="H1741">
        <v>0</v>
      </c>
      <c r="I1741" t="s">
        <v>680</v>
      </c>
      <c r="J1741" t="s">
        <v>172</v>
      </c>
      <c r="K1741" t="s">
        <v>725</v>
      </c>
      <c r="O1741">
        <v>0</v>
      </c>
      <c r="U1741" t="s">
        <v>81</v>
      </c>
    </row>
    <row r="1742" spans="1:21" x14ac:dyDescent="0.25">
      <c r="A1742" s="33">
        <v>1744</v>
      </c>
      <c r="B1742" s="24">
        <v>44222</v>
      </c>
      <c r="C1742" t="s">
        <v>181</v>
      </c>
      <c r="D1742" t="s">
        <v>41</v>
      </c>
      <c r="E1742">
        <v>2000712693</v>
      </c>
      <c r="F1742">
        <v>2000</v>
      </c>
      <c r="G1742">
        <v>200</v>
      </c>
      <c r="H1742">
        <v>0</v>
      </c>
      <c r="I1742" t="s">
        <v>680</v>
      </c>
      <c r="J1742" t="s">
        <v>193</v>
      </c>
      <c r="K1742" t="s">
        <v>686</v>
      </c>
      <c r="O1742">
        <v>0</v>
      </c>
      <c r="U1742" t="s">
        <v>81</v>
      </c>
    </row>
    <row r="1743" spans="1:21" x14ac:dyDescent="0.25">
      <c r="A1743" s="33">
        <v>1745</v>
      </c>
      <c r="B1743" s="24">
        <v>44222</v>
      </c>
      <c r="C1743" t="s">
        <v>181</v>
      </c>
      <c r="D1743" t="s">
        <v>41</v>
      </c>
      <c r="E1743">
        <v>2000712817</v>
      </c>
      <c r="F1743">
        <v>1500</v>
      </c>
      <c r="G1743">
        <v>150</v>
      </c>
      <c r="H1743">
        <v>0</v>
      </c>
      <c r="I1743" t="s">
        <v>680</v>
      </c>
      <c r="J1743" t="s">
        <v>196</v>
      </c>
      <c r="K1743" t="s">
        <v>738</v>
      </c>
      <c r="O1743">
        <v>0</v>
      </c>
      <c r="U1743" t="s">
        <v>81</v>
      </c>
    </row>
    <row r="1744" spans="1:21" x14ac:dyDescent="0.25">
      <c r="A1744" s="33">
        <v>1746</v>
      </c>
      <c r="B1744" s="24">
        <v>44222</v>
      </c>
      <c r="C1744" t="s">
        <v>181</v>
      </c>
      <c r="D1744" t="s">
        <v>41</v>
      </c>
      <c r="E1744">
        <v>2000712816</v>
      </c>
      <c r="F1744">
        <v>752</v>
      </c>
      <c r="G1744">
        <v>300</v>
      </c>
      <c r="H1744">
        <v>0</v>
      </c>
      <c r="I1744" t="s">
        <v>680</v>
      </c>
      <c r="J1744" t="s">
        <v>169</v>
      </c>
      <c r="K1744" t="s">
        <v>867</v>
      </c>
      <c r="O1744">
        <v>0</v>
      </c>
      <c r="U1744" t="s">
        <v>81</v>
      </c>
    </row>
    <row r="1745" spans="1:21" x14ac:dyDescent="0.25">
      <c r="A1745" s="33">
        <v>1747</v>
      </c>
      <c r="B1745" s="24">
        <v>44222</v>
      </c>
      <c r="C1745" t="s">
        <v>181</v>
      </c>
      <c r="D1745" t="s">
        <v>41</v>
      </c>
      <c r="E1745">
        <v>2000712416</v>
      </c>
      <c r="F1745">
        <v>2000</v>
      </c>
      <c r="G1745">
        <v>90</v>
      </c>
      <c r="H1745">
        <v>0</v>
      </c>
      <c r="I1745" t="s">
        <v>185</v>
      </c>
      <c r="J1745" t="s">
        <v>169</v>
      </c>
      <c r="K1745" t="s">
        <v>179</v>
      </c>
      <c r="O1745">
        <v>0</v>
      </c>
      <c r="U1745" t="s">
        <v>81</v>
      </c>
    </row>
    <row r="1746" spans="1:21" x14ac:dyDescent="0.25">
      <c r="A1746" s="33">
        <v>1748</v>
      </c>
      <c r="B1746" s="24">
        <v>44222</v>
      </c>
      <c r="C1746" t="s">
        <v>181</v>
      </c>
      <c r="D1746" t="s">
        <v>41</v>
      </c>
      <c r="E1746">
        <v>2000712709</v>
      </c>
      <c r="F1746">
        <v>880</v>
      </c>
      <c r="G1746">
        <v>80</v>
      </c>
      <c r="H1746">
        <v>0</v>
      </c>
      <c r="I1746" t="s">
        <v>185</v>
      </c>
      <c r="J1746" t="s">
        <v>645</v>
      </c>
      <c r="K1746" t="s">
        <v>753</v>
      </c>
      <c r="O1746">
        <v>0</v>
      </c>
      <c r="U1746" t="s">
        <v>81</v>
      </c>
    </row>
    <row r="1747" spans="1:21" x14ac:dyDescent="0.25">
      <c r="A1747" s="33">
        <v>1749</v>
      </c>
      <c r="B1747" s="24">
        <v>44222</v>
      </c>
      <c r="C1747" t="s">
        <v>181</v>
      </c>
      <c r="D1747" t="s">
        <v>41</v>
      </c>
      <c r="E1747">
        <v>2000712694</v>
      </c>
      <c r="F1747">
        <v>2000</v>
      </c>
      <c r="G1747">
        <v>100</v>
      </c>
      <c r="H1747">
        <v>0</v>
      </c>
      <c r="I1747" t="s">
        <v>185</v>
      </c>
      <c r="J1747" t="s">
        <v>193</v>
      </c>
      <c r="K1747" t="s">
        <v>647</v>
      </c>
      <c r="O1747">
        <v>0</v>
      </c>
      <c r="U1747" t="s">
        <v>81</v>
      </c>
    </row>
    <row r="1748" spans="1:21" x14ac:dyDescent="0.25">
      <c r="A1748" s="33">
        <v>1750</v>
      </c>
      <c r="B1748" s="24">
        <v>44222</v>
      </c>
      <c r="C1748" t="s">
        <v>181</v>
      </c>
      <c r="D1748" t="s">
        <v>41</v>
      </c>
      <c r="E1748">
        <v>2000712343</v>
      </c>
      <c r="F1748">
        <v>3200</v>
      </c>
      <c r="G1748">
        <v>120</v>
      </c>
      <c r="H1748">
        <v>0</v>
      </c>
      <c r="I1748" t="s">
        <v>185</v>
      </c>
      <c r="J1748" t="s">
        <v>645</v>
      </c>
      <c r="K1748" t="s">
        <v>721</v>
      </c>
      <c r="O1748">
        <v>0</v>
      </c>
      <c r="U1748" t="s">
        <v>81</v>
      </c>
    </row>
    <row r="1749" spans="1:21" x14ac:dyDescent="0.25">
      <c r="A1749" s="33">
        <v>1751</v>
      </c>
      <c r="B1749" s="24">
        <v>44222</v>
      </c>
      <c r="C1749" t="s">
        <v>181</v>
      </c>
      <c r="D1749" t="s">
        <v>41</v>
      </c>
      <c r="E1749">
        <v>2000712370</v>
      </c>
      <c r="F1749">
        <v>818</v>
      </c>
      <c r="G1749">
        <v>90</v>
      </c>
      <c r="H1749">
        <v>0</v>
      </c>
      <c r="I1749" t="s">
        <v>183</v>
      </c>
      <c r="J1749" t="s">
        <v>170</v>
      </c>
      <c r="K1749" t="s">
        <v>171</v>
      </c>
      <c r="O1749">
        <v>0</v>
      </c>
      <c r="U1749" t="s">
        <v>81</v>
      </c>
    </row>
    <row r="1750" spans="1:21" x14ac:dyDescent="0.25">
      <c r="A1750" s="33">
        <v>1752</v>
      </c>
      <c r="B1750" s="24">
        <v>44222</v>
      </c>
      <c r="C1750" t="s">
        <v>181</v>
      </c>
      <c r="D1750" t="s">
        <v>41</v>
      </c>
      <c r="E1750">
        <v>2000712658</v>
      </c>
      <c r="F1750">
        <v>900</v>
      </c>
      <c r="G1750">
        <v>225</v>
      </c>
      <c r="H1750">
        <v>0</v>
      </c>
      <c r="I1750" t="s">
        <v>183</v>
      </c>
      <c r="J1750" t="s">
        <v>170</v>
      </c>
      <c r="K1750" t="s">
        <v>697</v>
      </c>
      <c r="O1750">
        <v>0</v>
      </c>
      <c r="U1750" t="s">
        <v>81</v>
      </c>
    </row>
    <row r="1751" spans="1:21" x14ac:dyDescent="0.25">
      <c r="A1751" s="33">
        <v>1753</v>
      </c>
      <c r="B1751" s="24">
        <v>44222</v>
      </c>
      <c r="C1751" t="s">
        <v>181</v>
      </c>
      <c r="D1751" t="s">
        <v>41</v>
      </c>
      <c r="E1751">
        <v>2000711678</v>
      </c>
      <c r="F1751">
        <v>450</v>
      </c>
      <c r="G1751">
        <v>22</v>
      </c>
      <c r="H1751">
        <v>0</v>
      </c>
      <c r="I1751" t="s">
        <v>183</v>
      </c>
      <c r="J1751" t="s">
        <v>170</v>
      </c>
      <c r="K1751" t="s">
        <v>697</v>
      </c>
      <c r="O1751">
        <v>0</v>
      </c>
      <c r="U1751" t="s">
        <v>81</v>
      </c>
    </row>
    <row r="1752" spans="1:21" x14ac:dyDescent="0.25">
      <c r="A1752" s="33">
        <v>1754</v>
      </c>
      <c r="B1752" s="24">
        <v>44222</v>
      </c>
      <c r="C1752" t="s">
        <v>181</v>
      </c>
      <c r="D1752" t="s">
        <v>41</v>
      </c>
      <c r="E1752">
        <v>2000713386</v>
      </c>
      <c r="F1752">
        <v>952</v>
      </c>
      <c r="G1752">
        <v>135</v>
      </c>
      <c r="H1752">
        <v>0</v>
      </c>
      <c r="I1752" t="s">
        <v>183</v>
      </c>
      <c r="J1752" t="s">
        <v>170</v>
      </c>
      <c r="K1752" t="s">
        <v>182</v>
      </c>
      <c r="O1752">
        <v>0</v>
      </c>
      <c r="U1752" t="s">
        <v>81</v>
      </c>
    </row>
    <row r="1753" spans="1:21" x14ac:dyDescent="0.25">
      <c r="A1753" s="33">
        <v>1755</v>
      </c>
      <c r="B1753" s="24">
        <v>44222</v>
      </c>
      <c r="C1753" t="s">
        <v>181</v>
      </c>
      <c r="D1753" t="s">
        <v>51</v>
      </c>
      <c r="E1753">
        <v>2000712883</v>
      </c>
      <c r="F1753">
        <v>352</v>
      </c>
      <c r="G1753">
        <v>90</v>
      </c>
      <c r="H1753">
        <v>0</v>
      </c>
      <c r="I1753" t="s">
        <v>706</v>
      </c>
      <c r="J1753" t="s">
        <v>669</v>
      </c>
      <c r="K1753" t="s">
        <v>707</v>
      </c>
      <c r="O1753">
        <v>0</v>
      </c>
      <c r="U1753" t="s">
        <v>81</v>
      </c>
    </row>
    <row r="1754" spans="1:21" x14ac:dyDescent="0.25">
      <c r="A1754" s="33">
        <v>1756</v>
      </c>
      <c r="B1754" s="24">
        <v>44222</v>
      </c>
      <c r="C1754" t="s">
        <v>181</v>
      </c>
      <c r="D1754" t="s">
        <v>51</v>
      </c>
      <c r="E1754">
        <v>2000712454</v>
      </c>
      <c r="F1754">
        <v>22</v>
      </c>
      <c r="G1754">
        <v>21</v>
      </c>
      <c r="H1754">
        <v>0</v>
      </c>
      <c r="I1754" t="s">
        <v>706</v>
      </c>
      <c r="J1754" t="s">
        <v>669</v>
      </c>
      <c r="K1754" t="s">
        <v>903</v>
      </c>
      <c r="O1754">
        <v>0</v>
      </c>
      <c r="U1754" t="s">
        <v>81</v>
      </c>
    </row>
    <row r="1755" spans="1:21" x14ac:dyDescent="0.25">
      <c r="A1755" s="33">
        <v>1757</v>
      </c>
      <c r="B1755" s="24">
        <v>44222</v>
      </c>
      <c r="C1755" t="s">
        <v>181</v>
      </c>
      <c r="D1755" t="s">
        <v>51</v>
      </c>
      <c r="E1755">
        <v>2000712483</v>
      </c>
      <c r="F1755">
        <v>285</v>
      </c>
      <c r="G1755">
        <v>110</v>
      </c>
      <c r="H1755">
        <v>0</v>
      </c>
      <c r="I1755" t="s">
        <v>706</v>
      </c>
      <c r="J1755" t="s">
        <v>669</v>
      </c>
      <c r="K1755" t="s">
        <v>670</v>
      </c>
      <c r="O1755">
        <v>0</v>
      </c>
      <c r="U1755" t="s">
        <v>81</v>
      </c>
    </row>
    <row r="1756" spans="1:21" x14ac:dyDescent="0.25">
      <c r="A1756" s="33">
        <v>1758</v>
      </c>
      <c r="B1756" s="24">
        <v>44222</v>
      </c>
      <c r="C1756" t="s">
        <v>181</v>
      </c>
      <c r="D1756" t="s">
        <v>51</v>
      </c>
      <c r="E1756">
        <v>2000712900</v>
      </c>
      <c r="F1756">
        <v>1000</v>
      </c>
      <c r="G1756">
        <v>150</v>
      </c>
      <c r="H1756">
        <v>0</v>
      </c>
      <c r="I1756" t="s">
        <v>706</v>
      </c>
      <c r="J1756" t="s">
        <v>673</v>
      </c>
      <c r="K1756" t="s">
        <v>672</v>
      </c>
      <c r="O1756">
        <v>0</v>
      </c>
      <c r="U1756" t="s">
        <v>81</v>
      </c>
    </row>
    <row r="1757" spans="1:21" x14ac:dyDescent="0.25">
      <c r="A1757" s="33">
        <v>1759</v>
      </c>
      <c r="B1757" s="24">
        <v>44222</v>
      </c>
      <c r="C1757" t="s">
        <v>181</v>
      </c>
      <c r="D1757" t="s">
        <v>51</v>
      </c>
      <c r="E1757">
        <v>2000712902</v>
      </c>
      <c r="F1757">
        <v>900</v>
      </c>
      <c r="G1757">
        <v>175</v>
      </c>
      <c r="H1757">
        <v>0</v>
      </c>
      <c r="I1757" t="s">
        <v>706</v>
      </c>
      <c r="J1757" t="s">
        <v>667</v>
      </c>
      <c r="K1757" t="s">
        <v>671</v>
      </c>
      <c r="O1757">
        <v>0</v>
      </c>
      <c r="U1757" t="s">
        <v>81</v>
      </c>
    </row>
    <row r="1758" spans="1:21" x14ac:dyDescent="0.25">
      <c r="A1758" s="33">
        <v>1760</v>
      </c>
      <c r="B1758" s="24">
        <v>44222</v>
      </c>
      <c r="C1758" t="s">
        <v>181</v>
      </c>
      <c r="D1758" t="s">
        <v>51</v>
      </c>
      <c r="E1758">
        <v>2000712073</v>
      </c>
      <c r="F1758">
        <v>660</v>
      </c>
      <c r="G1758">
        <v>90</v>
      </c>
      <c r="H1758">
        <v>0</v>
      </c>
      <c r="I1758" t="s">
        <v>706</v>
      </c>
      <c r="J1758" t="s">
        <v>667</v>
      </c>
      <c r="K1758" t="s">
        <v>668</v>
      </c>
      <c r="O1758">
        <v>0</v>
      </c>
      <c r="U1758" t="s">
        <v>81</v>
      </c>
    </row>
    <row r="1759" spans="1:21" x14ac:dyDescent="0.25">
      <c r="A1759" s="33">
        <v>1761</v>
      </c>
      <c r="B1759" s="24">
        <v>44222</v>
      </c>
      <c r="C1759" t="s">
        <v>181</v>
      </c>
      <c r="D1759" t="s">
        <v>51</v>
      </c>
      <c r="E1759">
        <v>2000712904</v>
      </c>
      <c r="F1759">
        <v>1059</v>
      </c>
      <c r="G1759">
        <v>96</v>
      </c>
      <c r="I1759" t="s">
        <v>706</v>
      </c>
      <c r="J1759" t="s">
        <v>709</v>
      </c>
      <c r="K1759" t="s">
        <v>710</v>
      </c>
      <c r="U1759" t="s">
        <v>81</v>
      </c>
    </row>
    <row r="1760" spans="1:21" x14ac:dyDescent="0.25">
      <c r="A1760" s="33">
        <v>1762</v>
      </c>
      <c r="B1760" s="24">
        <v>44222</v>
      </c>
      <c r="C1760" t="s">
        <v>181</v>
      </c>
      <c r="D1760" t="s">
        <v>51</v>
      </c>
      <c r="E1760">
        <v>2000712903</v>
      </c>
      <c r="F1760">
        <v>170</v>
      </c>
      <c r="G1760">
        <v>75</v>
      </c>
      <c r="H1760">
        <v>0</v>
      </c>
      <c r="I1760" t="s">
        <v>706</v>
      </c>
      <c r="J1760" t="s">
        <v>669</v>
      </c>
      <c r="K1760" t="s">
        <v>741</v>
      </c>
      <c r="O1760">
        <v>0</v>
      </c>
      <c r="U1760" t="s">
        <v>81</v>
      </c>
    </row>
    <row r="1761" spans="1:21" x14ac:dyDescent="0.25">
      <c r="A1761" s="33">
        <v>1763</v>
      </c>
      <c r="B1761" s="24">
        <v>44222</v>
      </c>
      <c r="C1761" t="s">
        <v>181</v>
      </c>
      <c r="D1761" t="s">
        <v>51</v>
      </c>
      <c r="E1761">
        <v>2000713201</v>
      </c>
      <c r="F1761">
        <v>350</v>
      </c>
      <c r="G1761">
        <v>40</v>
      </c>
      <c r="H1761">
        <v>0</v>
      </c>
      <c r="I1761" t="s">
        <v>706</v>
      </c>
      <c r="J1761" t="s">
        <v>669</v>
      </c>
      <c r="K1761" t="s">
        <v>810</v>
      </c>
      <c r="O1761">
        <v>0</v>
      </c>
      <c r="U1761" t="s">
        <v>81</v>
      </c>
    </row>
    <row r="1762" spans="1:21" x14ac:dyDescent="0.25">
      <c r="A1762" s="33">
        <v>1764</v>
      </c>
      <c r="B1762" s="24">
        <v>44222</v>
      </c>
      <c r="C1762" t="s">
        <v>181</v>
      </c>
      <c r="D1762" t="s">
        <v>51</v>
      </c>
      <c r="E1762">
        <v>2000712455</v>
      </c>
      <c r="F1762">
        <v>330</v>
      </c>
      <c r="G1762">
        <v>117</v>
      </c>
      <c r="H1762">
        <v>0</v>
      </c>
      <c r="I1762" t="s">
        <v>693</v>
      </c>
      <c r="J1762" t="s">
        <v>669</v>
      </c>
      <c r="K1762" t="s">
        <v>801</v>
      </c>
      <c r="O1762">
        <v>0</v>
      </c>
      <c r="U1762" t="s">
        <v>81</v>
      </c>
    </row>
    <row r="1763" spans="1:21" x14ac:dyDescent="0.25">
      <c r="A1763" s="33">
        <v>1765</v>
      </c>
      <c r="B1763" s="24">
        <v>44222</v>
      </c>
      <c r="C1763" t="s">
        <v>181</v>
      </c>
      <c r="D1763" t="s">
        <v>51</v>
      </c>
      <c r="E1763">
        <v>2000712483</v>
      </c>
      <c r="F1763">
        <v>285</v>
      </c>
      <c r="G1763">
        <v>15</v>
      </c>
      <c r="H1763">
        <v>0</v>
      </c>
      <c r="I1763" t="s">
        <v>693</v>
      </c>
      <c r="J1763" t="s">
        <v>669</v>
      </c>
      <c r="K1763" t="s">
        <v>670</v>
      </c>
      <c r="O1763">
        <v>0</v>
      </c>
      <c r="U1763" t="s">
        <v>81</v>
      </c>
    </row>
    <row r="1764" spans="1:21" x14ac:dyDescent="0.25">
      <c r="A1764" s="33">
        <v>1766</v>
      </c>
      <c r="B1764" s="24">
        <v>44222</v>
      </c>
      <c r="C1764" t="s">
        <v>181</v>
      </c>
      <c r="D1764" t="s">
        <v>51</v>
      </c>
      <c r="E1764">
        <v>2000713201</v>
      </c>
      <c r="F1764">
        <v>350</v>
      </c>
      <c r="G1764">
        <v>40</v>
      </c>
      <c r="H1764">
        <v>0</v>
      </c>
      <c r="I1764" t="s">
        <v>693</v>
      </c>
      <c r="J1764" t="s">
        <v>669</v>
      </c>
      <c r="K1764" t="s">
        <v>810</v>
      </c>
      <c r="O1764">
        <v>0</v>
      </c>
      <c r="U1764" t="s">
        <v>81</v>
      </c>
    </row>
    <row r="1765" spans="1:21" x14ac:dyDescent="0.25">
      <c r="A1765" s="33">
        <v>1767</v>
      </c>
      <c r="B1765" s="24">
        <v>44222</v>
      </c>
      <c r="C1765" t="s">
        <v>181</v>
      </c>
      <c r="D1765" t="s">
        <v>51</v>
      </c>
      <c r="E1765">
        <v>2000713073</v>
      </c>
      <c r="F1765">
        <v>660</v>
      </c>
      <c r="G1765">
        <v>90</v>
      </c>
      <c r="H1765">
        <v>0</v>
      </c>
      <c r="I1765" t="s">
        <v>693</v>
      </c>
      <c r="J1765" t="s">
        <v>667</v>
      </c>
      <c r="K1765" t="s">
        <v>668</v>
      </c>
      <c r="O1765">
        <v>0</v>
      </c>
      <c r="U1765" t="s">
        <v>81</v>
      </c>
    </row>
    <row r="1766" spans="1:21" x14ac:dyDescent="0.25">
      <c r="A1766" s="33">
        <v>1768</v>
      </c>
      <c r="B1766" s="24">
        <v>44222</v>
      </c>
      <c r="C1766" t="s">
        <v>181</v>
      </c>
      <c r="D1766" t="s">
        <v>51</v>
      </c>
      <c r="E1766">
        <v>2000712450</v>
      </c>
      <c r="F1766">
        <v>945</v>
      </c>
      <c r="G1766">
        <v>60</v>
      </c>
      <c r="H1766">
        <v>0</v>
      </c>
      <c r="I1766" t="s">
        <v>198</v>
      </c>
      <c r="J1766" t="s">
        <v>673</v>
      </c>
      <c r="K1766" t="s">
        <v>674</v>
      </c>
      <c r="O1766">
        <v>0</v>
      </c>
      <c r="U1766" t="s">
        <v>81</v>
      </c>
    </row>
    <row r="1767" spans="1:21" x14ac:dyDescent="0.25">
      <c r="A1767" s="33">
        <v>1769</v>
      </c>
      <c r="B1767" s="24">
        <v>44223</v>
      </c>
      <c r="C1767" t="s">
        <v>39</v>
      </c>
      <c r="D1767" t="s">
        <v>41</v>
      </c>
      <c r="E1767">
        <v>2000713386</v>
      </c>
      <c r="F1767">
        <v>952</v>
      </c>
      <c r="G1767">
        <v>45</v>
      </c>
      <c r="H1767">
        <v>0</v>
      </c>
      <c r="I1767" t="s">
        <v>194</v>
      </c>
      <c r="J1767" t="s">
        <v>170</v>
      </c>
      <c r="K1767" t="s">
        <v>182</v>
      </c>
      <c r="O1767">
        <v>0</v>
      </c>
      <c r="U1767" t="s">
        <v>81</v>
      </c>
    </row>
    <row r="1768" spans="1:21" x14ac:dyDescent="0.25">
      <c r="A1768" s="33">
        <v>1770</v>
      </c>
      <c r="B1768" s="24">
        <v>44223</v>
      </c>
      <c r="C1768" t="s">
        <v>39</v>
      </c>
      <c r="D1768" t="s">
        <v>41</v>
      </c>
      <c r="E1768">
        <v>2000712370</v>
      </c>
      <c r="F1768">
        <v>818</v>
      </c>
      <c r="G1768">
        <v>208</v>
      </c>
      <c r="H1768">
        <v>0</v>
      </c>
      <c r="I1768" t="s">
        <v>194</v>
      </c>
      <c r="J1768" t="s">
        <v>863</v>
      </c>
      <c r="K1768" t="s">
        <v>171</v>
      </c>
      <c r="O1768">
        <v>0</v>
      </c>
      <c r="U1768" t="s">
        <v>81</v>
      </c>
    </row>
    <row r="1769" spans="1:21" x14ac:dyDescent="0.25">
      <c r="A1769" s="33">
        <v>1771</v>
      </c>
      <c r="B1769" s="24">
        <v>44223</v>
      </c>
      <c r="C1769" t="s">
        <v>39</v>
      </c>
      <c r="D1769" t="s">
        <v>41</v>
      </c>
      <c r="E1769">
        <v>2000713284</v>
      </c>
      <c r="F1769">
        <v>1000</v>
      </c>
      <c r="G1769">
        <v>80</v>
      </c>
      <c r="H1769">
        <v>0</v>
      </c>
      <c r="I1769" t="s">
        <v>194</v>
      </c>
      <c r="J1769" t="s">
        <v>169</v>
      </c>
      <c r="K1769" t="s">
        <v>179</v>
      </c>
      <c r="O1769">
        <v>0</v>
      </c>
      <c r="U1769" t="s">
        <v>81</v>
      </c>
    </row>
    <row r="1770" spans="1:21" x14ac:dyDescent="0.25">
      <c r="A1770" s="33">
        <v>1772</v>
      </c>
      <c r="B1770" s="24">
        <v>44223</v>
      </c>
      <c r="C1770" t="s">
        <v>39</v>
      </c>
      <c r="D1770" t="s">
        <v>41</v>
      </c>
      <c r="E1770">
        <v>2000713140</v>
      </c>
      <c r="F1770">
        <v>240</v>
      </c>
      <c r="G1770">
        <v>80</v>
      </c>
      <c r="H1770">
        <v>0</v>
      </c>
      <c r="I1770" t="s">
        <v>194</v>
      </c>
      <c r="J1770" t="s">
        <v>174</v>
      </c>
      <c r="K1770" t="s">
        <v>792</v>
      </c>
      <c r="O1770">
        <v>0</v>
      </c>
      <c r="U1770" t="s">
        <v>81</v>
      </c>
    </row>
    <row r="1771" spans="1:21" x14ac:dyDescent="0.25">
      <c r="A1771" s="33">
        <v>1773</v>
      </c>
      <c r="B1771" s="24">
        <v>44223</v>
      </c>
      <c r="C1771" t="s">
        <v>39</v>
      </c>
      <c r="D1771" t="s">
        <v>41</v>
      </c>
      <c r="E1771">
        <v>2000708959</v>
      </c>
      <c r="F1771">
        <v>1132</v>
      </c>
      <c r="G1771">
        <v>45</v>
      </c>
      <c r="H1771">
        <v>0</v>
      </c>
      <c r="I1771" t="s">
        <v>194</v>
      </c>
      <c r="J1771" t="s">
        <v>174</v>
      </c>
      <c r="K1771" t="s">
        <v>171</v>
      </c>
      <c r="O1771">
        <v>0</v>
      </c>
      <c r="U1771" t="s">
        <v>81</v>
      </c>
    </row>
    <row r="1772" spans="1:21" x14ac:dyDescent="0.25">
      <c r="A1772" s="33">
        <v>1774</v>
      </c>
      <c r="B1772" s="24">
        <v>44223</v>
      </c>
      <c r="C1772" t="s">
        <v>39</v>
      </c>
      <c r="D1772" t="s">
        <v>41</v>
      </c>
      <c r="E1772">
        <v>2000712680</v>
      </c>
      <c r="F1772">
        <v>1410</v>
      </c>
      <c r="G1772">
        <v>140</v>
      </c>
      <c r="H1772">
        <v>0</v>
      </c>
      <c r="I1772" t="s">
        <v>168</v>
      </c>
      <c r="J1772" t="s">
        <v>169</v>
      </c>
      <c r="K1772" t="s">
        <v>663</v>
      </c>
      <c r="O1772">
        <v>0</v>
      </c>
      <c r="U1772" t="s">
        <v>81</v>
      </c>
    </row>
    <row r="1773" spans="1:21" x14ac:dyDescent="0.25">
      <c r="A1773" s="33">
        <v>1775</v>
      </c>
      <c r="B1773" s="24">
        <v>44223</v>
      </c>
      <c r="C1773" t="s">
        <v>39</v>
      </c>
      <c r="D1773" t="s">
        <v>41</v>
      </c>
      <c r="E1773">
        <v>2000712698</v>
      </c>
      <c r="F1773">
        <v>1120</v>
      </c>
      <c r="G1773">
        <v>160</v>
      </c>
      <c r="H1773">
        <v>0</v>
      </c>
      <c r="I1773" t="s">
        <v>168</v>
      </c>
      <c r="J1773" t="s">
        <v>196</v>
      </c>
      <c r="K1773" t="s">
        <v>648</v>
      </c>
      <c r="O1773">
        <v>0</v>
      </c>
      <c r="U1773" t="s">
        <v>81</v>
      </c>
    </row>
    <row r="1774" spans="1:21" x14ac:dyDescent="0.25">
      <c r="A1774" s="33">
        <v>1776</v>
      </c>
      <c r="B1774" s="24">
        <v>44223</v>
      </c>
      <c r="C1774" t="s">
        <v>39</v>
      </c>
      <c r="D1774" t="s">
        <v>41</v>
      </c>
      <c r="E1774">
        <v>2000713551</v>
      </c>
      <c r="F1774">
        <v>206</v>
      </c>
      <c r="G1774">
        <v>60</v>
      </c>
      <c r="H1774">
        <v>0</v>
      </c>
      <c r="I1774" t="s">
        <v>168</v>
      </c>
      <c r="J1774" t="s">
        <v>745</v>
      </c>
      <c r="K1774" t="s">
        <v>836</v>
      </c>
      <c r="O1774">
        <v>0</v>
      </c>
      <c r="U1774" t="s">
        <v>81</v>
      </c>
    </row>
    <row r="1775" spans="1:21" x14ac:dyDescent="0.25">
      <c r="A1775" s="33">
        <v>1777</v>
      </c>
      <c r="B1775" s="24">
        <v>44223</v>
      </c>
      <c r="C1775" t="s">
        <v>39</v>
      </c>
      <c r="D1775" t="s">
        <v>41</v>
      </c>
      <c r="E1775">
        <v>2000712998</v>
      </c>
      <c r="F1775">
        <v>12</v>
      </c>
      <c r="G1775">
        <v>12</v>
      </c>
      <c r="H1775">
        <v>0</v>
      </c>
      <c r="I1775" t="s">
        <v>168</v>
      </c>
      <c r="J1775" t="s">
        <v>215</v>
      </c>
      <c r="K1775" t="s">
        <v>806</v>
      </c>
      <c r="O1775">
        <v>0</v>
      </c>
      <c r="U1775" t="s">
        <v>81</v>
      </c>
    </row>
    <row r="1776" spans="1:21" x14ac:dyDescent="0.25">
      <c r="A1776" s="33">
        <v>1778</v>
      </c>
      <c r="B1776" s="24">
        <v>44223</v>
      </c>
      <c r="C1776" t="s">
        <v>39</v>
      </c>
      <c r="D1776" t="s">
        <v>41</v>
      </c>
      <c r="E1776">
        <v>2000713386</v>
      </c>
      <c r="F1776">
        <v>952</v>
      </c>
      <c r="G1776">
        <v>560</v>
      </c>
      <c r="H1776">
        <v>0</v>
      </c>
      <c r="I1776" t="s">
        <v>661</v>
      </c>
      <c r="J1776" t="s">
        <v>170</v>
      </c>
      <c r="K1776" t="s">
        <v>171</v>
      </c>
      <c r="O1776">
        <v>0</v>
      </c>
      <c r="U1776" t="s">
        <v>81</v>
      </c>
    </row>
    <row r="1777" spans="1:21" x14ac:dyDescent="0.25">
      <c r="A1777" s="33">
        <v>1779</v>
      </c>
      <c r="B1777" s="24">
        <v>44223</v>
      </c>
      <c r="C1777" t="s">
        <v>39</v>
      </c>
      <c r="D1777" t="s">
        <v>41</v>
      </c>
      <c r="E1777">
        <v>2000712667</v>
      </c>
      <c r="F1777">
        <v>120</v>
      </c>
      <c r="G1777">
        <v>59</v>
      </c>
      <c r="H1777">
        <v>0</v>
      </c>
      <c r="I1777" t="s">
        <v>666</v>
      </c>
      <c r="J1777" t="s">
        <v>174</v>
      </c>
      <c r="K1777" t="s">
        <v>204</v>
      </c>
      <c r="O1777">
        <v>0</v>
      </c>
      <c r="U1777" t="s">
        <v>81</v>
      </c>
    </row>
    <row r="1778" spans="1:21" x14ac:dyDescent="0.25">
      <c r="A1778" s="33">
        <v>1780</v>
      </c>
      <c r="B1778" s="24">
        <v>44223</v>
      </c>
      <c r="C1778" t="s">
        <v>39</v>
      </c>
      <c r="D1778" t="s">
        <v>41</v>
      </c>
      <c r="E1778">
        <v>2000713140</v>
      </c>
      <c r="F1778">
        <v>240</v>
      </c>
      <c r="G1778">
        <v>160</v>
      </c>
      <c r="H1778">
        <v>0</v>
      </c>
      <c r="I1778" t="s">
        <v>666</v>
      </c>
      <c r="J1778" t="s">
        <v>174</v>
      </c>
      <c r="K1778" t="s">
        <v>792</v>
      </c>
      <c r="O1778">
        <v>0</v>
      </c>
      <c r="U1778" t="s">
        <v>81</v>
      </c>
    </row>
    <row r="1779" spans="1:21" x14ac:dyDescent="0.25">
      <c r="A1779" s="33">
        <v>1781</v>
      </c>
      <c r="B1779" s="24">
        <v>44223</v>
      </c>
      <c r="C1779" t="s">
        <v>39</v>
      </c>
      <c r="D1779" t="s">
        <v>41</v>
      </c>
      <c r="E1779">
        <v>2000713043</v>
      </c>
      <c r="F1779">
        <v>3000</v>
      </c>
      <c r="G1779">
        <v>150</v>
      </c>
      <c r="H1779">
        <v>0</v>
      </c>
      <c r="I1779" t="s">
        <v>666</v>
      </c>
      <c r="J1779" t="s">
        <v>687</v>
      </c>
      <c r="K1779" t="s">
        <v>688</v>
      </c>
      <c r="O1779">
        <v>0</v>
      </c>
      <c r="U1779" t="s">
        <v>81</v>
      </c>
    </row>
    <row r="1780" spans="1:21" x14ac:dyDescent="0.25">
      <c r="A1780" s="33">
        <v>1782</v>
      </c>
      <c r="B1780" s="24">
        <v>44223</v>
      </c>
      <c r="C1780" t="s">
        <v>39</v>
      </c>
      <c r="D1780" t="s">
        <v>41</v>
      </c>
      <c r="E1780">
        <v>2000708365</v>
      </c>
      <c r="F1780">
        <v>600</v>
      </c>
      <c r="G1780">
        <v>1</v>
      </c>
      <c r="H1780">
        <v>0</v>
      </c>
      <c r="I1780" t="s">
        <v>666</v>
      </c>
      <c r="J1780" t="s">
        <v>174</v>
      </c>
      <c r="K1780" t="s">
        <v>792</v>
      </c>
      <c r="O1780">
        <v>0</v>
      </c>
      <c r="U1780" t="s">
        <v>81</v>
      </c>
    </row>
    <row r="1781" spans="1:21" x14ac:dyDescent="0.25">
      <c r="A1781" s="33">
        <v>1783</v>
      </c>
      <c r="B1781" s="24">
        <v>44223</v>
      </c>
      <c r="C1781" t="s">
        <v>39</v>
      </c>
      <c r="D1781" t="s">
        <v>41</v>
      </c>
      <c r="E1781">
        <v>2000713492</v>
      </c>
      <c r="F1781">
        <v>160</v>
      </c>
      <c r="G1781">
        <v>160</v>
      </c>
      <c r="H1781">
        <v>0</v>
      </c>
      <c r="I1781" t="s">
        <v>666</v>
      </c>
      <c r="J1781" t="s">
        <v>174</v>
      </c>
      <c r="K1781" t="s">
        <v>877</v>
      </c>
      <c r="O1781">
        <v>0</v>
      </c>
      <c r="U1781" t="s">
        <v>81</v>
      </c>
    </row>
    <row r="1782" spans="1:21" x14ac:dyDescent="0.25">
      <c r="A1782" s="33">
        <v>1784</v>
      </c>
      <c r="B1782" s="24">
        <v>44223</v>
      </c>
      <c r="C1782" t="s">
        <v>39</v>
      </c>
      <c r="D1782" t="s">
        <v>41</v>
      </c>
      <c r="E1782">
        <v>2000708959</v>
      </c>
      <c r="F1782">
        <v>1132</v>
      </c>
      <c r="G1782">
        <v>45</v>
      </c>
      <c r="H1782">
        <v>0</v>
      </c>
      <c r="I1782" t="s">
        <v>180</v>
      </c>
      <c r="J1782" t="s">
        <v>170</v>
      </c>
      <c r="K1782" t="s">
        <v>171</v>
      </c>
      <c r="O1782">
        <v>0</v>
      </c>
      <c r="U1782" t="s">
        <v>81</v>
      </c>
    </row>
    <row r="1783" spans="1:21" x14ac:dyDescent="0.25">
      <c r="A1783" s="33">
        <v>1785</v>
      </c>
      <c r="B1783" s="24">
        <v>44223</v>
      </c>
      <c r="C1783" t="s">
        <v>39</v>
      </c>
      <c r="D1783" t="s">
        <v>41</v>
      </c>
      <c r="E1783">
        <v>2000712722</v>
      </c>
      <c r="F1783">
        <v>3900</v>
      </c>
      <c r="G1783">
        <v>130</v>
      </c>
      <c r="H1783">
        <v>0</v>
      </c>
      <c r="I1783" t="s">
        <v>642</v>
      </c>
      <c r="J1783" t="s">
        <v>172</v>
      </c>
      <c r="K1783" t="s">
        <v>173</v>
      </c>
      <c r="O1783">
        <v>0</v>
      </c>
      <c r="U1783" t="s">
        <v>81</v>
      </c>
    </row>
    <row r="1784" spans="1:21" x14ac:dyDescent="0.25">
      <c r="A1784" s="33">
        <v>1786</v>
      </c>
      <c r="B1784" s="24">
        <v>44223</v>
      </c>
      <c r="C1784" t="s">
        <v>39</v>
      </c>
      <c r="D1784" t="s">
        <v>41</v>
      </c>
      <c r="E1784">
        <v>2000713148</v>
      </c>
      <c r="F1784">
        <v>2000</v>
      </c>
      <c r="G1784">
        <v>120</v>
      </c>
      <c r="H1784">
        <v>0</v>
      </c>
      <c r="I1784" t="s">
        <v>642</v>
      </c>
      <c r="J1784" t="s">
        <v>193</v>
      </c>
      <c r="K1784" t="s">
        <v>647</v>
      </c>
      <c r="O1784">
        <v>0</v>
      </c>
      <c r="U1784" t="s">
        <v>81</v>
      </c>
    </row>
    <row r="1785" spans="1:21" x14ac:dyDescent="0.25">
      <c r="A1785" s="33">
        <v>1787</v>
      </c>
      <c r="B1785" s="24">
        <v>44223</v>
      </c>
      <c r="C1785" t="s">
        <v>39</v>
      </c>
      <c r="D1785" t="s">
        <v>41</v>
      </c>
      <c r="E1785">
        <v>2000713052</v>
      </c>
      <c r="F1785">
        <v>1840</v>
      </c>
      <c r="G1785">
        <v>160</v>
      </c>
      <c r="H1785">
        <v>0</v>
      </c>
      <c r="I1785" t="s">
        <v>642</v>
      </c>
      <c r="J1785" t="s">
        <v>645</v>
      </c>
      <c r="K1785" t="s">
        <v>646</v>
      </c>
      <c r="O1785">
        <v>0</v>
      </c>
      <c r="U1785" t="s">
        <v>81</v>
      </c>
    </row>
    <row r="1786" spans="1:21" x14ac:dyDescent="0.25">
      <c r="A1786" s="33">
        <v>1788</v>
      </c>
      <c r="B1786" s="24">
        <v>44223</v>
      </c>
      <c r="C1786" t="s">
        <v>39</v>
      </c>
      <c r="D1786" t="s">
        <v>41</v>
      </c>
      <c r="E1786">
        <v>2000713468</v>
      </c>
      <c r="F1786">
        <v>1480</v>
      </c>
      <c r="G1786">
        <v>140</v>
      </c>
      <c r="H1786">
        <v>0</v>
      </c>
      <c r="I1786" t="s">
        <v>642</v>
      </c>
      <c r="J1786" t="s">
        <v>172</v>
      </c>
      <c r="K1786" t="s">
        <v>724</v>
      </c>
      <c r="O1786">
        <v>0</v>
      </c>
      <c r="U1786" t="s">
        <v>81</v>
      </c>
    </row>
    <row r="1787" spans="1:21" x14ac:dyDescent="0.25">
      <c r="A1787" s="33">
        <v>1789</v>
      </c>
      <c r="B1787" s="24">
        <v>44223</v>
      </c>
      <c r="C1787" t="s">
        <v>39</v>
      </c>
      <c r="D1787" t="s">
        <v>41</v>
      </c>
      <c r="E1787">
        <v>2000713158</v>
      </c>
      <c r="F1787">
        <v>3984</v>
      </c>
      <c r="G1787">
        <v>300</v>
      </c>
      <c r="H1787">
        <v>0</v>
      </c>
      <c r="I1787" t="s">
        <v>201</v>
      </c>
      <c r="J1787" t="s">
        <v>172</v>
      </c>
      <c r="K1787" t="s">
        <v>729</v>
      </c>
      <c r="O1787">
        <v>0</v>
      </c>
      <c r="U1787" t="s">
        <v>81</v>
      </c>
    </row>
    <row r="1788" spans="1:21" x14ac:dyDescent="0.25">
      <c r="A1788" s="33">
        <v>1790</v>
      </c>
      <c r="B1788" s="24">
        <v>44223</v>
      </c>
      <c r="C1788" t="s">
        <v>39</v>
      </c>
      <c r="D1788" t="s">
        <v>41</v>
      </c>
      <c r="E1788">
        <v>2000711826</v>
      </c>
      <c r="F1788">
        <v>1440</v>
      </c>
      <c r="G1788">
        <v>240</v>
      </c>
      <c r="H1788">
        <v>0</v>
      </c>
      <c r="I1788" t="s">
        <v>201</v>
      </c>
      <c r="J1788" t="s">
        <v>203</v>
      </c>
      <c r="K1788" t="s">
        <v>640</v>
      </c>
      <c r="O1788">
        <v>0</v>
      </c>
      <c r="U1788" t="s">
        <v>81</v>
      </c>
    </row>
    <row r="1789" spans="1:21" x14ac:dyDescent="0.25">
      <c r="A1789" s="33">
        <v>1791</v>
      </c>
      <c r="B1789" s="24">
        <v>44223</v>
      </c>
      <c r="C1789" t="s">
        <v>39</v>
      </c>
      <c r="D1789" t="s">
        <v>41</v>
      </c>
      <c r="E1789">
        <v>2000712691</v>
      </c>
      <c r="F1789">
        <v>2000</v>
      </c>
      <c r="G1789">
        <v>300</v>
      </c>
      <c r="H1789">
        <v>0</v>
      </c>
      <c r="I1789" t="s">
        <v>201</v>
      </c>
      <c r="J1789" t="s">
        <v>193</v>
      </c>
      <c r="K1789" t="s">
        <v>683</v>
      </c>
      <c r="O1789">
        <v>0</v>
      </c>
      <c r="U1789" t="s">
        <v>81</v>
      </c>
    </row>
    <row r="1790" spans="1:21" x14ac:dyDescent="0.25">
      <c r="A1790" s="33">
        <v>1792</v>
      </c>
      <c r="B1790" s="24">
        <v>44223</v>
      </c>
      <c r="C1790" t="s">
        <v>39</v>
      </c>
      <c r="D1790" t="s">
        <v>41</v>
      </c>
      <c r="E1790">
        <v>2000712692</v>
      </c>
      <c r="F1790">
        <v>2000</v>
      </c>
      <c r="G1790">
        <v>200</v>
      </c>
      <c r="H1790">
        <v>0</v>
      </c>
      <c r="I1790" t="s">
        <v>201</v>
      </c>
      <c r="J1790" t="s">
        <v>193</v>
      </c>
      <c r="K1790" t="s">
        <v>940</v>
      </c>
      <c r="O1790">
        <v>0</v>
      </c>
      <c r="U1790" t="s">
        <v>81</v>
      </c>
    </row>
    <row r="1791" spans="1:21" x14ac:dyDescent="0.25">
      <c r="A1791" s="33">
        <v>1793</v>
      </c>
      <c r="B1791" s="24">
        <v>44223</v>
      </c>
      <c r="C1791" t="s">
        <v>39</v>
      </c>
      <c r="D1791" t="s">
        <v>41</v>
      </c>
      <c r="E1791">
        <v>2000713161</v>
      </c>
      <c r="F1791">
        <v>2979</v>
      </c>
      <c r="G1791">
        <v>240</v>
      </c>
      <c r="H1791">
        <v>0</v>
      </c>
      <c r="I1791" t="s">
        <v>201</v>
      </c>
      <c r="J1791" t="s">
        <v>169</v>
      </c>
      <c r="K1791" t="s">
        <v>652</v>
      </c>
      <c r="O1791">
        <v>0</v>
      </c>
      <c r="U1791" t="s">
        <v>81</v>
      </c>
    </row>
    <row r="1792" spans="1:21" x14ac:dyDescent="0.25">
      <c r="A1792" s="33">
        <v>1794</v>
      </c>
      <c r="B1792" s="24">
        <v>44223</v>
      </c>
      <c r="C1792" t="s">
        <v>39</v>
      </c>
      <c r="D1792" t="s">
        <v>41</v>
      </c>
      <c r="E1792">
        <v>2000712828</v>
      </c>
      <c r="F1792">
        <v>6600</v>
      </c>
      <c r="G1792">
        <v>300</v>
      </c>
      <c r="H1792">
        <v>0</v>
      </c>
      <c r="I1792" t="s">
        <v>201</v>
      </c>
      <c r="J1792" t="s">
        <v>200</v>
      </c>
      <c r="K1792" t="s">
        <v>737</v>
      </c>
      <c r="O1792">
        <v>0</v>
      </c>
      <c r="U1792" t="s">
        <v>81</v>
      </c>
    </row>
    <row r="1793" spans="1:21" x14ac:dyDescent="0.25">
      <c r="A1793" s="33">
        <v>1795</v>
      </c>
      <c r="B1793" s="24">
        <v>44223</v>
      </c>
      <c r="C1793" t="s">
        <v>39</v>
      </c>
      <c r="D1793" t="s">
        <v>41</v>
      </c>
      <c r="E1793">
        <v>2000712696</v>
      </c>
      <c r="F1793">
        <v>1120</v>
      </c>
      <c r="G1793">
        <v>100</v>
      </c>
      <c r="H1793">
        <v>0</v>
      </c>
      <c r="I1793" t="s">
        <v>201</v>
      </c>
      <c r="J1793" t="s">
        <v>196</v>
      </c>
      <c r="K1793" t="s">
        <v>682</v>
      </c>
      <c r="O1793">
        <v>0</v>
      </c>
      <c r="U1793" t="s">
        <v>81</v>
      </c>
    </row>
    <row r="1794" spans="1:21" x14ac:dyDescent="0.25">
      <c r="A1794" s="33">
        <v>1796</v>
      </c>
      <c r="B1794" s="24">
        <v>44223</v>
      </c>
      <c r="C1794" t="s">
        <v>39</v>
      </c>
      <c r="D1794" t="s">
        <v>51</v>
      </c>
      <c r="E1794">
        <v>2000713074</v>
      </c>
      <c r="F1794">
        <v>600</v>
      </c>
      <c r="G1794">
        <v>150</v>
      </c>
      <c r="H1794">
        <v>0</v>
      </c>
      <c r="I1794" t="s">
        <v>178</v>
      </c>
      <c r="J1794" t="s">
        <v>667</v>
      </c>
      <c r="K1794" t="s">
        <v>668</v>
      </c>
      <c r="O1794">
        <v>0</v>
      </c>
      <c r="U1794" t="s">
        <v>81</v>
      </c>
    </row>
    <row r="1795" spans="1:21" x14ac:dyDescent="0.25">
      <c r="A1795" s="33">
        <v>1797</v>
      </c>
      <c r="B1795" s="24">
        <v>44223</v>
      </c>
      <c r="C1795" t="s">
        <v>39</v>
      </c>
      <c r="D1795" t="s">
        <v>51</v>
      </c>
      <c r="E1795">
        <v>2000712902</v>
      </c>
      <c r="F1795">
        <v>900</v>
      </c>
      <c r="G1795">
        <v>70</v>
      </c>
      <c r="H1795">
        <v>0</v>
      </c>
      <c r="I1795" t="s">
        <v>178</v>
      </c>
      <c r="J1795" t="s">
        <v>667</v>
      </c>
      <c r="K1795" t="s">
        <v>941</v>
      </c>
      <c r="O1795">
        <v>0</v>
      </c>
      <c r="U1795" t="s">
        <v>81</v>
      </c>
    </row>
    <row r="1796" spans="1:21" x14ac:dyDescent="0.25">
      <c r="A1796" s="33">
        <v>1798</v>
      </c>
      <c r="B1796" s="24">
        <v>44223</v>
      </c>
      <c r="C1796" t="s">
        <v>39</v>
      </c>
      <c r="D1796" t="s">
        <v>51</v>
      </c>
      <c r="E1796">
        <v>2000713068</v>
      </c>
      <c r="F1796">
        <v>3800</v>
      </c>
      <c r="G1796">
        <v>360</v>
      </c>
      <c r="H1796">
        <v>0</v>
      </c>
      <c r="I1796" t="s">
        <v>178</v>
      </c>
      <c r="J1796" t="s">
        <v>667</v>
      </c>
      <c r="K1796" t="s">
        <v>730</v>
      </c>
      <c r="O1796">
        <v>0</v>
      </c>
      <c r="U1796" t="s">
        <v>81</v>
      </c>
    </row>
    <row r="1797" spans="1:21" x14ac:dyDescent="0.25">
      <c r="A1797" s="33">
        <v>1799</v>
      </c>
      <c r="B1797" s="24">
        <v>44223</v>
      </c>
      <c r="C1797" t="s">
        <v>39</v>
      </c>
      <c r="D1797" t="s">
        <v>51</v>
      </c>
      <c r="E1797">
        <v>2000713071</v>
      </c>
      <c r="F1797">
        <v>400</v>
      </c>
      <c r="G1797">
        <v>70</v>
      </c>
      <c r="H1797">
        <v>0</v>
      </c>
      <c r="I1797" t="s">
        <v>178</v>
      </c>
      <c r="J1797" t="s">
        <v>673</v>
      </c>
      <c r="K1797" t="s">
        <v>674</v>
      </c>
      <c r="O1797">
        <v>0</v>
      </c>
      <c r="U1797" t="s">
        <v>81</v>
      </c>
    </row>
    <row r="1798" spans="1:21" x14ac:dyDescent="0.25">
      <c r="A1798" s="33">
        <v>1800</v>
      </c>
      <c r="B1798" s="24">
        <v>44223</v>
      </c>
      <c r="C1798" t="s">
        <v>181</v>
      </c>
      <c r="D1798" t="s">
        <v>41</v>
      </c>
      <c r="E1798">
        <v>2000713142</v>
      </c>
      <c r="F1798">
        <v>80</v>
      </c>
      <c r="G1798">
        <v>80</v>
      </c>
      <c r="H1798">
        <v>0</v>
      </c>
      <c r="I1798" t="s">
        <v>696</v>
      </c>
      <c r="J1798" t="s">
        <v>174</v>
      </c>
      <c r="K1798" t="s">
        <v>735</v>
      </c>
      <c r="O1798">
        <v>0</v>
      </c>
      <c r="U1798" t="s">
        <v>81</v>
      </c>
    </row>
    <row r="1799" spans="1:21" x14ac:dyDescent="0.25">
      <c r="A1799" s="33">
        <v>1801</v>
      </c>
      <c r="B1799" s="24">
        <v>44223</v>
      </c>
      <c r="C1799" t="s">
        <v>181</v>
      </c>
      <c r="D1799" t="s">
        <v>41</v>
      </c>
      <c r="E1799">
        <v>2000713491</v>
      </c>
      <c r="F1799">
        <v>80</v>
      </c>
      <c r="G1799">
        <v>80</v>
      </c>
      <c r="H1799">
        <v>0</v>
      </c>
      <c r="I1799" t="s">
        <v>696</v>
      </c>
      <c r="J1799" t="s">
        <v>174</v>
      </c>
      <c r="K1799" t="s">
        <v>942</v>
      </c>
      <c r="O1799">
        <v>0</v>
      </c>
      <c r="T1799" s="62"/>
      <c r="U1799" t="s">
        <v>81</v>
      </c>
    </row>
    <row r="1800" spans="1:21" x14ac:dyDescent="0.25">
      <c r="A1800" s="33">
        <v>1802</v>
      </c>
      <c r="B1800" s="24">
        <v>44223</v>
      </c>
      <c r="C1800" t="s">
        <v>181</v>
      </c>
      <c r="D1800" t="s">
        <v>41</v>
      </c>
      <c r="E1800">
        <v>2000713490</v>
      </c>
      <c r="F1800">
        <v>850</v>
      </c>
      <c r="G1800">
        <v>300</v>
      </c>
      <c r="H1800">
        <v>0</v>
      </c>
      <c r="I1800" t="s">
        <v>696</v>
      </c>
      <c r="J1800" t="s">
        <v>174</v>
      </c>
      <c r="K1800" t="s">
        <v>943</v>
      </c>
      <c r="O1800">
        <v>0</v>
      </c>
      <c r="U1800" t="s">
        <v>81</v>
      </c>
    </row>
    <row r="1801" spans="1:21" x14ac:dyDescent="0.25">
      <c r="A1801" s="33">
        <v>1803</v>
      </c>
      <c r="B1801" s="24">
        <v>44223</v>
      </c>
      <c r="C1801" t="s">
        <v>181</v>
      </c>
      <c r="D1801" t="s">
        <v>41</v>
      </c>
      <c r="E1801">
        <v>2000712998</v>
      </c>
      <c r="F1801">
        <v>12</v>
      </c>
      <c r="G1801">
        <v>12</v>
      </c>
      <c r="H1801">
        <v>0</v>
      </c>
      <c r="I1801" t="s">
        <v>198</v>
      </c>
      <c r="J1801" t="s">
        <v>215</v>
      </c>
      <c r="K1801" t="s">
        <v>806</v>
      </c>
      <c r="O1801">
        <v>0</v>
      </c>
      <c r="U1801" t="s">
        <v>83</v>
      </c>
    </row>
    <row r="1802" spans="1:21" x14ac:dyDescent="0.25">
      <c r="A1802" s="33">
        <v>1804</v>
      </c>
      <c r="B1802" s="24">
        <v>44223</v>
      </c>
      <c r="C1802" t="s">
        <v>181</v>
      </c>
      <c r="D1802" t="s">
        <v>41</v>
      </c>
      <c r="E1802">
        <v>2000713386</v>
      </c>
      <c r="F1802">
        <v>952</v>
      </c>
      <c r="G1802">
        <v>122</v>
      </c>
      <c r="H1802">
        <v>0</v>
      </c>
      <c r="I1802" t="s">
        <v>198</v>
      </c>
      <c r="J1802" t="s">
        <v>170</v>
      </c>
      <c r="K1802" t="s">
        <v>182</v>
      </c>
      <c r="O1802">
        <v>0</v>
      </c>
      <c r="U1802" t="s">
        <v>81</v>
      </c>
    </row>
    <row r="1803" spans="1:21" x14ac:dyDescent="0.25">
      <c r="A1803" s="33">
        <v>1805</v>
      </c>
      <c r="B1803" s="24">
        <v>44223</v>
      </c>
      <c r="C1803" t="s">
        <v>181</v>
      </c>
      <c r="D1803" t="s">
        <v>41</v>
      </c>
      <c r="E1803">
        <v>2000713128</v>
      </c>
      <c r="F1803">
        <v>900</v>
      </c>
      <c r="G1803">
        <v>45</v>
      </c>
      <c r="H1803">
        <v>0</v>
      </c>
      <c r="I1803" t="s">
        <v>198</v>
      </c>
      <c r="J1803" t="s">
        <v>174</v>
      </c>
      <c r="K1803" t="s">
        <v>774</v>
      </c>
      <c r="O1803">
        <v>0</v>
      </c>
      <c r="U1803" t="s">
        <v>81</v>
      </c>
    </row>
    <row r="1804" spans="1:21" x14ac:dyDescent="0.25">
      <c r="A1804" s="33">
        <v>1806</v>
      </c>
      <c r="B1804" s="24">
        <v>44223</v>
      </c>
      <c r="C1804" t="s">
        <v>181</v>
      </c>
      <c r="D1804" t="s">
        <v>41</v>
      </c>
      <c r="E1804">
        <v>2000713141</v>
      </c>
      <c r="F1804">
        <v>200</v>
      </c>
      <c r="G1804">
        <v>199</v>
      </c>
      <c r="H1804">
        <v>0</v>
      </c>
      <c r="I1804" t="s">
        <v>198</v>
      </c>
      <c r="J1804" t="s">
        <v>174</v>
      </c>
      <c r="K1804" t="s">
        <v>188</v>
      </c>
      <c r="O1804">
        <v>0</v>
      </c>
      <c r="U1804" t="s">
        <v>81</v>
      </c>
    </row>
    <row r="1805" spans="1:21" x14ac:dyDescent="0.25">
      <c r="A1805" s="33">
        <v>1807</v>
      </c>
      <c r="B1805" s="24">
        <v>44223</v>
      </c>
      <c r="C1805" t="s">
        <v>181</v>
      </c>
      <c r="D1805" t="s">
        <v>41</v>
      </c>
      <c r="E1805">
        <v>2000713490</v>
      </c>
      <c r="F1805">
        <v>850</v>
      </c>
      <c r="G1805">
        <v>180</v>
      </c>
      <c r="H1805">
        <v>0</v>
      </c>
      <c r="I1805" t="s">
        <v>198</v>
      </c>
      <c r="J1805" t="s">
        <v>174</v>
      </c>
      <c r="K1805" t="s">
        <v>805</v>
      </c>
      <c r="O1805">
        <v>0</v>
      </c>
      <c r="U1805" t="s">
        <v>81</v>
      </c>
    </row>
    <row r="1806" spans="1:21" x14ac:dyDescent="0.25">
      <c r="A1806" s="33">
        <v>1808</v>
      </c>
      <c r="B1806" s="24">
        <v>44223</v>
      </c>
      <c r="C1806" t="s">
        <v>181</v>
      </c>
      <c r="D1806" t="s">
        <v>41</v>
      </c>
      <c r="E1806">
        <v>2000713551</v>
      </c>
      <c r="F1806">
        <v>206</v>
      </c>
      <c r="G1806">
        <v>20</v>
      </c>
      <c r="H1806">
        <v>0</v>
      </c>
      <c r="I1806" t="s">
        <v>198</v>
      </c>
      <c r="J1806" t="s">
        <v>745</v>
      </c>
      <c r="K1806" t="s">
        <v>836</v>
      </c>
      <c r="O1806">
        <v>0</v>
      </c>
      <c r="U1806" t="s">
        <v>81</v>
      </c>
    </row>
    <row r="1807" spans="1:21" x14ac:dyDescent="0.25">
      <c r="A1807" s="33">
        <v>1809</v>
      </c>
      <c r="B1807" s="24">
        <v>44223</v>
      </c>
      <c r="C1807" t="s">
        <v>181</v>
      </c>
      <c r="D1807" t="s">
        <v>41</v>
      </c>
      <c r="E1807">
        <v>2000713128</v>
      </c>
      <c r="F1807">
        <v>900</v>
      </c>
      <c r="G1807">
        <v>110</v>
      </c>
      <c r="H1807">
        <v>0</v>
      </c>
      <c r="I1807" t="s">
        <v>759</v>
      </c>
      <c r="J1807" t="s">
        <v>174</v>
      </c>
      <c r="K1807" t="s">
        <v>774</v>
      </c>
      <c r="O1807">
        <v>0</v>
      </c>
      <c r="U1807" t="s">
        <v>81</v>
      </c>
    </row>
    <row r="1808" spans="1:21" x14ac:dyDescent="0.25">
      <c r="A1808" s="33">
        <v>1810</v>
      </c>
      <c r="B1808" s="24">
        <v>44223</v>
      </c>
      <c r="C1808" t="s">
        <v>181</v>
      </c>
      <c r="D1808" t="s">
        <v>41</v>
      </c>
      <c r="E1808">
        <v>2000713551</v>
      </c>
      <c r="F1808">
        <v>206</v>
      </c>
      <c r="G1808">
        <v>105</v>
      </c>
      <c r="H1808">
        <v>0</v>
      </c>
      <c r="I1808" t="s">
        <v>184</v>
      </c>
      <c r="J1808" t="s">
        <v>745</v>
      </c>
      <c r="K1808" t="s">
        <v>836</v>
      </c>
      <c r="O1808">
        <v>0</v>
      </c>
      <c r="U1808" t="s">
        <v>81</v>
      </c>
    </row>
    <row r="1809" spans="1:21" x14ac:dyDescent="0.25">
      <c r="A1809" s="33">
        <v>1811</v>
      </c>
      <c r="B1809" s="24">
        <v>44223</v>
      </c>
      <c r="C1809" t="s">
        <v>181</v>
      </c>
      <c r="D1809" t="s">
        <v>41</v>
      </c>
      <c r="E1809">
        <v>2000713490</v>
      </c>
      <c r="F1809">
        <v>850</v>
      </c>
      <c r="G1809">
        <v>80</v>
      </c>
      <c r="H1809">
        <v>0</v>
      </c>
      <c r="I1809" t="s">
        <v>184</v>
      </c>
      <c r="J1809" t="s">
        <v>174</v>
      </c>
      <c r="K1809" t="s">
        <v>805</v>
      </c>
      <c r="O1809">
        <v>0</v>
      </c>
      <c r="U1809" t="s">
        <v>81</v>
      </c>
    </row>
    <row r="1810" spans="1:21" x14ac:dyDescent="0.25">
      <c r="A1810" s="33">
        <v>1812</v>
      </c>
      <c r="B1810" s="24">
        <v>44223</v>
      </c>
      <c r="C1810" t="s">
        <v>181</v>
      </c>
      <c r="D1810" t="s">
        <v>41</v>
      </c>
      <c r="E1810">
        <v>2000708958</v>
      </c>
      <c r="F1810">
        <v>1080</v>
      </c>
      <c r="G1810">
        <v>45</v>
      </c>
      <c r="H1810">
        <v>0</v>
      </c>
      <c r="I1810" t="s">
        <v>693</v>
      </c>
      <c r="J1810" t="s">
        <v>698</v>
      </c>
      <c r="K1810" t="s">
        <v>699</v>
      </c>
      <c r="O1810">
        <v>0</v>
      </c>
      <c r="U1810" t="s">
        <v>81</v>
      </c>
    </row>
    <row r="1811" spans="1:21" x14ac:dyDescent="0.25">
      <c r="A1811" s="33">
        <v>1813</v>
      </c>
      <c r="B1811" s="24">
        <v>44223</v>
      </c>
      <c r="C1811" t="s">
        <v>181</v>
      </c>
      <c r="D1811" t="s">
        <v>41</v>
      </c>
      <c r="E1811">
        <v>2000713287</v>
      </c>
      <c r="F1811">
        <v>960</v>
      </c>
      <c r="G1811">
        <v>60</v>
      </c>
      <c r="H1811">
        <v>0</v>
      </c>
      <c r="I1811" t="s">
        <v>693</v>
      </c>
      <c r="J1811" t="s">
        <v>169</v>
      </c>
      <c r="K1811" t="s">
        <v>637</v>
      </c>
      <c r="O1811">
        <v>0</v>
      </c>
      <c r="U1811" t="s">
        <v>81</v>
      </c>
    </row>
    <row r="1812" spans="1:21" x14ac:dyDescent="0.25">
      <c r="A1812" s="33">
        <v>1814</v>
      </c>
      <c r="B1812" s="24">
        <v>44223</v>
      </c>
      <c r="C1812" t="s">
        <v>181</v>
      </c>
      <c r="D1812" t="s">
        <v>41</v>
      </c>
      <c r="E1812">
        <v>2000713286</v>
      </c>
      <c r="F1812">
        <v>750</v>
      </c>
      <c r="G1812">
        <v>60</v>
      </c>
      <c r="H1812">
        <v>0</v>
      </c>
      <c r="I1812" t="s">
        <v>693</v>
      </c>
      <c r="J1812" t="s">
        <v>169</v>
      </c>
      <c r="K1812" t="s">
        <v>664</v>
      </c>
      <c r="O1812">
        <v>0</v>
      </c>
      <c r="U1812" t="s">
        <v>81</v>
      </c>
    </row>
    <row r="1813" spans="1:21" x14ac:dyDescent="0.25">
      <c r="A1813" s="33">
        <v>1815</v>
      </c>
      <c r="B1813" s="24">
        <v>44223</v>
      </c>
      <c r="C1813" t="s">
        <v>181</v>
      </c>
      <c r="D1813" t="s">
        <v>41</v>
      </c>
      <c r="E1813">
        <v>2000713147</v>
      </c>
      <c r="F1813">
        <v>2000</v>
      </c>
      <c r="G1813">
        <v>160</v>
      </c>
      <c r="H1813">
        <v>0</v>
      </c>
      <c r="I1813" t="s">
        <v>789</v>
      </c>
      <c r="J1813" t="s">
        <v>193</v>
      </c>
      <c r="K1813" t="s">
        <v>686</v>
      </c>
      <c r="O1813">
        <v>0</v>
      </c>
      <c r="U1813" t="s">
        <v>81</v>
      </c>
    </row>
    <row r="1814" spans="1:21" x14ac:dyDescent="0.25">
      <c r="A1814" s="33">
        <v>1816</v>
      </c>
      <c r="B1814" s="24">
        <v>44223</v>
      </c>
      <c r="C1814" t="s">
        <v>181</v>
      </c>
      <c r="D1814" t="s">
        <v>41</v>
      </c>
      <c r="E1814">
        <v>2000711826</v>
      </c>
      <c r="F1814">
        <v>1440</v>
      </c>
      <c r="G1814">
        <v>240</v>
      </c>
      <c r="H1814">
        <v>0</v>
      </c>
      <c r="I1814" t="s">
        <v>680</v>
      </c>
      <c r="J1814" t="s">
        <v>203</v>
      </c>
      <c r="K1814" t="s">
        <v>640</v>
      </c>
      <c r="O1814">
        <v>0</v>
      </c>
      <c r="U1814" t="s">
        <v>81</v>
      </c>
    </row>
    <row r="1815" spans="1:21" x14ac:dyDescent="0.25">
      <c r="A1815" s="33">
        <v>1817</v>
      </c>
      <c r="B1815" s="24">
        <v>44223</v>
      </c>
      <c r="C1815" t="s">
        <v>181</v>
      </c>
      <c r="D1815" t="s">
        <v>41</v>
      </c>
      <c r="E1815">
        <v>2000712695</v>
      </c>
      <c r="F1815">
        <v>1120</v>
      </c>
      <c r="G1815">
        <v>200</v>
      </c>
      <c r="H1815">
        <v>0</v>
      </c>
      <c r="I1815" t="s">
        <v>680</v>
      </c>
      <c r="J1815" t="s">
        <v>196</v>
      </c>
      <c r="K1815" t="s">
        <v>684</v>
      </c>
      <c r="O1815">
        <v>0</v>
      </c>
      <c r="U1815" t="s">
        <v>81</v>
      </c>
    </row>
    <row r="1816" spans="1:21" x14ac:dyDescent="0.25">
      <c r="A1816" s="33">
        <v>1818</v>
      </c>
      <c r="B1816" s="24">
        <v>44223</v>
      </c>
      <c r="C1816" t="s">
        <v>181</v>
      </c>
      <c r="D1816" t="s">
        <v>41</v>
      </c>
      <c r="E1816">
        <v>2000712697</v>
      </c>
      <c r="F1816">
        <v>1120</v>
      </c>
      <c r="G1816">
        <v>300</v>
      </c>
      <c r="H1816">
        <v>0</v>
      </c>
      <c r="I1816" t="s">
        <v>680</v>
      </c>
      <c r="J1816" t="s">
        <v>196</v>
      </c>
      <c r="K1816" t="s">
        <v>685</v>
      </c>
      <c r="O1816">
        <v>0</v>
      </c>
      <c r="U1816" t="s">
        <v>81</v>
      </c>
    </row>
    <row r="1817" spans="1:21" x14ac:dyDescent="0.25">
      <c r="A1817" s="33">
        <v>1819</v>
      </c>
      <c r="B1817" s="24">
        <v>44223</v>
      </c>
      <c r="C1817" t="s">
        <v>181</v>
      </c>
      <c r="D1817" t="s">
        <v>41</v>
      </c>
      <c r="E1817">
        <v>2000713167</v>
      </c>
      <c r="F1817">
        <v>4014</v>
      </c>
      <c r="G1817">
        <v>200</v>
      </c>
      <c r="H1817">
        <v>0</v>
      </c>
      <c r="I1817" t="s">
        <v>680</v>
      </c>
      <c r="J1817" t="s">
        <v>645</v>
      </c>
      <c r="K1817" t="s">
        <v>944</v>
      </c>
      <c r="O1817">
        <v>0</v>
      </c>
      <c r="U1817" t="s">
        <v>81</v>
      </c>
    </row>
    <row r="1818" spans="1:21" x14ac:dyDescent="0.25">
      <c r="A1818" s="33">
        <v>1820</v>
      </c>
      <c r="B1818" s="24">
        <v>44223</v>
      </c>
      <c r="C1818" t="s">
        <v>181</v>
      </c>
      <c r="D1818" t="s">
        <v>41</v>
      </c>
      <c r="E1818">
        <v>2000708960</v>
      </c>
      <c r="F1818">
        <v>1300</v>
      </c>
      <c r="G1818">
        <v>33</v>
      </c>
      <c r="H1818">
        <v>0</v>
      </c>
      <c r="I1818" t="s">
        <v>183</v>
      </c>
      <c r="J1818" t="s">
        <v>170</v>
      </c>
      <c r="K1818" t="s">
        <v>732</v>
      </c>
      <c r="O1818">
        <v>0</v>
      </c>
      <c r="U1818" t="s">
        <v>81</v>
      </c>
    </row>
    <row r="1819" spans="1:21" x14ac:dyDescent="0.25">
      <c r="A1819" s="33">
        <v>1821</v>
      </c>
      <c r="B1819" s="24">
        <v>44223</v>
      </c>
      <c r="C1819" t="s">
        <v>181</v>
      </c>
      <c r="D1819" t="s">
        <v>41</v>
      </c>
      <c r="E1819">
        <v>2000708958</v>
      </c>
      <c r="F1819">
        <v>1080</v>
      </c>
      <c r="G1819">
        <v>13</v>
      </c>
      <c r="H1819">
        <v>0</v>
      </c>
      <c r="I1819" t="s">
        <v>183</v>
      </c>
      <c r="J1819" t="s">
        <v>698</v>
      </c>
      <c r="K1819" t="s">
        <v>699</v>
      </c>
      <c r="O1819">
        <v>0</v>
      </c>
      <c r="U1819" t="s">
        <v>81</v>
      </c>
    </row>
    <row r="1820" spans="1:21" x14ac:dyDescent="0.25">
      <c r="A1820" s="33">
        <v>1822</v>
      </c>
      <c r="B1820" s="24">
        <v>44223</v>
      </c>
      <c r="C1820" t="s">
        <v>181</v>
      </c>
      <c r="D1820" t="s">
        <v>41</v>
      </c>
      <c r="E1820">
        <v>2000713128</v>
      </c>
      <c r="F1820">
        <v>900</v>
      </c>
      <c r="G1820">
        <v>675</v>
      </c>
      <c r="H1820">
        <v>0</v>
      </c>
      <c r="I1820" t="s">
        <v>183</v>
      </c>
      <c r="J1820" t="s">
        <v>174</v>
      </c>
      <c r="K1820" t="s">
        <v>774</v>
      </c>
      <c r="O1820">
        <v>0</v>
      </c>
      <c r="U1820" t="s">
        <v>81</v>
      </c>
    </row>
    <row r="1821" spans="1:21" x14ac:dyDescent="0.25">
      <c r="A1821" s="33">
        <v>1823</v>
      </c>
      <c r="B1821" s="24">
        <v>44223</v>
      </c>
      <c r="C1821" t="s">
        <v>181</v>
      </c>
      <c r="D1821" t="s">
        <v>41</v>
      </c>
      <c r="E1821">
        <v>2000712722</v>
      </c>
      <c r="F1821">
        <v>3900</v>
      </c>
      <c r="G1821">
        <v>100</v>
      </c>
      <c r="H1821">
        <v>0</v>
      </c>
      <c r="I1821" t="s">
        <v>185</v>
      </c>
      <c r="J1821" t="s">
        <v>172</v>
      </c>
      <c r="K1821" t="s">
        <v>173</v>
      </c>
      <c r="O1821">
        <v>0</v>
      </c>
      <c r="U1821" t="s">
        <v>81</v>
      </c>
    </row>
    <row r="1822" spans="1:21" x14ac:dyDescent="0.25">
      <c r="A1822" s="33">
        <v>1824</v>
      </c>
      <c r="B1822" s="24">
        <v>44223</v>
      </c>
      <c r="C1822" t="s">
        <v>181</v>
      </c>
      <c r="D1822" t="s">
        <v>41</v>
      </c>
      <c r="E1822">
        <v>2000713890</v>
      </c>
      <c r="F1822">
        <v>2720</v>
      </c>
      <c r="G1822">
        <v>120</v>
      </c>
      <c r="H1822">
        <v>0</v>
      </c>
      <c r="I1822" t="s">
        <v>185</v>
      </c>
      <c r="J1822" t="s">
        <v>655</v>
      </c>
      <c r="K1822" t="s">
        <v>656</v>
      </c>
      <c r="O1822">
        <v>0</v>
      </c>
      <c r="U1822" t="s">
        <v>81</v>
      </c>
    </row>
    <row r="1823" spans="1:21" x14ac:dyDescent="0.25">
      <c r="A1823" s="33">
        <v>1825</v>
      </c>
      <c r="B1823" s="24">
        <v>44223</v>
      </c>
      <c r="C1823" t="s">
        <v>181</v>
      </c>
      <c r="D1823" t="s">
        <v>41</v>
      </c>
      <c r="E1823">
        <v>2000713889</v>
      </c>
      <c r="F1823">
        <v>5392</v>
      </c>
      <c r="G1823">
        <v>200</v>
      </c>
      <c r="H1823">
        <v>0</v>
      </c>
      <c r="I1823" t="s">
        <v>185</v>
      </c>
      <c r="J1823" t="s">
        <v>200</v>
      </c>
      <c r="K1823" t="s">
        <v>653</v>
      </c>
      <c r="O1823">
        <v>0</v>
      </c>
      <c r="U1823" t="s">
        <v>81</v>
      </c>
    </row>
    <row r="1824" spans="1:21" x14ac:dyDescent="0.25">
      <c r="A1824" s="33">
        <v>1826</v>
      </c>
      <c r="B1824" s="24">
        <v>44223</v>
      </c>
      <c r="C1824" t="s">
        <v>181</v>
      </c>
      <c r="D1824" t="s">
        <v>41</v>
      </c>
      <c r="E1824">
        <v>2000712702</v>
      </c>
      <c r="F1824">
        <v>200</v>
      </c>
      <c r="G1824">
        <v>40</v>
      </c>
      <c r="H1824">
        <v>0</v>
      </c>
      <c r="I1824" t="s">
        <v>185</v>
      </c>
      <c r="J1824" t="s">
        <v>645</v>
      </c>
      <c r="K1824" t="s">
        <v>721</v>
      </c>
      <c r="O1824">
        <v>0</v>
      </c>
      <c r="U1824" t="s">
        <v>81</v>
      </c>
    </row>
    <row r="1825" spans="1:21" x14ac:dyDescent="0.25">
      <c r="A1825" s="33">
        <v>1827</v>
      </c>
      <c r="B1825" s="24">
        <v>44223</v>
      </c>
      <c r="C1825" t="s">
        <v>181</v>
      </c>
      <c r="D1825" t="s">
        <v>41</v>
      </c>
      <c r="E1825">
        <v>2000713624</v>
      </c>
      <c r="F1825">
        <v>330</v>
      </c>
      <c r="G1825">
        <v>80</v>
      </c>
      <c r="H1825">
        <v>0</v>
      </c>
      <c r="I1825" t="s">
        <v>185</v>
      </c>
      <c r="J1825" t="s">
        <v>197</v>
      </c>
      <c r="K1825" t="s">
        <v>764</v>
      </c>
      <c r="O1825">
        <v>0</v>
      </c>
      <c r="U1825" t="s">
        <v>81</v>
      </c>
    </row>
    <row r="1826" spans="1:21" x14ac:dyDescent="0.25">
      <c r="A1826" s="33">
        <v>1828</v>
      </c>
      <c r="B1826" s="24">
        <v>44223</v>
      </c>
      <c r="C1826" t="s">
        <v>181</v>
      </c>
      <c r="D1826" t="s">
        <v>51</v>
      </c>
      <c r="E1826">
        <v>2000713201</v>
      </c>
      <c r="F1826">
        <v>350</v>
      </c>
      <c r="G1826">
        <v>180</v>
      </c>
      <c r="H1826">
        <v>0</v>
      </c>
      <c r="I1826" t="s">
        <v>706</v>
      </c>
      <c r="J1826" t="s">
        <v>669</v>
      </c>
      <c r="K1826" t="s">
        <v>810</v>
      </c>
      <c r="O1826">
        <v>0</v>
      </c>
      <c r="U1826" t="s">
        <v>81</v>
      </c>
    </row>
    <row r="1827" spans="1:21" x14ac:dyDescent="0.25">
      <c r="A1827" s="33">
        <v>1829</v>
      </c>
      <c r="B1827" s="24">
        <v>44223</v>
      </c>
      <c r="C1827" t="s">
        <v>181</v>
      </c>
      <c r="D1827" t="s">
        <v>51</v>
      </c>
      <c r="E1827">
        <v>2000713071</v>
      </c>
      <c r="F1827">
        <v>400</v>
      </c>
      <c r="G1827">
        <v>130</v>
      </c>
      <c r="H1827">
        <v>0</v>
      </c>
      <c r="I1827" t="s">
        <v>706</v>
      </c>
      <c r="J1827" t="s">
        <v>673</v>
      </c>
      <c r="K1827" t="s">
        <v>674</v>
      </c>
      <c r="O1827">
        <v>0</v>
      </c>
      <c r="U1827" t="s">
        <v>81</v>
      </c>
    </row>
    <row r="1828" spans="1:21" x14ac:dyDescent="0.25">
      <c r="A1828" s="33">
        <v>1830</v>
      </c>
      <c r="B1828" s="24">
        <v>44223</v>
      </c>
      <c r="C1828" t="s">
        <v>181</v>
      </c>
      <c r="D1828" t="s">
        <v>51</v>
      </c>
      <c r="E1828">
        <v>2000712901</v>
      </c>
      <c r="F1828">
        <v>380</v>
      </c>
      <c r="G1828">
        <v>90</v>
      </c>
      <c r="H1828">
        <v>0</v>
      </c>
      <c r="I1828" t="s">
        <v>706</v>
      </c>
      <c r="J1828" t="s">
        <v>669</v>
      </c>
      <c r="K1828" t="s">
        <v>802</v>
      </c>
      <c r="O1828">
        <v>0</v>
      </c>
      <c r="U1828" t="s">
        <v>81</v>
      </c>
    </row>
    <row r="1829" spans="1:21" x14ac:dyDescent="0.25">
      <c r="A1829" s="33">
        <v>1831</v>
      </c>
      <c r="B1829" s="24">
        <v>44223</v>
      </c>
      <c r="C1829" t="s">
        <v>181</v>
      </c>
      <c r="D1829" t="s">
        <v>51</v>
      </c>
      <c r="E1829">
        <v>2000713074</v>
      </c>
      <c r="F1829">
        <v>660</v>
      </c>
      <c r="G1829">
        <v>120</v>
      </c>
      <c r="H1829">
        <v>0</v>
      </c>
      <c r="I1829" t="s">
        <v>706</v>
      </c>
      <c r="J1829" t="s">
        <v>667</v>
      </c>
      <c r="K1829" t="s">
        <v>668</v>
      </c>
      <c r="O1829">
        <v>0</v>
      </c>
      <c r="U1829" t="s">
        <v>81</v>
      </c>
    </row>
    <row r="1830" spans="1:21" x14ac:dyDescent="0.25">
      <c r="A1830" s="33">
        <v>1832</v>
      </c>
      <c r="B1830" s="24">
        <v>44223</v>
      </c>
      <c r="C1830" t="s">
        <v>181</v>
      </c>
      <c r="D1830" t="s">
        <v>51</v>
      </c>
      <c r="E1830">
        <v>2000713067</v>
      </c>
      <c r="F1830">
        <v>900</v>
      </c>
      <c r="G1830">
        <v>140</v>
      </c>
      <c r="H1830">
        <v>0</v>
      </c>
      <c r="I1830" t="s">
        <v>706</v>
      </c>
      <c r="J1830" t="s">
        <v>667</v>
      </c>
      <c r="K1830" t="s">
        <v>671</v>
      </c>
      <c r="O1830">
        <v>0</v>
      </c>
      <c r="U1830" t="s">
        <v>81</v>
      </c>
    </row>
    <row r="1831" spans="1:21" x14ac:dyDescent="0.25">
      <c r="A1831" s="33">
        <v>1833</v>
      </c>
      <c r="B1831" s="24">
        <v>44223</v>
      </c>
      <c r="C1831" t="s">
        <v>181</v>
      </c>
      <c r="D1831" t="s">
        <v>51</v>
      </c>
      <c r="E1831">
        <v>2000713376</v>
      </c>
      <c r="F1831">
        <v>476</v>
      </c>
      <c r="G1831">
        <v>200</v>
      </c>
      <c r="H1831">
        <v>0</v>
      </c>
      <c r="I1831" t="s">
        <v>706</v>
      </c>
      <c r="J1831" t="s">
        <v>669</v>
      </c>
      <c r="K1831" t="s">
        <v>707</v>
      </c>
      <c r="O1831">
        <v>0</v>
      </c>
      <c r="U1831" t="s">
        <v>81</v>
      </c>
    </row>
    <row r="1832" spans="1:21" x14ac:dyDescent="0.25">
      <c r="A1832" s="33">
        <v>1834</v>
      </c>
      <c r="B1832" s="24">
        <v>44223</v>
      </c>
      <c r="C1832" t="s">
        <v>181</v>
      </c>
      <c r="D1832" t="s">
        <v>51</v>
      </c>
      <c r="E1832">
        <v>2000713376</v>
      </c>
      <c r="F1832">
        <v>476</v>
      </c>
      <c r="G1832">
        <v>10</v>
      </c>
      <c r="H1832">
        <v>0</v>
      </c>
      <c r="I1832" t="s">
        <v>198</v>
      </c>
      <c r="J1832" t="s">
        <v>669</v>
      </c>
      <c r="K1832" t="s">
        <v>707</v>
      </c>
      <c r="O1832">
        <v>0</v>
      </c>
      <c r="U1832" t="s">
        <v>81</v>
      </c>
    </row>
    <row r="1833" spans="1:21" x14ac:dyDescent="0.25">
      <c r="A1833" s="33">
        <v>1835</v>
      </c>
      <c r="B1833" s="24">
        <v>44224</v>
      </c>
      <c r="C1833" t="s">
        <v>39</v>
      </c>
      <c r="D1833" t="s">
        <v>41</v>
      </c>
      <c r="E1833">
        <v>2000712700</v>
      </c>
      <c r="F1833">
        <v>2000</v>
      </c>
      <c r="G1833">
        <v>200</v>
      </c>
      <c r="H1833">
        <v>0</v>
      </c>
      <c r="I1833" t="s">
        <v>201</v>
      </c>
      <c r="J1833" t="s">
        <v>645</v>
      </c>
      <c r="K1833" t="s">
        <v>739</v>
      </c>
      <c r="O1833">
        <v>0</v>
      </c>
      <c r="U1833" t="s">
        <v>81</v>
      </c>
    </row>
    <row r="1834" spans="1:21" x14ac:dyDescent="0.25">
      <c r="A1834" s="33">
        <v>1836</v>
      </c>
      <c r="B1834" s="24">
        <v>44224</v>
      </c>
      <c r="C1834" t="s">
        <v>39</v>
      </c>
      <c r="D1834" t="s">
        <v>41</v>
      </c>
      <c r="E1834">
        <v>2000712249</v>
      </c>
      <c r="F1834">
        <v>5240</v>
      </c>
      <c r="G1834">
        <v>300</v>
      </c>
      <c r="H1834">
        <v>0</v>
      </c>
      <c r="I1834" t="s">
        <v>201</v>
      </c>
      <c r="J1834" t="s">
        <v>172</v>
      </c>
      <c r="K1834" t="s">
        <v>814</v>
      </c>
      <c r="O1834">
        <v>0</v>
      </c>
      <c r="U1834" t="s">
        <v>81</v>
      </c>
    </row>
    <row r="1835" spans="1:21" x14ac:dyDescent="0.25">
      <c r="A1835" s="33">
        <v>1837</v>
      </c>
      <c r="B1835" s="24">
        <v>44224</v>
      </c>
      <c r="C1835" t="s">
        <v>39</v>
      </c>
      <c r="D1835" t="s">
        <v>41</v>
      </c>
      <c r="E1835">
        <v>2000713160</v>
      </c>
      <c r="F1835">
        <v>2568</v>
      </c>
      <c r="G1835">
        <v>200</v>
      </c>
      <c r="H1835">
        <v>0</v>
      </c>
      <c r="I1835" t="s">
        <v>201</v>
      </c>
      <c r="J1835" t="s">
        <v>645</v>
      </c>
      <c r="K1835" t="s">
        <v>813</v>
      </c>
      <c r="O1835">
        <v>0</v>
      </c>
      <c r="U1835" t="s">
        <v>81</v>
      </c>
    </row>
    <row r="1836" spans="1:21" x14ac:dyDescent="0.25">
      <c r="A1836" s="33">
        <v>1838</v>
      </c>
      <c r="B1836" s="24">
        <v>44224</v>
      </c>
      <c r="C1836" t="s">
        <v>39</v>
      </c>
      <c r="D1836" t="s">
        <v>41</v>
      </c>
      <c r="E1836">
        <v>2000713159</v>
      </c>
      <c r="F1836">
        <v>7830</v>
      </c>
      <c r="G1836">
        <v>300</v>
      </c>
      <c r="H1836">
        <v>0</v>
      </c>
      <c r="I1836" t="s">
        <v>201</v>
      </c>
      <c r="J1836" t="s">
        <v>200</v>
      </c>
      <c r="K1836" t="s">
        <v>737</v>
      </c>
      <c r="O1836">
        <v>0</v>
      </c>
      <c r="U1836" t="s">
        <v>81</v>
      </c>
    </row>
    <row r="1837" spans="1:21" x14ac:dyDescent="0.25">
      <c r="A1837" s="33">
        <v>1839</v>
      </c>
      <c r="B1837" s="24">
        <v>44224</v>
      </c>
      <c r="C1837" t="s">
        <v>39</v>
      </c>
      <c r="D1837" t="s">
        <v>41</v>
      </c>
      <c r="E1837">
        <v>2000713118</v>
      </c>
      <c r="F1837">
        <v>2300</v>
      </c>
      <c r="G1837">
        <v>300</v>
      </c>
      <c r="H1837">
        <v>0</v>
      </c>
      <c r="I1837" t="s">
        <v>201</v>
      </c>
      <c r="J1837" t="s">
        <v>172</v>
      </c>
      <c r="K1837" t="s">
        <v>725</v>
      </c>
      <c r="O1837">
        <v>0</v>
      </c>
      <c r="U1837" t="s">
        <v>81</v>
      </c>
    </row>
    <row r="1838" spans="1:21" x14ac:dyDescent="0.25">
      <c r="A1838" s="33">
        <v>1840</v>
      </c>
      <c r="B1838" s="24">
        <v>44224</v>
      </c>
      <c r="C1838" t="s">
        <v>39</v>
      </c>
      <c r="D1838" t="s">
        <v>41</v>
      </c>
      <c r="E1838">
        <v>2000712699</v>
      </c>
      <c r="F1838">
        <v>2000</v>
      </c>
      <c r="G1838">
        <v>300</v>
      </c>
      <c r="H1838">
        <v>0</v>
      </c>
      <c r="I1838" t="s">
        <v>201</v>
      </c>
      <c r="J1838" t="s">
        <v>645</v>
      </c>
      <c r="K1838" t="s">
        <v>756</v>
      </c>
      <c r="O1838">
        <v>0</v>
      </c>
      <c r="U1838" t="s">
        <v>81</v>
      </c>
    </row>
    <row r="1839" spans="1:21" x14ac:dyDescent="0.25">
      <c r="A1839" s="33">
        <v>1841</v>
      </c>
      <c r="B1839" s="24">
        <v>44224</v>
      </c>
      <c r="C1839" t="s">
        <v>39</v>
      </c>
      <c r="D1839" t="s">
        <v>41</v>
      </c>
      <c r="E1839">
        <v>2000713144</v>
      </c>
      <c r="F1839">
        <v>2000</v>
      </c>
      <c r="G1839">
        <v>150</v>
      </c>
      <c r="H1839">
        <v>0</v>
      </c>
      <c r="I1839" t="s">
        <v>201</v>
      </c>
      <c r="J1839" t="s">
        <v>193</v>
      </c>
      <c r="K1839" t="s">
        <v>176</v>
      </c>
      <c r="O1839">
        <v>0</v>
      </c>
      <c r="U1839" t="s">
        <v>81</v>
      </c>
    </row>
    <row r="1840" spans="1:21" x14ac:dyDescent="0.25">
      <c r="A1840" s="33">
        <v>1842</v>
      </c>
      <c r="B1840" s="24">
        <v>44224</v>
      </c>
      <c r="C1840" t="s">
        <v>39</v>
      </c>
      <c r="D1840" t="s">
        <v>41</v>
      </c>
      <c r="E1840">
        <v>2000712702</v>
      </c>
      <c r="F1840">
        <v>2000</v>
      </c>
      <c r="G1840">
        <v>40</v>
      </c>
      <c r="H1840">
        <v>0</v>
      </c>
      <c r="I1840" t="s">
        <v>180</v>
      </c>
      <c r="J1840" t="s">
        <v>645</v>
      </c>
      <c r="K1840" t="s">
        <v>721</v>
      </c>
      <c r="O1840">
        <v>0</v>
      </c>
      <c r="U1840" t="s">
        <v>81</v>
      </c>
    </row>
    <row r="1841" spans="1:21" x14ac:dyDescent="0.25">
      <c r="A1841" s="33">
        <v>1843</v>
      </c>
      <c r="B1841" s="24">
        <v>44224</v>
      </c>
      <c r="C1841" t="s">
        <v>39</v>
      </c>
      <c r="D1841" t="s">
        <v>41</v>
      </c>
      <c r="E1841">
        <v>2000713646</v>
      </c>
      <c r="F1841">
        <v>210</v>
      </c>
      <c r="G1841">
        <v>70</v>
      </c>
      <c r="H1841">
        <v>0</v>
      </c>
      <c r="I1841" t="s">
        <v>180</v>
      </c>
      <c r="J1841" t="s">
        <v>169</v>
      </c>
      <c r="K1841" t="s">
        <v>852</v>
      </c>
      <c r="O1841">
        <v>0</v>
      </c>
      <c r="U1841" t="s">
        <v>81</v>
      </c>
    </row>
    <row r="1842" spans="1:21" x14ac:dyDescent="0.25">
      <c r="A1842" s="33">
        <v>1844</v>
      </c>
      <c r="B1842" s="24">
        <v>44224</v>
      </c>
      <c r="C1842" t="s">
        <v>39</v>
      </c>
      <c r="D1842" t="s">
        <v>41</v>
      </c>
      <c r="E1842">
        <v>2000713200</v>
      </c>
      <c r="F1842">
        <v>300</v>
      </c>
      <c r="G1842">
        <v>40</v>
      </c>
      <c r="H1842">
        <v>0</v>
      </c>
      <c r="I1842" t="s">
        <v>180</v>
      </c>
      <c r="J1842" t="s">
        <v>169</v>
      </c>
      <c r="K1842" t="s">
        <v>945</v>
      </c>
      <c r="O1842">
        <v>0</v>
      </c>
      <c r="U1842" t="s">
        <v>81</v>
      </c>
    </row>
    <row r="1843" spans="1:21" x14ac:dyDescent="0.25">
      <c r="A1843" s="33">
        <v>1845</v>
      </c>
      <c r="B1843" s="24">
        <v>44224</v>
      </c>
      <c r="C1843" t="s">
        <v>39</v>
      </c>
      <c r="D1843" t="s">
        <v>41</v>
      </c>
      <c r="E1843">
        <v>2000713945</v>
      </c>
      <c r="F1843">
        <v>8</v>
      </c>
      <c r="G1843">
        <v>8</v>
      </c>
      <c r="H1843">
        <v>0</v>
      </c>
      <c r="I1843" t="s">
        <v>180</v>
      </c>
      <c r="J1843" t="s">
        <v>215</v>
      </c>
      <c r="K1843" t="s">
        <v>837</v>
      </c>
      <c r="O1843">
        <v>0</v>
      </c>
      <c r="U1843" t="s">
        <v>81</v>
      </c>
    </row>
    <row r="1844" spans="1:21" x14ac:dyDescent="0.25">
      <c r="A1844" s="33">
        <v>1846</v>
      </c>
      <c r="B1844" s="24">
        <v>44224</v>
      </c>
      <c r="C1844" t="s">
        <v>39</v>
      </c>
      <c r="D1844" t="s">
        <v>41</v>
      </c>
      <c r="E1844">
        <v>2000713488</v>
      </c>
      <c r="F1844">
        <v>1040</v>
      </c>
      <c r="G1844">
        <v>120</v>
      </c>
      <c r="H1844">
        <v>0</v>
      </c>
      <c r="I1844" t="s">
        <v>180</v>
      </c>
      <c r="J1844" t="s">
        <v>698</v>
      </c>
      <c r="K1844" t="s">
        <v>699</v>
      </c>
      <c r="O1844">
        <v>0</v>
      </c>
      <c r="U1844" t="s">
        <v>81</v>
      </c>
    </row>
    <row r="1845" spans="1:21" x14ac:dyDescent="0.25">
      <c r="A1845" s="33">
        <v>1847</v>
      </c>
      <c r="B1845" s="24">
        <v>44224</v>
      </c>
      <c r="C1845" t="s">
        <v>39</v>
      </c>
      <c r="D1845" t="s">
        <v>41</v>
      </c>
      <c r="E1845">
        <v>2000710138</v>
      </c>
      <c r="F1845">
        <v>404</v>
      </c>
      <c r="G1845">
        <v>14</v>
      </c>
      <c r="H1845">
        <v>0</v>
      </c>
      <c r="I1845" t="s">
        <v>661</v>
      </c>
      <c r="J1845" t="s">
        <v>174</v>
      </c>
      <c r="K1845" t="s">
        <v>774</v>
      </c>
      <c r="O1845">
        <v>0</v>
      </c>
      <c r="U1845" t="s">
        <v>81</v>
      </c>
    </row>
    <row r="1846" spans="1:21" x14ac:dyDescent="0.25">
      <c r="A1846" s="33">
        <v>1848</v>
      </c>
      <c r="B1846" s="24">
        <v>44224</v>
      </c>
      <c r="C1846" t="s">
        <v>39</v>
      </c>
      <c r="D1846" t="s">
        <v>41</v>
      </c>
      <c r="E1846">
        <v>2000713128</v>
      </c>
      <c r="F1846">
        <v>900</v>
      </c>
      <c r="G1846">
        <v>27</v>
      </c>
      <c r="H1846">
        <v>0</v>
      </c>
      <c r="I1846" t="s">
        <v>661</v>
      </c>
      <c r="J1846" t="s">
        <v>174</v>
      </c>
      <c r="K1846" t="s">
        <v>774</v>
      </c>
      <c r="O1846">
        <v>0</v>
      </c>
      <c r="U1846" t="s">
        <v>81</v>
      </c>
    </row>
    <row r="1847" spans="1:21" x14ac:dyDescent="0.25">
      <c r="A1847" s="33">
        <v>1849</v>
      </c>
      <c r="B1847" s="24">
        <v>44224</v>
      </c>
      <c r="C1847" t="s">
        <v>39</v>
      </c>
      <c r="D1847" t="s">
        <v>41</v>
      </c>
      <c r="E1847">
        <v>2000713488</v>
      </c>
      <c r="F1847">
        <v>1040</v>
      </c>
      <c r="G1847">
        <v>405</v>
      </c>
      <c r="H1847">
        <v>0</v>
      </c>
      <c r="I1847" t="s">
        <v>661</v>
      </c>
      <c r="J1847" t="s">
        <v>698</v>
      </c>
      <c r="K1847" t="s">
        <v>699</v>
      </c>
      <c r="O1847">
        <v>0</v>
      </c>
      <c r="U1847" t="s">
        <v>81</v>
      </c>
    </row>
    <row r="1848" spans="1:21" ht="30" x14ac:dyDescent="0.25">
      <c r="A1848" s="33">
        <v>1850</v>
      </c>
      <c r="B1848" s="24">
        <v>44224</v>
      </c>
      <c r="C1848" t="s">
        <v>39</v>
      </c>
      <c r="D1848" t="s">
        <v>41</v>
      </c>
      <c r="E1848">
        <v>2000713790</v>
      </c>
      <c r="F1848">
        <v>200</v>
      </c>
      <c r="G1848">
        <v>40</v>
      </c>
      <c r="H1848">
        <v>0</v>
      </c>
      <c r="I1848" t="s">
        <v>661</v>
      </c>
      <c r="J1848" t="s">
        <v>174</v>
      </c>
      <c r="K1848" t="s">
        <v>792</v>
      </c>
      <c r="O1848">
        <v>0</v>
      </c>
      <c r="T1848" s="62" t="s">
        <v>723</v>
      </c>
      <c r="U1848" t="s">
        <v>81</v>
      </c>
    </row>
    <row r="1849" spans="1:21" x14ac:dyDescent="0.25">
      <c r="A1849" s="33">
        <v>1851</v>
      </c>
      <c r="B1849" s="24">
        <v>44224</v>
      </c>
      <c r="C1849" t="s">
        <v>39</v>
      </c>
      <c r="D1849" t="s">
        <v>41</v>
      </c>
      <c r="E1849">
        <v>2000713490</v>
      </c>
      <c r="F1849">
        <v>850</v>
      </c>
      <c r="G1849">
        <v>170</v>
      </c>
      <c r="H1849">
        <v>0</v>
      </c>
      <c r="I1849" t="s">
        <v>666</v>
      </c>
      <c r="J1849" t="s">
        <v>174</v>
      </c>
      <c r="K1849" t="s">
        <v>805</v>
      </c>
      <c r="O1849">
        <v>0</v>
      </c>
      <c r="U1849" t="s">
        <v>81</v>
      </c>
    </row>
    <row r="1850" spans="1:21" x14ac:dyDescent="0.25">
      <c r="A1850" s="33">
        <v>1852</v>
      </c>
      <c r="B1850" s="24">
        <v>44224</v>
      </c>
      <c r="C1850" t="s">
        <v>39</v>
      </c>
      <c r="D1850" t="s">
        <v>41</v>
      </c>
      <c r="E1850">
        <v>2000713790</v>
      </c>
      <c r="F1850">
        <v>200</v>
      </c>
      <c r="G1850">
        <v>80</v>
      </c>
      <c r="H1850">
        <v>0</v>
      </c>
      <c r="I1850" t="s">
        <v>666</v>
      </c>
      <c r="J1850" t="s">
        <v>174</v>
      </c>
      <c r="K1850" t="s">
        <v>792</v>
      </c>
      <c r="O1850">
        <v>0</v>
      </c>
      <c r="U1850" t="s">
        <v>81</v>
      </c>
    </row>
    <row r="1851" spans="1:21" x14ac:dyDescent="0.25">
      <c r="A1851" s="33">
        <v>1853</v>
      </c>
      <c r="B1851" s="24">
        <v>44224</v>
      </c>
      <c r="C1851" t="s">
        <v>39</v>
      </c>
      <c r="D1851" t="s">
        <v>41</v>
      </c>
      <c r="E1851">
        <v>2000713384</v>
      </c>
      <c r="F1851">
        <v>312</v>
      </c>
      <c r="G1851">
        <v>80</v>
      </c>
      <c r="H1851">
        <v>0</v>
      </c>
      <c r="I1851" t="s">
        <v>666</v>
      </c>
      <c r="J1851" t="s">
        <v>687</v>
      </c>
      <c r="K1851" t="s">
        <v>898</v>
      </c>
      <c r="O1851">
        <v>0</v>
      </c>
      <c r="U1851" t="s">
        <v>81</v>
      </c>
    </row>
    <row r="1852" spans="1:21" x14ac:dyDescent="0.25">
      <c r="A1852" s="33">
        <v>1854</v>
      </c>
      <c r="B1852" s="24">
        <v>44224</v>
      </c>
      <c r="C1852" t="s">
        <v>39</v>
      </c>
      <c r="D1852" t="s">
        <v>41</v>
      </c>
      <c r="E1852">
        <v>2000713789</v>
      </c>
      <c r="F1852">
        <v>680</v>
      </c>
      <c r="G1852">
        <v>160</v>
      </c>
      <c r="H1852">
        <v>0</v>
      </c>
      <c r="I1852" t="s">
        <v>666</v>
      </c>
      <c r="J1852" t="s">
        <v>174</v>
      </c>
      <c r="K1852" t="s">
        <v>763</v>
      </c>
      <c r="O1852">
        <v>0</v>
      </c>
      <c r="U1852" t="s">
        <v>81</v>
      </c>
    </row>
    <row r="1853" spans="1:21" x14ac:dyDescent="0.25">
      <c r="A1853" s="33">
        <v>1855</v>
      </c>
      <c r="B1853" s="24">
        <v>44224</v>
      </c>
      <c r="C1853" t="s">
        <v>39</v>
      </c>
      <c r="D1853" t="s">
        <v>41</v>
      </c>
      <c r="E1853">
        <v>2000705992</v>
      </c>
      <c r="F1853">
        <v>2800</v>
      </c>
      <c r="G1853">
        <v>1</v>
      </c>
      <c r="H1853">
        <v>0</v>
      </c>
      <c r="I1853" t="s">
        <v>666</v>
      </c>
      <c r="J1853" t="s">
        <v>174</v>
      </c>
      <c r="K1853" t="s">
        <v>644</v>
      </c>
      <c r="O1853">
        <v>0</v>
      </c>
      <c r="U1853" t="s">
        <v>81</v>
      </c>
    </row>
    <row r="1854" spans="1:21" x14ac:dyDescent="0.25">
      <c r="A1854" s="33">
        <v>1856</v>
      </c>
      <c r="B1854" s="24">
        <v>44224</v>
      </c>
      <c r="C1854" t="s">
        <v>39</v>
      </c>
      <c r="D1854" t="s">
        <v>41</v>
      </c>
      <c r="E1854">
        <v>2000713490</v>
      </c>
      <c r="F1854">
        <v>850</v>
      </c>
      <c r="G1854">
        <v>77</v>
      </c>
      <c r="H1854">
        <v>0</v>
      </c>
      <c r="I1854" t="s">
        <v>178</v>
      </c>
      <c r="J1854" t="s">
        <v>174</v>
      </c>
      <c r="K1854" t="s">
        <v>805</v>
      </c>
      <c r="O1854">
        <v>0</v>
      </c>
      <c r="U1854" t="s">
        <v>81</v>
      </c>
    </row>
    <row r="1855" spans="1:21" x14ac:dyDescent="0.25">
      <c r="A1855" s="33">
        <v>1857</v>
      </c>
      <c r="B1855" s="24">
        <v>44224</v>
      </c>
      <c r="C1855" t="s">
        <v>39</v>
      </c>
      <c r="D1855" t="s">
        <v>41</v>
      </c>
      <c r="E1855">
        <v>2000712361</v>
      </c>
      <c r="F1855">
        <v>900</v>
      </c>
      <c r="G1855">
        <v>40</v>
      </c>
      <c r="H1855">
        <v>0</v>
      </c>
      <c r="I1855" t="s">
        <v>178</v>
      </c>
      <c r="J1855" t="s">
        <v>687</v>
      </c>
      <c r="K1855" t="s">
        <v>705</v>
      </c>
      <c r="O1855">
        <v>0</v>
      </c>
      <c r="U1855" t="s">
        <v>81</v>
      </c>
    </row>
    <row r="1856" spans="1:21" x14ac:dyDescent="0.25">
      <c r="A1856" s="33">
        <v>1858</v>
      </c>
      <c r="B1856" s="24">
        <v>44224</v>
      </c>
      <c r="C1856" t="s">
        <v>39</v>
      </c>
      <c r="D1856" t="s">
        <v>41</v>
      </c>
      <c r="E1856">
        <v>2000713128</v>
      </c>
      <c r="F1856">
        <v>900</v>
      </c>
      <c r="G1856">
        <v>25</v>
      </c>
      <c r="H1856">
        <v>0</v>
      </c>
      <c r="I1856" t="s">
        <v>194</v>
      </c>
      <c r="J1856" t="s">
        <v>174</v>
      </c>
      <c r="K1856" t="s">
        <v>774</v>
      </c>
      <c r="O1856">
        <v>0</v>
      </c>
      <c r="U1856" t="s">
        <v>81</v>
      </c>
    </row>
    <row r="1857" spans="1:21" x14ac:dyDescent="0.25">
      <c r="A1857" s="33">
        <v>1859</v>
      </c>
      <c r="B1857" s="24">
        <v>44224</v>
      </c>
      <c r="C1857" t="s">
        <v>39</v>
      </c>
      <c r="D1857" t="s">
        <v>41</v>
      </c>
      <c r="E1857">
        <v>2000713286</v>
      </c>
      <c r="F1857">
        <v>750</v>
      </c>
      <c r="G1857">
        <v>20</v>
      </c>
      <c r="H1857">
        <v>0</v>
      </c>
      <c r="I1857" t="s">
        <v>194</v>
      </c>
      <c r="J1857" t="s">
        <v>169</v>
      </c>
      <c r="K1857" t="s">
        <v>664</v>
      </c>
      <c r="O1857">
        <v>0</v>
      </c>
      <c r="U1857" t="s">
        <v>81</v>
      </c>
    </row>
    <row r="1858" spans="1:21" x14ac:dyDescent="0.25">
      <c r="A1858" s="33">
        <v>1860</v>
      </c>
      <c r="B1858" s="24">
        <v>44224</v>
      </c>
      <c r="C1858" t="s">
        <v>39</v>
      </c>
      <c r="D1858" t="s">
        <v>41</v>
      </c>
      <c r="E1858">
        <v>2000713488</v>
      </c>
      <c r="F1858">
        <v>1040</v>
      </c>
      <c r="G1858">
        <v>245</v>
      </c>
      <c r="H1858">
        <v>0</v>
      </c>
      <c r="I1858" t="s">
        <v>194</v>
      </c>
      <c r="J1858" t="s">
        <v>698</v>
      </c>
      <c r="K1858" t="s">
        <v>699</v>
      </c>
      <c r="O1858">
        <v>0</v>
      </c>
      <c r="U1858" t="s">
        <v>81</v>
      </c>
    </row>
    <row r="1859" spans="1:21" x14ac:dyDescent="0.25">
      <c r="A1859" s="33">
        <v>1861</v>
      </c>
      <c r="B1859" s="24">
        <v>44224</v>
      </c>
      <c r="C1859" t="s">
        <v>39</v>
      </c>
      <c r="D1859" t="s">
        <v>41</v>
      </c>
      <c r="E1859">
        <v>2000713790</v>
      </c>
      <c r="F1859">
        <v>200</v>
      </c>
      <c r="G1859">
        <v>80</v>
      </c>
      <c r="H1859">
        <v>0</v>
      </c>
      <c r="I1859" t="s">
        <v>194</v>
      </c>
      <c r="J1859" t="s">
        <v>174</v>
      </c>
      <c r="K1859" t="s">
        <v>792</v>
      </c>
      <c r="O1859">
        <v>0</v>
      </c>
      <c r="U1859" t="s">
        <v>81</v>
      </c>
    </row>
    <row r="1860" spans="1:21" x14ac:dyDescent="0.25">
      <c r="A1860" s="33">
        <v>1862</v>
      </c>
      <c r="B1860" s="24">
        <v>44224</v>
      </c>
      <c r="C1860" t="s">
        <v>39</v>
      </c>
      <c r="D1860" t="s">
        <v>41</v>
      </c>
      <c r="E1860">
        <v>2000713200</v>
      </c>
      <c r="F1860">
        <v>300</v>
      </c>
      <c r="G1860">
        <v>40</v>
      </c>
      <c r="H1860">
        <v>0</v>
      </c>
      <c r="I1860" t="s">
        <v>194</v>
      </c>
      <c r="J1860" t="s">
        <v>169</v>
      </c>
      <c r="K1860" t="s">
        <v>826</v>
      </c>
      <c r="O1860">
        <v>0</v>
      </c>
      <c r="U1860" t="s">
        <v>81</v>
      </c>
    </row>
    <row r="1861" spans="1:21" x14ac:dyDescent="0.25">
      <c r="A1861" s="33">
        <v>1863</v>
      </c>
      <c r="B1861" s="24">
        <v>44224</v>
      </c>
      <c r="C1861" t="s">
        <v>39</v>
      </c>
      <c r="D1861" t="s">
        <v>41</v>
      </c>
      <c r="E1861">
        <v>2000712702</v>
      </c>
      <c r="F1861">
        <v>2000</v>
      </c>
      <c r="G1861">
        <v>120</v>
      </c>
      <c r="H1861">
        <v>0</v>
      </c>
      <c r="I1861" t="s">
        <v>642</v>
      </c>
      <c r="J1861" t="s">
        <v>645</v>
      </c>
      <c r="K1861" t="s">
        <v>721</v>
      </c>
      <c r="O1861">
        <v>0</v>
      </c>
      <c r="U1861" t="s">
        <v>81</v>
      </c>
    </row>
    <row r="1862" spans="1:21" x14ac:dyDescent="0.25">
      <c r="A1862" s="33">
        <v>1864</v>
      </c>
      <c r="B1862" s="24">
        <v>44224</v>
      </c>
      <c r="C1862" t="s">
        <v>39</v>
      </c>
      <c r="D1862" t="s">
        <v>41</v>
      </c>
      <c r="E1862">
        <v>2000713850</v>
      </c>
      <c r="F1862">
        <v>380</v>
      </c>
      <c r="G1862">
        <v>100</v>
      </c>
      <c r="H1862">
        <v>0</v>
      </c>
      <c r="I1862" t="s">
        <v>642</v>
      </c>
      <c r="J1862" t="s">
        <v>645</v>
      </c>
      <c r="K1862" t="s">
        <v>720</v>
      </c>
      <c r="O1862">
        <v>0</v>
      </c>
      <c r="U1862" t="s">
        <v>81</v>
      </c>
    </row>
    <row r="1863" spans="1:21" x14ac:dyDescent="0.25">
      <c r="A1863" s="33">
        <v>1865</v>
      </c>
      <c r="B1863" s="24">
        <v>44224</v>
      </c>
      <c r="C1863" t="s">
        <v>39</v>
      </c>
      <c r="D1863" t="s">
        <v>41</v>
      </c>
      <c r="E1863">
        <v>2000712708</v>
      </c>
      <c r="F1863">
        <v>2470</v>
      </c>
      <c r="G1863">
        <v>30</v>
      </c>
      <c r="H1863">
        <v>0</v>
      </c>
      <c r="I1863" t="s">
        <v>642</v>
      </c>
      <c r="J1863" t="s">
        <v>645</v>
      </c>
      <c r="K1863" t="s">
        <v>790</v>
      </c>
      <c r="O1863">
        <v>0</v>
      </c>
      <c r="U1863" t="s">
        <v>81</v>
      </c>
    </row>
    <row r="1864" spans="1:21" x14ac:dyDescent="0.25">
      <c r="A1864" s="33">
        <v>1866</v>
      </c>
      <c r="B1864" s="24">
        <v>44224</v>
      </c>
      <c r="C1864" t="s">
        <v>39</v>
      </c>
      <c r="D1864" t="s">
        <v>41</v>
      </c>
      <c r="E1864">
        <v>2000712336</v>
      </c>
      <c r="F1864">
        <v>440</v>
      </c>
      <c r="G1864">
        <v>100</v>
      </c>
      <c r="H1864">
        <v>0</v>
      </c>
      <c r="I1864" t="s">
        <v>642</v>
      </c>
      <c r="J1864" t="s">
        <v>645</v>
      </c>
      <c r="K1864" t="s">
        <v>734</v>
      </c>
      <c r="O1864">
        <v>0</v>
      </c>
      <c r="U1864" t="s">
        <v>81</v>
      </c>
    </row>
    <row r="1865" spans="1:21" x14ac:dyDescent="0.25">
      <c r="A1865" s="33">
        <v>1867</v>
      </c>
      <c r="B1865" s="24">
        <v>44224</v>
      </c>
      <c r="C1865" t="s">
        <v>39</v>
      </c>
      <c r="D1865" t="s">
        <v>41</v>
      </c>
      <c r="E1865">
        <v>2000712722</v>
      </c>
      <c r="F1865">
        <v>3900</v>
      </c>
      <c r="G1865">
        <v>50</v>
      </c>
      <c r="H1865">
        <v>0</v>
      </c>
      <c r="I1865" t="s">
        <v>642</v>
      </c>
      <c r="J1865" t="s">
        <v>172</v>
      </c>
      <c r="K1865" t="s">
        <v>173</v>
      </c>
      <c r="O1865">
        <v>0</v>
      </c>
      <c r="U1865" t="s">
        <v>81</v>
      </c>
    </row>
    <row r="1866" spans="1:21" x14ac:dyDescent="0.25">
      <c r="A1866" s="33">
        <v>1868</v>
      </c>
      <c r="B1866" s="24">
        <v>44224</v>
      </c>
      <c r="C1866" t="s">
        <v>39</v>
      </c>
      <c r="D1866" t="s">
        <v>41</v>
      </c>
      <c r="E1866">
        <v>2000713490</v>
      </c>
      <c r="F1866">
        <v>850</v>
      </c>
      <c r="G1866">
        <v>40</v>
      </c>
      <c r="H1866">
        <v>0</v>
      </c>
      <c r="I1866" t="s">
        <v>168</v>
      </c>
      <c r="J1866" t="s">
        <v>174</v>
      </c>
      <c r="K1866" t="s">
        <v>805</v>
      </c>
      <c r="O1866">
        <v>0</v>
      </c>
      <c r="U1866" t="s">
        <v>81</v>
      </c>
    </row>
    <row r="1867" spans="1:21" x14ac:dyDescent="0.25">
      <c r="A1867" s="33">
        <v>1869</v>
      </c>
      <c r="B1867" s="24">
        <v>44224</v>
      </c>
      <c r="C1867" t="s">
        <v>39</v>
      </c>
      <c r="D1867" t="s">
        <v>41</v>
      </c>
      <c r="E1867">
        <v>2000713043</v>
      </c>
      <c r="F1867">
        <v>3000</v>
      </c>
      <c r="G1867">
        <v>120</v>
      </c>
      <c r="H1867">
        <v>0</v>
      </c>
      <c r="I1867" t="s">
        <v>168</v>
      </c>
      <c r="J1867" t="s">
        <v>687</v>
      </c>
      <c r="K1867" t="s">
        <v>688</v>
      </c>
      <c r="O1867">
        <v>0</v>
      </c>
      <c r="U1867" t="s">
        <v>81</v>
      </c>
    </row>
    <row r="1868" spans="1:21" x14ac:dyDescent="0.25">
      <c r="A1868" s="33">
        <v>1870</v>
      </c>
      <c r="B1868" s="24">
        <v>44224</v>
      </c>
      <c r="C1868" t="s">
        <v>39</v>
      </c>
      <c r="D1868" t="s">
        <v>41</v>
      </c>
      <c r="E1868">
        <v>2000713646</v>
      </c>
      <c r="F1868">
        <v>210</v>
      </c>
      <c r="G1868">
        <v>140</v>
      </c>
      <c r="H1868">
        <v>0</v>
      </c>
      <c r="I1868" t="s">
        <v>168</v>
      </c>
      <c r="J1868" t="s">
        <v>169</v>
      </c>
      <c r="K1868" t="s">
        <v>852</v>
      </c>
      <c r="O1868">
        <v>0</v>
      </c>
      <c r="U1868" t="s">
        <v>81</v>
      </c>
    </row>
    <row r="1869" spans="1:21" x14ac:dyDescent="0.25">
      <c r="A1869" s="33">
        <v>1871</v>
      </c>
      <c r="B1869" s="24">
        <v>44224</v>
      </c>
      <c r="C1869" t="s">
        <v>39</v>
      </c>
      <c r="D1869" t="s">
        <v>51</v>
      </c>
      <c r="E1869">
        <v>2000713664</v>
      </c>
      <c r="F1869">
        <v>350</v>
      </c>
      <c r="G1869">
        <v>80</v>
      </c>
      <c r="H1869">
        <v>1</v>
      </c>
      <c r="I1869" t="s">
        <v>168</v>
      </c>
      <c r="J1869" t="s">
        <v>669</v>
      </c>
      <c r="K1869" t="s">
        <v>670</v>
      </c>
      <c r="L1869" t="s">
        <v>128</v>
      </c>
      <c r="M1869" t="s">
        <v>946</v>
      </c>
      <c r="N1869" t="s">
        <v>947</v>
      </c>
      <c r="O1869">
        <v>1</v>
      </c>
      <c r="P1869" t="s">
        <v>948</v>
      </c>
      <c r="Q1869" t="s">
        <v>949</v>
      </c>
      <c r="R1869" t="s">
        <v>950</v>
      </c>
      <c r="S1869" s="36">
        <v>0.8125</v>
      </c>
      <c r="U1869" t="s">
        <v>81</v>
      </c>
    </row>
    <row r="1870" spans="1:21" x14ac:dyDescent="0.25">
      <c r="A1870" s="33">
        <v>1872</v>
      </c>
      <c r="B1870" s="24">
        <v>44224</v>
      </c>
      <c r="C1870" t="s">
        <v>39</v>
      </c>
      <c r="D1870" t="s">
        <v>51</v>
      </c>
      <c r="E1870">
        <v>2000712904</v>
      </c>
      <c r="F1870">
        <v>1059</v>
      </c>
      <c r="G1870">
        <v>96</v>
      </c>
      <c r="H1870">
        <v>0</v>
      </c>
      <c r="I1870" t="s">
        <v>168</v>
      </c>
      <c r="J1870" t="s">
        <v>709</v>
      </c>
      <c r="K1870" t="s">
        <v>710</v>
      </c>
      <c r="O1870">
        <v>0</v>
      </c>
      <c r="U1870" t="s">
        <v>81</v>
      </c>
    </row>
    <row r="1871" spans="1:21" x14ac:dyDescent="0.25">
      <c r="A1871" s="33">
        <v>1873</v>
      </c>
      <c r="B1871" s="24">
        <v>44224</v>
      </c>
      <c r="C1871" t="s">
        <v>39</v>
      </c>
      <c r="D1871" t="s">
        <v>51</v>
      </c>
      <c r="E1871">
        <v>2000713663</v>
      </c>
      <c r="F1871">
        <v>25</v>
      </c>
      <c r="G1871">
        <v>24</v>
      </c>
      <c r="H1871">
        <v>0</v>
      </c>
      <c r="I1871" t="s">
        <v>168</v>
      </c>
      <c r="J1871" t="s">
        <v>673</v>
      </c>
      <c r="K1871" t="s">
        <v>951</v>
      </c>
      <c r="O1871">
        <v>0</v>
      </c>
      <c r="U1871" t="s">
        <v>81</v>
      </c>
    </row>
    <row r="1872" spans="1:21" x14ac:dyDescent="0.25">
      <c r="A1872" s="33">
        <v>1874</v>
      </c>
      <c r="B1872" s="24">
        <v>44224</v>
      </c>
      <c r="C1872" t="s">
        <v>39</v>
      </c>
      <c r="D1872" t="s">
        <v>51</v>
      </c>
      <c r="E1872">
        <v>2000712901</v>
      </c>
      <c r="F1872">
        <v>380</v>
      </c>
      <c r="G1872">
        <v>30</v>
      </c>
      <c r="H1872">
        <v>0</v>
      </c>
      <c r="I1872" t="s">
        <v>168</v>
      </c>
      <c r="J1872" t="s">
        <v>669</v>
      </c>
      <c r="K1872" t="s">
        <v>802</v>
      </c>
      <c r="O1872">
        <v>0</v>
      </c>
      <c r="U1872" t="s">
        <v>81</v>
      </c>
    </row>
    <row r="1873" spans="1:21" x14ac:dyDescent="0.25">
      <c r="A1873" s="33">
        <v>1875</v>
      </c>
      <c r="B1873" s="24">
        <v>44224</v>
      </c>
      <c r="C1873" t="s">
        <v>39</v>
      </c>
      <c r="D1873" t="s">
        <v>51</v>
      </c>
      <c r="E1873">
        <v>2000713067</v>
      </c>
      <c r="F1873">
        <v>900</v>
      </c>
      <c r="G1873">
        <v>70</v>
      </c>
      <c r="H1873">
        <v>0</v>
      </c>
      <c r="I1873" t="s">
        <v>168</v>
      </c>
      <c r="J1873" t="s">
        <v>667</v>
      </c>
      <c r="K1873" t="s">
        <v>671</v>
      </c>
      <c r="O1873">
        <v>0</v>
      </c>
      <c r="U1873" t="s">
        <v>81</v>
      </c>
    </row>
    <row r="1874" spans="1:21" x14ac:dyDescent="0.25">
      <c r="A1874" s="33">
        <v>1876</v>
      </c>
      <c r="B1874" s="24">
        <v>44224</v>
      </c>
      <c r="C1874" t="s">
        <v>39</v>
      </c>
      <c r="D1874" t="s">
        <v>51</v>
      </c>
      <c r="E1874">
        <v>2000713201</v>
      </c>
      <c r="F1874">
        <v>350</v>
      </c>
      <c r="G1874">
        <v>20</v>
      </c>
      <c r="H1874">
        <v>0</v>
      </c>
      <c r="I1874" t="s">
        <v>178</v>
      </c>
      <c r="J1874" t="s">
        <v>669</v>
      </c>
      <c r="K1874" t="s">
        <v>810</v>
      </c>
      <c r="O1874">
        <v>0</v>
      </c>
      <c r="U1874" t="s">
        <v>81</v>
      </c>
    </row>
    <row r="1875" spans="1:21" x14ac:dyDescent="0.25">
      <c r="A1875" s="33">
        <v>1877</v>
      </c>
      <c r="B1875" s="24">
        <v>44224</v>
      </c>
      <c r="C1875" t="s">
        <v>39</v>
      </c>
      <c r="D1875" t="s">
        <v>51</v>
      </c>
      <c r="E1875">
        <v>2000713376</v>
      </c>
      <c r="F1875">
        <v>476</v>
      </c>
      <c r="G1875">
        <v>267</v>
      </c>
      <c r="H1875">
        <v>0</v>
      </c>
      <c r="I1875" t="s">
        <v>178</v>
      </c>
      <c r="J1875" t="s">
        <v>669</v>
      </c>
      <c r="K1875" t="s">
        <v>707</v>
      </c>
      <c r="O1875">
        <v>0</v>
      </c>
      <c r="U1875" t="s">
        <v>81</v>
      </c>
    </row>
    <row r="1876" spans="1:21" x14ac:dyDescent="0.25">
      <c r="A1876" s="33">
        <v>1878</v>
      </c>
      <c r="B1876" s="24">
        <v>44224</v>
      </c>
      <c r="C1876" t="s">
        <v>39</v>
      </c>
      <c r="D1876" t="s">
        <v>51</v>
      </c>
      <c r="E1876">
        <v>2000712904</v>
      </c>
      <c r="F1876">
        <v>1059</v>
      </c>
      <c r="G1876">
        <v>96</v>
      </c>
      <c r="H1876">
        <v>0</v>
      </c>
      <c r="I1876" t="s">
        <v>178</v>
      </c>
      <c r="J1876" t="s">
        <v>709</v>
      </c>
      <c r="K1876" t="s">
        <v>710</v>
      </c>
      <c r="O1876">
        <v>0</v>
      </c>
      <c r="U1876" t="s">
        <v>81</v>
      </c>
    </row>
    <row r="1877" spans="1:21" x14ac:dyDescent="0.25">
      <c r="A1877" s="33">
        <v>1879</v>
      </c>
      <c r="B1877" s="24">
        <v>44224</v>
      </c>
      <c r="C1877" t="s">
        <v>39</v>
      </c>
      <c r="D1877" t="s">
        <v>51</v>
      </c>
      <c r="E1877">
        <v>2000714123</v>
      </c>
      <c r="F1877">
        <v>585</v>
      </c>
      <c r="G1877">
        <v>96</v>
      </c>
      <c r="H1877">
        <v>0</v>
      </c>
      <c r="I1877" t="s">
        <v>178</v>
      </c>
      <c r="J1877" t="s">
        <v>709</v>
      </c>
      <c r="K1877" t="s">
        <v>710</v>
      </c>
      <c r="O1877">
        <v>0</v>
      </c>
      <c r="U1877" t="s">
        <v>81</v>
      </c>
    </row>
    <row r="1878" spans="1:21" x14ac:dyDescent="0.25">
      <c r="A1878" s="33">
        <v>1880</v>
      </c>
      <c r="B1878" s="24">
        <v>44224</v>
      </c>
      <c r="C1878" t="s">
        <v>181</v>
      </c>
      <c r="D1878" t="s">
        <v>41</v>
      </c>
      <c r="E1878">
        <v>2000713789</v>
      </c>
      <c r="F1878">
        <v>680</v>
      </c>
      <c r="G1878">
        <v>400</v>
      </c>
      <c r="H1878">
        <v>0</v>
      </c>
      <c r="I1878" t="s">
        <v>696</v>
      </c>
      <c r="J1878" t="s">
        <v>174</v>
      </c>
      <c r="K1878" t="s">
        <v>763</v>
      </c>
      <c r="O1878">
        <v>0</v>
      </c>
      <c r="U1878" t="s">
        <v>81</v>
      </c>
    </row>
    <row r="1879" spans="1:21" x14ac:dyDescent="0.25">
      <c r="A1879" s="33">
        <v>1881</v>
      </c>
      <c r="B1879" s="24">
        <v>44224</v>
      </c>
      <c r="C1879" t="s">
        <v>181</v>
      </c>
      <c r="D1879" t="s">
        <v>41</v>
      </c>
      <c r="E1879">
        <v>2000713489</v>
      </c>
      <c r="F1879">
        <v>2336</v>
      </c>
      <c r="G1879">
        <v>90</v>
      </c>
      <c r="H1879">
        <v>0</v>
      </c>
      <c r="I1879" t="s">
        <v>696</v>
      </c>
      <c r="J1879" t="s">
        <v>170</v>
      </c>
      <c r="K1879" t="s">
        <v>899</v>
      </c>
      <c r="O1879">
        <v>0</v>
      </c>
      <c r="U1879" t="s">
        <v>81</v>
      </c>
    </row>
    <row r="1880" spans="1:21" x14ac:dyDescent="0.25">
      <c r="A1880" s="33">
        <v>1882</v>
      </c>
      <c r="B1880" s="24">
        <v>44224</v>
      </c>
      <c r="C1880" t="s">
        <v>181</v>
      </c>
      <c r="D1880" t="s">
        <v>41</v>
      </c>
      <c r="E1880">
        <v>2000713489</v>
      </c>
      <c r="F1880">
        <v>2336</v>
      </c>
      <c r="G1880">
        <v>470</v>
      </c>
      <c r="H1880">
        <v>0</v>
      </c>
      <c r="I1880" t="s">
        <v>183</v>
      </c>
      <c r="J1880" t="s">
        <v>170</v>
      </c>
      <c r="K1880" t="s">
        <v>899</v>
      </c>
      <c r="O1880">
        <v>0</v>
      </c>
      <c r="U1880" t="s">
        <v>81</v>
      </c>
    </row>
    <row r="1881" spans="1:21" x14ac:dyDescent="0.25">
      <c r="A1881" s="33">
        <v>1883</v>
      </c>
      <c r="B1881" s="24">
        <v>44224</v>
      </c>
      <c r="C1881" t="s">
        <v>181</v>
      </c>
      <c r="D1881" t="s">
        <v>41</v>
      </c>
      <c r="E1881">
        <v>2000713200</v>
      </c>
      <c r="F1881">
        <v>300</v>
      </c>
      <c r="G1881">
        <v>97</v>
      </c>
      <c r="H1881">
        <v>0</v>
      </c>
      <c r="I1881" t="s">
        <v>183</v>
      </c>
      <c r="J1881" t="s">
        <v>169</v>
      </c>
      <c r="K1881" t="s">
        <v>826</v>
      </c>
      <c r="O1881">
        <v>0</v>
      </c>
      <c r="U1881" t="s">
        <v>81</v>
      </c>
    </row>
    <row r="1882" spans="1:21" x14ac:dyDescent="0.25">
      <c r="A1882" s="33">
        <v>1884</v>
      </c>
      <c r="B1882" s="24">
        <v>44224</v>
      </c>
      <c r="C1882" t="s">
        <v>181</v>
      </c>
      <c r="D1882" t="s">
        <v>41</v>
      </c>
      <c r="E1882">
        <v>2000713488</v>
      </c>
      <c r="F1882">
        <v>1040</v>
      </c>
      <c r="G1882">
        <v>135</v>
      </c>
      <c r="H1882">
        <v>0</v>
      </c>
      <c r="I1882" t="s">
        <v>183</v>
      </c>
      <c r="J1882" t="s">
        <v>698</v>
      </c>
      <c r="K1882" t="s">
        <v>699</v>
      </c>
      <c r="O1882">
        <v>0</v>
      </c>
      <c r="U1882" t="s">
        <v>81</v>
      </c>
    </row>
    <row r="1883" spans="1:21" x14ac:dyDescent="0.25">
      <c r="A1883" s="33">
        <v>1885</v>
      </c>
      <c r="B1883" s="24">
        <v>44224</v>
      </c>
      <c r="C1883" t="s">
        <v>181</v>
      </c>
      <c r="D1883" t="s">
        <v>41</v>
      </c>
      <c r="E1883">
        <v>2000713489</v>
      </c>
      <c r="F1883">
        <v>2336</v>
      </c>
      <c r="G1883">
        <v>135</v>
      </c>
      <c r="H1883">
        <v>0</v>
      </c>
      <c r="I1883" t="s">
        <v>759</v>
      </c>
      <c r="J1883" t="s">
        <v>170</v>
      </c>
      <c r="K1883" t="s">
        <v>899</v>
      </c>
      <c r="O1883">
        <v>0</v>
      </c>
      <c r="U1883" t="s">
        <v>81</v>
      </c>
    </row>
    <row r="1884" spans="1:21" x14ac:dyDescent="0.25">
      <c r="A1884" s="33">
        <v>1886</v>
      </c>
      <c r="B1884" s="24">
        <v>44224</v>
      </c>
      <c r="C1884" t="s">
        <v>181</v>
      </c>
      <c r="D1884" t="s">
        <v>41</v>
      </c>
      <c r="E1884">
        <v>2000713945</v>
      </c>
      <c r="F1884">
        <v>8</v>
      </c>
      <c r="G1884">
        <v>8</v>
      </c>
      <c r="H1884">
        <v>0</v>
      </c>
      <c r="I1884" t="s">
        <v>198</v>
      </c>
      <c r="J1884" t="s">
        <v>215</v>
      </c>
      <c r="K1884" t="s">
        <v>837</v>
      </c>
      <c r="O1884">
        <v>0</v>
      </c>
      <c r="U1884" t="s">
        <v>83</v>
      </c>
    </row>
    <row r="1885" spans="1:21" x14ac:dyDescent="0.25">
      <c r="A1885" s="33">
        <v>1887</v>
      </c>
      <c r="B1885" s="24">
        <v>44224</v>
      </c>
      <c r="C1885" t="s">
        <v>181</v>
      </c>
      <c r="D1885" t="s">
        <v>41</v>
      </c>
      <c r="E1885">
        <v>2000713200</v>
      </c>
      <c r="F1885">
        <v>300</v>
      </c>
      <c r="G1885">
        <v>120</v>
      </c>
      <c r="H1885">
        <v>0</v>
      </c>
      <c r="I1885" t="s">
        <v>198</v>
      </c>
      <c r="J1885" t="s">
        <v>169</v>
      </c>
      <c r="K1885" t="s">
        <v>826</v>
      </c>
      <c r="O1885">
        <v>0</v>
      </c>
      <c r="U1885" t="s">
        <v>81</v>
      </c>
    </row>
    <row r="1886" spans="1:21" ht="30" x14ac:dyDescent="0.25">
      <c r="A1886" s="33">
        <v>1888</v>
      </c>
      <c r="B1886" s="24">
        <v>44224</v>
      </c>
      <c r="C1886" t="s">
        <v>181</v>
      </c>
      <c r="D1886" t="s">
        <v>41</v>
      </c>
      <c r="E1886">
        <v>2000712201</v>
      </c>
      <c r="F1886">
        <v>490</v>
      </c>
      <c r="G1886">
        <v>190</v>
      </c>
      <c r="H1886">
        <v>0</v>
      </c>
      <c r="I1886" t="s">
        <v>198</v>
      </c>
      <c r="J1886" t="s">
        <v>203</v>
      </c>
      <c r="K1886" t="s">
        <v>891</v>
      </c>
      <c r="O1886">
        <v>0</v>
      </c>
      <c r="T1886" s="62" t="s">
        <v>723</v>
      </c>
      <c r="U1886" t="s">
        <v>81</v>
      </c>
    </row>
    <row r="1887" spans="1:21" x14ac:dyDescent="0.25">
      <c r="A1887" s="33">
        <v>1889</v>
      </c>
      <c r="B1887" s="24">
        <v>44224</v>
      </c>
      <c r="C1887" t="s">
        <v>181</v>
      </c>
      <c r="D1887" t="s">
        <v>41</v>
      </c>
      <c r="E1887">
        <v>2000713488</v>
      </c>
      <c r="F1887">
        <v>1040</v>
      </c>
      <c r="G1887">
        <v>45</v>
      </c>
      <c r="H1887">
        <v>0</v>
      </c>
      <c r="I1887" t="s">
        <v>693</v>
      </c>
      <c r="J1887" t="s">
        <v>698</v>
      </c>
      <c r="K1887" t="s">
        <v>699</v>
      </c>
      <c r="O1887">
        <v>0</v>
      </c>
      <c r="U1887" t="s">
        <v>81</v>
      </c>
    </row>
    <row r="1888" spans="1:21" x14ac:dyDescent="0.25">
      <c r="A1888" s="33">
        <v>1890</v>
      </c>
      <c r="B1888" s="24">
        <v>44224</v>
      </c>
      <c r="C1888" t="s">
        <v>181</v>
      </c>
      <c r="D1888" t="s">
        <v>41</v>
      </c>
      <c r="E1888">
        <v>2000713489</v>
      </c>
      <c r="F1888">
        <v>2336</v>
      </c>
      <c r="G1888">
        <v>270</v>
      </c>
      <c r="H1888">
        <v>0</v>
      </c>
      <c r="I1888" t="s">
        <v>693</v>
      </c>
      <c r="J1888" t="s">
        <v>170</v>
      </c>
      <c r="K1888" t="s">
        <v>899</v>
      </c>
      <c r="O1888">
        <v>0</v>
      </c>
      <c r="U1888" t="s">
        <v>81</v>
      </c>
    </row>
    <row r="1889" spans="1:21" x14ac:dyDescent="0.25">
      <c r="A1889" s="33">
        <v>1891</v>
      </c>
      <c r="B1889" s="24">
        <v>44224</v>
      </c>
      <c r="C1889" t="s">
        <v>181</v>
      </c>
      <c r="D1889" t="s">
        <v>41</v>
      </c>
      <c r="E1889">
        <v>2000713551</v>
      </c>
      <c r="F1889">
        <v>206</v>
      </c>
      <c r="G1889">
        <v>15</v>
      </c>
      <c r="H1889">
        <v>0</v>
      </c>
      <c r="I1889" t="s">
        <v>184</v>
      </c>
      <c r="J1889" t="s">
        <v>745</v>
      </c>
      <c r="K1889" t="s">
        <v>836</v>
      </c>
      <c r="O1889">
        <v>0</v>
      </c>
      <c r="U1889" t="s">
        <v>81</v>
      </c>
    </row>
    <row r="1890" spans="1:21" x14ac:dyDescent="0.25">
      <c r="A1890" s="33">
        <v>1892</v>
      </c>
      <c r="B1890" s="24">
        <v>44224</v>
      </c>
      <c r="C1890" t="s">
        <v>181</v>
      </c>
      <c r="D1890" t="s">
        <v>41</v>
      </c>
      <c r="E1890">
        <v>2000713489</v>
      </c>
      <c r="F1890">
        <v>2336</v>
      </c>
      <c r="G1890">
        <v>135</v>
      </c>
      <c r="H1890">
        <v>0</v>
      </c>
      <c r="I1890" t="s">
        <v>184</v>
      </c>
      <c r="J1890" t="s">
        <v>170</v>
      </c>
      <c r="K1890" t="s">
        <v>899</v>
      </c>
      <c r="O1890">
        <v>0</v>
      </c>
      <c r="U1890" t="s">
        <v>81</v>
      </c>
    </row>
    <row r="1891" spans="1:21" x14ac:dyDescent="0.25">
      <c r="A1891" s="33">
        <v>1893</v>
      </c>
      <c r="B1891" s="24">
        <v>44224</v>
      </c>
      <c r="C1891" t="s">
        <v>181</v>
      </c>
      <c r="D1891" t="s">
        <v>41</v>
      </c>
      <c r="E1891">
        <v>2000711721</v>
      </c>
      <c r="F1891">
        <v>420</v>
      </c>
      <c r="G1891">
        <v>34</v>
      </c>
      <c r="H1891">
        <v>0</v>
      </c>
      <c r="I1891" t="s">
        <v>184</v>
      </c>
      <c r="J1891" t="s">
        <v>203</v>
      </c>
      <c r="K1891" t="s">
        <v>793</v>
      </c>
      <c r="O1891">
        <v>0</v>
      </c>
      <c r="U1891" t="s">
        <v>81</v>
      </c>
    </row>
    <row r="1892" spans="1:21" x14ac:dyDescent="0.25">
      <c r="A1892" s="33">
        <v>1894</v>
      </c>
      <c r="B1892" s="24">
        <v>44224</v>
      </c>
      <c r="C1892" t="s">
        <v>181</v>
      </c>
      <c r="D1892" t="s">
        <v>41</v>
      </c>
      <c r="E1892">
        <v>2000713488</v>
      </c>
      <c r="F1892">
        <v>1040</v>
      </c>
      <c r="G1892">
        <v>86</v>
      </c>
      <c r="H1892">
        <v>1</v>
      </c>
      <c r="I1892" t="s">
        <v>184</v>
      </c>
      <c r="J1892" t="s">
        <v>698</v>
      </c>
      <c r="K1892" t="s">
        <v>699</v>
      </c>
      <c r="L1892" t="s">
        <v>141</v>
      </c>
      <c r="M1892" t="s">
        <v>952</v>
      </c>
      <c r="N1892" t="s">
        <v>953</v>
      </c>
      <c r="O1892">
        <v>1</v>
      </c>
      <c r="P1892" t="s">
        <v>954</v>
      </c>
      <c r="Q1892" t="s">
        <v>955</v>
      </c>
      <c r="R1892">
        <v>6300509446</v>
      </c>
      <c r="S1892" s="36">
        <v>0.125</v>
      </c>
      <c r="U1892" t="s">
        <v>81</v>
      </c>
    </row>
    <row r="1893" spans="1:21" x14ac:dyDescent="0.25">
      <c r="A1893" s="33">
        <v>1895</v>
      </c>
      <c r="B1893" s="24">
        <v>44224</v>
      </c>
      <c r="C1893" t="s">
        <v>181</v>
      </c>
      <c r="D1893" t="s">
        <v>41</v>
      </c>
      <c r="E1893">
        <v>2000712201</v>
      </c>
      <c r="F1893">
        <v>490</v>
      </c>
      <c r="G1893">
        <v>2</v>
      </c>
      <c r="H1893">
        <v>0</v>
      </c>
      <c r="I1893" t="s">
        <v>184</v>
      </c>
      <c r="J1893" t="s">
        <v>203</v>
      </c>
      <c r="K1893" t="s">
        <v>891</v>
      </c>
      <c r="O1893">
        <v>0</v>
      </c>
      <c r="U1893" t="s">
        <v>81</v>
      </c>
    </row>
    <row r="1894" spans="1:21" x14ac:dyDescent="0.25">
      <c r="A1894" s="33">
        <v>1896</v>
      </c>
      <c r="B1894" s="24">
        <v>44224</v>
      </c>
      <c r="C1894" t="s">
        <v>181</v>
      </c>
      <c r="D1894" t="s">
        <v>41</v>
      </c>
      <c r="E1894">
        <v>2000713524</v>
      </c>
      <c r="F1894">
        <v>3996</v>
      </c>
      <c r="G1894">
        <v>200</v>
      </c>
      <c r="H1894">
        <v>0</v>
      </c>
      <c r="I1894" t="s">
        <v>680</v>
      </c>
      <c r="J1894" t="s">
        <v>172</v>
      </c>
      <c r="K1894" t="s">
        <v>729</v>
      </c>
      <c r="O1894">
        <v>0</v>
      </c>
      <c r="U1894" t="s">
        <v>81</v>
      </c>
    </row>
    <row r="1895" spans="1:21" x14ac:dyDescent="0.25">
      <c r="A1895" s="33">
        <v>1897</v>
      </c>
      <c r="B1895" s="24">
        <v>44224</v>
      </c>
      <c r="C1895" t="s">
        <v>181</v>
      </c>
      <c r="D1895" t="s">
        <v>41</v>
      </c>
      <c r="E1895">
        <v>2000712701</v>
      </c>
      <c r="F1895">
        <v>2000</v>
      </c>
      <c r="G1895">
        <v>300</v>
      </c>
      <c r="H1895">
        <v>0</v>
      </c>
      <c r="I1895" t="s">
        <v>680</v>
      </c>
      <c r="J1895" t="s">
        <v>645</v>
      </c>
      <c r="K1895" t="s">
        <v>658</v>
      </c>
      <c r="O1895">
        <v>0</v>
      </c>
      <c r="U1895" t="s">
        <v>81</v>
      </c>
    </row>
    <row r="1896" spans="1:21" x14ac:dyDescent="0.25">
      <c r="A1896" s="33">
        <v>1898</v>
      </c>
      <c r="B1896" s="24">
        <v>44224</v>
      </c>
      <c r="C1896" t="s">
        <v>181</v>
      </c>
      <c r="D1896" t="s">
        <v>41</v>
      </c>
      <c r="E1896">
        <v>2000713146</v>
      </c>
      <c r="F1896">
        <v>2000</v>
      </c>
      <c r="G1896">
        <v>200</v>
      </c>
      <c r="H1896">
        <v>0</v>
      </c>
      <c r="I1896" t="s">
        <v>680</v>
      </c>
      <c r="J1896" t="s">
        <v>193</v>
      </c>
      <c r="K1896" t="s">
        <v>650</v>
      </c>
      <c r="O1896">
        <v>0</v>
      </c>
      <c r="U1896" t="s">
        <v>81</v>
      </c>
    </row>
    <row r="1897" spans="1:21" x14ac:dyDescent="0.25">
      <c r="A1897" s="33">
        <v>1899</v>
      </c>
      <c r="B1897" s="24">
        <v>44224</v>
      </c>
      <c r="C1897" t="s">
        <v>181</v>
      </c>
      <c r="D1897" t="s">
        <v>41</v>
      </c>
      <c r="E1897">
        <v>2000712819</v>
      </c>
      <c r="F1897">
        <v>600</v>
      </c>
      <c r="G1897">
        <v>250</v>
      </c>
      <c r="H1897">
        <v>0</v>
      </c>
      <c r="I1897" t="s">
        <v>680</v>
      </c>
      <c r="J1897" t="s">
        <v>169</v>
      </c>
      <c r="K1897" t="s">
        <v>847</v>
      </c>
      <c r="O1897">
        <v>0</v>
      </c>
      <c r="U1897" t="s">
        <v>81</v>
      </c>
    </row>
    <row r="1898" spans="1:21" x14ac:dyDescent="0.25">
      <c r="A1898" s="33">
        <v>1900</v>
      </c>
      <c r="B1898" s="24">
        <v>44224</v>
      </c>
      <c r="C1898" t="s">
        <v>181</v>
      </c>
      <c r="D1898" t="s">
        <v>41</v>
      </c>
      <c r="E1898">
        <v>2000712708</v>
      </c>
      <c r="F1898">
        <v>2470</v>
      </c>
      <c r="G1898">
        <v>50</v>
      </c>
      <c r="H1898">
        <v>0</v>
      </c>
      <c r="I1898" t="s">
        <v>185</v>
      </c>
      <c r="J1898" t="s">
        <v>645</v>
      </c>
      <c r="K1898" t="s">
        <v>790</v>
      </c>
      <c r="O1898">
        <v>0</v>
      </c>
      <c r="U1898" t="s">
        <v>81</v>
      </c>
    </row>
    <row r="1899" spans="1:21" x14ac:dyDescent="0.25">
      <c r="A1899" s="33">
        <v>1901</v>
      </c>
      <c r="B1899" s="24">
        <v>44224</v>
      </c>
      <c r="C1899" t="s">
        <v>181</v>
      </c>
      <c r="D1899" t="s">
        <v>41</v>
      </c>
      <c r="E1899">
        <v>2000713287</v>
      </c>
      <c r="F1899">
        <v>960</v>
      </c>
      <c r="G1899">
        <v>30</v>
      </c>
      <c r="H1899">
        <v>0</v>
      </c>
      <c r="I1899" t="s">
        <v>185</v>
      </c>
      <c r="J1899" t="s">
        <v>169</v>
      </c>
      <c r="K1899" t="s">
        <v>637</v>
      </c>
      <c r="O1899">
        <v>0</v>
      </c>
      <c r="U1899" t="s">
        <v>81</v>
      </c>
    </row>
    <row r="1900" spans="1:21" x14ac:dyDescent="0.25">
      <c r="A1900" s="33">
        <v>1902</v>
      </c>
      <c r="B1900" s="24">
        <v>44224</v>
      </c>
      <c r="C1900" t="s">
        <v>181</v>
      </c>
      <c r="D1900" t="s">
        <v>41</v>
      </c>
      <c r="E1900">
        <v>2000713285</v>
      </c>
      <c r="F1900">
        <v>300</v>
      </c>
      <c r="G1900">
        <v>90</v>
      </c>
      <c r="H1900">
        <v>0</v>
      </c>
      <c r="I1900" t="s">
        <v>185</v>
      </c>
      <c r="J1900" t="s">
        <v>174</v>
      </c>
      <c r="K1900" t="s">
        <v>776</v>
      </c>
      <c r="O1900">
        <v>0</v>
      </c>
      <c r="T1900" s="62"/>
      <c r="U1900" t="s">
        <v>81</v>
      </c>
    </row>
    <row r="1901" spans="1:21" x14ac:dyDescent="0.25">
      <c r="A1901" s="33">
        <v>1903</v>
      </c>
      <c r="B1901" s="24">
        <v>44224</v>
      </c>
      <c r="C1901" t="s">
        <v>181</v>
      </c>
      <c r="D1901" t="s">
        <v>41</v>
      </c>
      <c r="E1901">
        <v>2000713380</v>
      </c>
      <c r="F1901">
        <v>2000</v>
      </c>
      <c r="G1901">
        <v>30</v>
      </c>
      <c r="H1901">
        <v>0</v>
      </c>
      <c r="I1901" t="s">
        <v>185</v>
      </c>
      <c r="J1901" t="s">
        <v>169</v>
      </c>
      <c r="K1901" t="s">
        <v>179</v>
      </c>
      <c r="O1901">
        <v>0</v>
      </c>
      <c r="U1901" t="s">
        <v>81</v>
      </c>
    </row>
    <row r="1902" spans="1:21" x14ac:dyDescent="0.25">
      <c r="A1902" s="33">
        <v>1904</v>
      </c>
      <c r="B1902" s="24">
        <v>44224</v>
      </c>
      <c r="C1902" t="s">
        <v>181</v>
      </c>
      <c r="D1902" t="s">
        <v>41</v>
      </c>
      <c r="E1902">
        <v>2000713645</v>
      </c>
      <c r="F1902">
        <v>1590</v>
      </c>
      <c r="G1902">
        <v>60</v>
      </c>
      <c r="H1902">
        <v>0</v>
      </c>
      <c r="I1902" t="s">
        <v>185</v>
      </c>
      <c r="J1902" t="s">
        <v>169</v>
      </c>
      <c r="K1902" t="s">
        <v>190</v>
      </c>
      <c r="O1902">
        <v>0</v>
      </c>
      <c r="U1902" t="s">
        <v>81</v>
      </c>
    </row>
    <row r="1903" spans="1:21" x14ac:dyDescent="0.25">
      <c r="A1903" s="33">
        <v>1905</v>
      </c>
      <c r="B1903" s="24">
        <v>44224</v>
      </c>
      <c r="C1903" t="s">
        <v>181</v>
      </c>
      <c r="D1903" t="s">
        <v>41</v>
      </c>
      <c r="E1903">
        <v>2000713625</v>
      </c>
      <c r="F1903">
        <v>1460</v>
      </c>
      <c r="G1903">
        <v>80</v>
      </c>
      <c r="H1903">
        <v>0</v>
      </c>
      <c r="I1903" t="s">
        <v>185</v>
      </c>
      <c r="J1903" t="s">
        <v>645</v>
      </c>
      <c r="K1903" t="s">
        <v>649</v>
      </c>
      <c r="O1903">
        <v>0</v>
      </c>
      <c r="U1903" t="s">
        <v>81</v>
      </c>
    </row>
    <row r="1904" spans="1:21" x14ac:dyDescent="0.25">
      <c r="A1904" s="33">
        <v>1906</v>
      </c>
      <c r="B1904" s="24">
        <v>44224</v>
      </c>
      <c r="C1904" t="s">
        <v>181</v>
      </c>
      <c r="D1904" t="s">
        <v>51</v>
      </c>
      <c r="E1904">
        <v>2000713479</v>
      </c>
      <c r="F1904">
        <v>900</v>
      </c>
      <c r="G1904">
        <v>190</v>
      </c>
      <c r="H1904">
        <v>0</v>
      </c>
      <c r="I1904" t="s">
        <v>184</v>
      </c>
      <c r="J1904" t="s">
        <v>669</v>
      </c>
      <c r="K1904" t="s">
        <v>707</v>
      </c>
      <c r="O1904">
        <v>0</v>
      </c>
      <c r="U1904" t="s">
        <v>81</v>
      </c>
    </row>
    <row r="1905" spans="1:21" x14ac:dyDescent="0.25">
      <c r="A1905" s="33">
        <v>1907</v>
      </c>
      <c r="B1905" s="24">
        <v>44224</v>
      </c>
      <c r="C1905" t="s">
        <v>181</v>
      </c>
      <c r="D1905" t="s">
        <v>51</v>
      </c>
      <c r="E1905">
        <v>2000713663</v>
      </c>
      <c r="F1905">
        <v>25</v>
      </c>
      <c r="G1905">
        <v>24</v>
      </c>
      <c r="H1905">
        <v>0</v>
      </c>
      <c r="I1905" t="s">
        <v>706</v>
      </c>
      <c r="J1905" t="s">
        <v>673</v>
      </c>
      <c r="K1905" t="s">
        <v>951</v>
      </c>
      <c r="O1905">
        <v>0</v>
      </c>
      <c r="U1905" t="s">
        <v>83</v>
      </c>
    </row>
    <row r="1906" spans="1:21" x14ac:dyDescent="0.25">
      <c r="A1906" s="33">
        <v>1908</v>
      </c>
      <c r="B1906" s="24">
        <v>44224</v>
      </c>
      <c r="C1906" t="s">
        <v>181</v>
      </c>
      <c r="D1906" t="s">
        <v>51</v>
      </c>
      <c r="E1906">
        <v>2000713470</v>
      </c>
      <c r="F1906">
        <v>500</v>
      </c>
      <c r="G1906">
        <v>100</v>
      </c>
      <c r="H1906">
        <v>0</v>
      </c>
      <c r="I1906" t="s">
        <v>706</v>
      </c>
      <c r="J1906" t="s">
        <v>673</v>
      </c>
      <c r="K1906" t="s">
        <v>760</v>
      </c>
      <c r="O1906">
        <v>0</v>
      </c>
      <c r="U1906" t="s">
        <v>81</v>
      </c>
    </row>
    <row r="1907" spans="1:21" x14ac:dyDescent="0.25">
      <c r="A1907" s="33">
        <v>1909</v>
      </c>
      <c r="B1907" s="24">
        <v>44224</v>
      </c>
      <c r="C1907" t="s">
        <v>181</v>
      </c>
      <c r="D1907" t="s">
        <v>51</v>
      </c>
      <c r="E1907">
        <v>2000713201</v>
      </c>
      <c r="F1907">
        <v>350</v>
      </c>
      <c r="G1907">
        <v>10</v>
      </c>
      <c r="H1907">
        <v>0</v>
      </c>
      <c r="I1907" t="s">
        <v>706</v>
      </c>
      <c r="J1907" t="s">
        <v>669</v>
      </c>
      <c r="K1907" t="s">
        <v>810</v>
      </c>
      <c r="O1907">
        <v>0</v>
      </c>
      <c r="U1907" t="s">
        <v>81</v>
      </c>
    </row>
    <row r="1908" spans="1:21" x14ac:dyDescent="0.25">
      <c r="A1908" s="33">
        <v>1910</v>
      </c>
      <c r="B1908" s="24">
        <v>44224</v>
      </c>
      <c r="C1908" t="s">
        <v>181</v>
      </c>
      <c r="D1908" t="s">
        <v>51</v>
      </c>
      <c r="E1908">
        <v>2000713664</v>
      </c>
      <c r="F1908">
        <v>350</v>
      </c>
      <c r="G1908">
        <v>220</v>
      </c>
      <c r="H1908">
        <v>0</v>
      </c>
      <c r="I1908" t="s">
        <v>706</v>
      </c>
      <c r="J1908" t="s">
        <v>669</v>
      </c>
      <c r="K1908" t="s">
        <v>670</v>
      </c>
      <c r="O1908">
        <v>0</v>
      </c>
      <c r="U1908" t="s">
        <v>81</v>
      </c>
    </row>
    <row r="1909" spans="1:21" x14ac:dyDescent="0.25">
      <c r="A1909" s="33">
        <v>1911</v>
      </c>
      <c r="B1909" s="24">
        <v>44224</v>
      </c>
      <c r="C1909" t="s">
        <v>181</v>
      </c>
      <c r="D1909" t="s">
        <v>51</v>
      </c>
      <c r="E1909">
        <v>2000713479</v>
      </c>
      <c r="F1909">
        <v>900</v>
      </c>
      <c r="G1909">
        <v>300</v>
      </c>
      <c r="H1909">
        <v>0</v>
      </c>
      <c r="I1909" t="s">
        <v>706</v>
      </c>
      <c r="J1909" t="s">
        <v>669</v>
      </c>
      <c r="K1909" t="s">
        <v>707</v>
      </c>
      <c r="O1909">
        <v>0</v>
      </c>
      <c r="U1909" t="s">
        <v>81</v>
      </c>
    </row>
    <row r="1910" spans="1:21" x14ac:dyDescent="0.25">
      <c r="A1910" s="33">
        <v>1912</v>
      </c>
      <c r="B1910" s="24">
        <v>44224</v>
      </c>
      <c r="C1910" t="s">
        <v>181</v>
      </c>
      <c r="D1910" t="s">
        <v>51</v>
      </c>
      <c r="E1910">
        <v>2000714147</v>
      </c>
      <c r="F1910">
        <v>360</v>
      </c>
      <c r="G1910">
        <v>360</v>
      </c>
      <c r="H1910">
        <v>0</v>
      </c>
      <c r="I1910" t="s">
        <v>706</v>
      </c>
      <c r="J1910" t="s">
        <v>770</v>
      </c>
      <c r="K1910" t="s">
        <v>771</v>
      </c>
      <c r="O1910">
        <v>0</v>
      </c>
      <c r="U1910" t="s">
        <v>81</v>
      </c>
    </row>
    <row r="1911" spans="1:21" x14ac:dyDescent="0.25">
      <c r="A1911" s="33">
        <v>1913</v>
      </c>
      <c r="B1911" s="24">
        <v>44224</v>
      </c>
      <c r="C1911" t="s">
        <v>181</v>
      </c>
      <c r="D1911" t="s">
        <v>51</v>
      </c>
      <c r="E1911">
        <v>2000714148</v>
      </c>
      <c r="F1911">
        <v>270</v>
      </c>
      <c r="G1911">
        <v>180</v>
      </c>
      <c r="H1911">
        <v>0</v>
      </c>
      <c r="I1911" t="s">
        <v>706</v>
      </c>
      <c r="J1911" t="s">
        <v>770</v>
      </c>
      <c r="K1911" t="s">
        <v>777</v>
      </c>
      <c r="O1911">
        <v>0</v>
      </c>
      <c r="U1911" t="s">
        <v>81</v>
      </c>
    </row>
    <row r="1912" spans="1:21" x14ac:dyDescent="0.25">
      <c r="A1912" s="33">
        <v>1914</v>
      </c>
      <c r="B1912" s="24">
        <v>44225</v>
      </c>
      <c r="C1912" t="s">
        <v>39</v>
      </c>
      <c r="D1912" t="s">
        <v>41</v>
      </c>
      <c r="E1912">
        <v>2000713464</v>
      </c>
      <c r="F1912">
        <v>3130</v>
      </c>
      <c r="G1912">
        <v>130</v>
      </c>
      <c r="H1912">
        <v>0</v>
      </c>
      <c r="I1912" t="s">
        <v>642</v>
      </c>
      <c r="J1912" t="s">
        <v>172</v>
      </c>
      <c r="K1912" t="s">
        <v>173</v>
      </c>
      <c r="O1912">
        <v>0</v>
      </c>
      <c r="U1912" t="s">
        <v>81</v>
      </c>
    </row>
    <row r="1913" spans="1:21" x14ac:dyDescent="0.25">
      <c r="A1913" s="33">
        <v>1915</v>
      </c>
      <c r="B1913" s="24">
        <v>44225</v>
      </c>
      <c r="C1913" t="s">
        <v>39</v>
      </c>
      <c r="D1913" t="s">
        <v>41</v>
      </c>
      <c r="E1913">
        <v>2000713851</v>
      </c>
      <c r="F1913">
        <v>760</v>
      </c>
      <c r="G1913">
        <v>80</v>
      </c>
      <c r="H1913">
        <v>0</v>
      </c>
      <c r="I1913" t="s">
        <v>642</v>
      </c>
      <c r="J1913" t="s">
        <v>645</v>
      </c>
      <c r="K1913" t="s">
        <v>734</v>
      </c>
      <c r="O1913">
        <v>0</v>
      </c>
      <c r="U1913" t="s">
        <v>81</v>
      </c>
    </row>
    <row r="1914" spans="1:21" x14ac:dyDescent="0.25">
      <c r="A1914" s="33">
        <v>1916</v>
      </c>
      <c r="B1914" s="24">
        <v>44225</v>
      </c>
      <c r="C1914" t="s">
        <v>39</v>
      </c>
      <c r="D1914" t="s">
        <v>41</v>
      </c>
      <c r="E1914">
        <v>2000713625</v>
      </c>
      <c r="F1914">
        <v>1460</v>
      </c>
      <c r="G1914">
        <v>40</v>
      </c>
      <c r="H1914">
        <v>0</v>
      </c>
      <c r="I1914" t="s">
        <v>642</v>
      </c>
      <c r="J1914" t="s">
        <v>645</v>
      </c>
      <c r="K1914" t="s">
        <v>718</v>
      </c>
      <c r="O1914">
        <v>0</v>
      </c>
      <c r="U1914" t="s">
        <v>81</v>
      </c>
    </row>
    <row r="1915" spans="1:21" x14ac:dyDescent="0.25">
      <c r="A1915" s="33">
        <v>1917</v>
      </c>
      <c r="B1915" s="24">
        <v>44225</v>
      </c>
      <c r="C1915" t="s">
        <v>39</v>
      </c>
      <c r="D1915" t="s">
        <v>41</v>
      </c>
      <c r="E1915">
        <v>2000714473</v>
      </c>
      <c r="F1915">
        <v>2060</v>
      </c>
      <c r="G1915">
        <v>140</v>
      </c>
      <c r="H1915">
        <v>0</v>
      </c>
      <c r="I1915" t="s">
        <v>642</v>
      </c>
      <c r="J1915" t="s">
        <v>193</v>
      </c>
      <c r="K1915" t="s">
        <v>647</v>
      </c>
      <c r="O1915">
        <v>0</v>
      </c>
      <c r="U1915" t="s">
        <v>81</v>
      </c>
    </row>
    <row r="1916" spans="1:21" x14ac:dyDescent="0.25">
      <c r="A1916" s="33">
        <v>1918</v>
      </c>
      <c r="B1916" s="24">
        <v>44225</v>
      </c>
      <c r="C1916" t="s">
        <v>39</v>
      </c>
      <c r="D1916" t="s">
        <v>41</v>
      </c>
      <c r="E1916">
        <v>2000713854</v>
      </c>
      <c r="F1916">
        <v>520</v>
      </c>
      <c r="G1916">
        <v>80</v>
      </c>
      <c r="H1916">
        <v>0</v>
      </c>
      <c r="I1916" t="s">
        <v>642</v>
      </c>
      <c r="J1916" t="s">
        <v>196</v>
      </c>
      <c r="K1916" t="s">
        <v>689</v>
      </c>
      <c r="O1916">
        <v>0</v>
      </c>
      <c r="U1916" t="s">
        <v>81</v>
      </c>
    </row>
    <row r="1917" spans="1:21" x14ac:dyDescent="0.25">
      <c r="A1917" s="33">
        <v>1919</v>
      </c>
      <c r="B1917" s="24">
        <v>44225</v>
      </c>
      <c r="C1917" t="s">
        <v>39</v>
      </c>
      <c r="D1917" t="s">
        <v>41</v>
      </c>
      <c r="E1917">
        <v>2000713788</v>
      </c>
      <c r="F1917">
        <v>440</v>
      </c>
      <c r="G1917">
        <v>320</v>
      </c>
      <c r="H1917">
        <v>0</v>
      </c>
      <c r="I1917" t="s">
        <v>180</v>
      </c>
      <c r="J1917" t="s">
        <v>174</v>
      </c>
      <c r="K1917" t="s">
        <v>177</v>
      </c>
      <c r="O1917">
        <v>0</v>
      </c>
      <c r="U1917" t="s">
        <v>81</v>
      </c>
    </row>
    <row r="1918" spans="1:21" x14ac:dyDescent="0.25">
      <c r="A1918" s="33">
        <v>1920</v>
      </c>
      <c r="B1918" s="24">
        <v>44225</v>
      </c>
      <c r="C1918" t="s">
        <v>39</v>
      </c>
      <c r="D1918" t="s">
        <v>41</v>
      </c>
      <c r="E1918">
        <v>2000714163</v>
      </c>
      <c r="F1918">
        <v>160</v>
      </c>
      <c r="G1918">
        <v>60</v>
      </c>
      <c r="H1918">
        <v>0</v>
      </c>
      <c r="I1918" t="s">
        <v>180</v>
      </c>
      <c r="J1918" t="s">
        <v>174</v>
      </c>
      <c r="K1918" t="s">
        <v>187</v>
      </c>
      <c r="O1918">
        <v>0</v>
      </c>
      <c r="U1918" t="s">
        <v>81</v>
      </c>
    </row>
    <row r="1919" spans="1:21" x14ac:dyDescent="0.25">
      <c r="A1919" s="33">
        <v>1921</v>
      </c>
      <c r="B1919" s="24">
        <v>44225</v>
      </c>
      <c r="C1919" t="s">
        <v>39</v>
      </c>
      <c r="D1919" t="s">
        <v>41</v>
      </c>
      <c r="E1919">
        <v>2000713489</v>
      </c>
      <c r="F1919">
        <v>2336</v>
      </c>
      <c r="G1919">
        <v>495</v>
      </c>
      <c r="H1919">
        <v>0</v>
      </c>
      <c r="I1919" t="s">
        <v>661</v>
      </c>
      <c r="J1919" t="s">
        <v>170</v>
      </c>
      <c r="K1919" t="s">
        <v>899</v>
      </c>
      <c r="O1919">
        <v>0</v>
      </c>
      <c r="U1919" t="s">
        <v>81</v>
      </c>
    </row>
    <row r="1920" spans="1:21" x14ac:dyDescent="0.25">
      <c r="A1920" s="33">
        <v>1922</v>
      </c>
      <c r="B1920" s="24">
        <v>44225</v>
      </c>
      <c r="C1920" t="s">
        <v>39</v>
      </c>
      <c r="D1920" t="s">
        <v>41</v>
      </c>
      <c r="E1920">
        <v>2000713699</v>
      </c>
      <c r="F1920">
        <v>2070</v>
      </c>
      <c r="G1920">
        <v>225</v>
      </c>
      <c r="H1920">
        <v>0</v>
      </c>
      <c r="I1920" t="s">
        <v>661</v>
      </c>
      <c r="J1920" t="s">
        <v>170</v>
      </c>
      <c r="K1920" t="s">
        <v>899</v>
      </c>
      <c r="O1920">
        <v>0</v>
      </c>
      <c r="U1920" t="s">
        <v>81</v>
      </c>
    </row>
    <row r="1921" spans="1:21" x14ac:dyDescent="0.25">
      <c r="A1921" s="33">
        <v>1923</v>
      </c>
      <c r="B1921" s="24">
        <v>44225</v>
      </c>
      <c r="C1921" t="s">
        <v>39</v>
      </c>
      <c r="D1921" t="s">
        <v>41</v>
      </c>
      <c r="E1921">
        <v>2000707772</v>
      </c>
      <c r="F1921">
        <v>910</v>
      </c>
      <c r="G1921">
        <v>55</v>
      </c>
      <c r="H1921">
        <v>0</v>
      </c>
      <c r="I1921" t="s">
        <v>661</v>
      </c>
      <c r="J1921" t="s">
        <v>170</v>
      </c>
      <c r="K1921" t="s">
        <v>899</v>
      </c>
      <c r="O1921">
        <v>0</v>
      </c>
      <c r="U1921" t="s">
        <v>81</v>
      </c>
    </row>
    <row r="1922" spans="1:21" x14ac:dyDescent="0.25">
      <c r="A1922" s="33">
        <v>1924</v>
      </c>
      <c r="B1922" s="24">
        <v>44225</v>
      </c>
      <c r="C1922" t="s">
        <v>39</v>
      </c>
      <c r="D1922" t="s">
        <v>41</v>
      </c>
      <c r="E1922">
        <v>2000712819</v>
      </c>
      <c r="F1922">
        <v>600</v>
      </c>
      <c r="G1922">
        <v>50</v>
      </c>
      <c r="H1922">
        <v>0</v>
      </c>
      <c r="I1922" t="s">
        <v>201</v>
      </c>
      <c r="J1922" t="s">
        <v>169</v>
      </c>
      <c r="K1922" t="s">
        <v>847</v>
      </c>
      <c r="O1922">
        <v>0</v>
      </c>
      <c r="U1922" t="s">
        <v>81</v>
      </c>
    </row>
    <row r="1923" spans="1:21" x14ac:dyDescent="0.25">
      <c r="A1923" s="33">
        <v>1925</v>
      </c>
      <c r="B1923" s="24">
        <v>44225</v>
      </c>
      <c r="C1923" t="s">
        <v>39</v>
      </c>
      <c r="D1923" t="s">
        <v>41</v>
      </c>
      <c r="E1923">
        <v>2000712446</v>
      </c>
      <c r="F1923">
        <v>4220</v>
      </c>
      <c r="G1923">
        <v>300</v>
      </c>
      <c r="H1923">
        <v>0</v>
      </c>
      <c r="I1923" t="s">
        <v>201</v>
      </c>
      <c r="J1923" t="s">
        <v>199</v>
      </c>
      <c r="K1923" t="s">
        <v>660</v>
      </c>
      <c r="O1923">
        <v>0</v>
      </c>
      <c r="U1923" t="s">
        <v>81</v>
      </c>
    </row>
    <row r="1924" spans="1:21" x14ac:dyDescent="0.25">
      <c r="A1924" s="33">
        <v>1926</v>
      </c>
      <c r="B1924" s="24">
        <v>44225</v>
      </c>
      <c r="C1924" t="s">
        <v>39</v>
      </c>
      <c r="D1924" t="s">
        <v>41</v>
      </c>
      <c r="E1924">
        <v>2000713891</v>
      </c>
      <c r="F1924">
        <v>5392</v>
      </c>
      <c r="G1924">
        <v>200</v>
      </c>
      <c r="H1924">
        <v>0</v>
      </c>
      <c r="I1924" t="s">
        <v>201</v>
      </c>
      <c r="J1924" t="s">
        <v>200</v>
      </c>
      <c r="K1924" t="s">
        <v>653</v>
      </c>
      <c r="O1924">
        <v>0</v>
      </c>
      <c r="U1924" t="s">
        <v>81</v>
      </c>
    </row>
    <row r="1925" spans="1:21" x14ac:dyDescent="0.25">
      <c r="A1925" s="33">
        <v>1927</v>
      </c>
      <c r="B1925" s="24">
        <v>44225</v>
      </c>
      <c r="C1925" t="s">
        <v>39</v>
      </c>
      <c r="D1925" t="s">
        <v>41</v>
      </c>
      <c r="E1925">
        <v>2000713462</v>
      </c>
      <c r="F1925">
        <v>1428</v>
      </c>
      <c r="G1925">
        <v>300</v>
      </c>
      <c r="H1925">
        <v>0</v>
      </c>
      <c r="I1925" t="s">
        <v>201</v>
      </c>
      <c r="J1925" t="s">
        <v>172</v>
      </c>
      <c r="K1925" t="s">
        <v>725</v>
      </c>
      <c r="O1925">
        <v>0</v>
      </c>
      <c r="U1925" t="s">
        <v>81</v>
      </c>
    </row>
    <row r="1926" spans="1:21" x14ac:dyDescent="0.25">
      <c r="A1926" s="33">
        <v>1928</v>
      </c>
      <c r="B1926" s="24">
        <v>44225</v>
      </c>
      <c r="C1926" t="s">
        <v>39</v>
      </c>
      <c r="D1926" t="s">
        <v>41</v>
      </c>
      <c r="E1926">
        <v>2000713892</v>
      </c>
      <c r="F1926">
        <v>2736</v>
      </c>
      <c r="G1926">
        <v>160</v>
      </c>
      <c r="H1926">
        <v>0</v>
      </c>
      <c r="I1926" t="s">
        <v>201</v>
      </c>
      <c r="J1926" t="s">
        <v>655</v>
      </c>
      <c r="K1926" t="s">
        <v>656</v>
      </c>
      <c r="O1926">
        <v>0</v>
      </c>
      <c r="U1926" t="s">
        <v>81</v>
      </c>
    </row>
    <row r="1927" spans="1:21" x14ac:dyDescent="0.25">
      <c r="A1927" s="33">
        <v>1929</v>
      </c>
      <c r="B1927" s="24">
        <v>44225</v>
      </c>
      <c r="C1927" t="s">
        <v>39</v>
      </c>
      <c r="D1927" t="s">
        <v>41</v>
      </c>
      <c r="E1927">
        <v>2000713525</v>
      </c>
      <c r="F1927">
        <v>3600</v>
      </c>
      <c r="G1927">
        <v>240</v>
      </c>
      <c r="H1927">
        <v>0</v>
      </c>
      <c r="I1927" t="s">
        <v>201</v>
      </c>
      <c r="J1927" t="s">
        <v>169</v>
      </c>
      <c r="K1927" t="s">
        <v>652</v>
      </c>
      <c r="O1927">
        <v>0</v>
      </c>
      <c r="U1927" t="s">
        <v>81</v>
      </c>
    </row>
    <row r="1928" spans="1:21" x14ac:dyDescent="0.25">
      <c r="A1928" s="33">
        <v>1930</v>
      </c>
      <c r="B1928" s="24">
        <v>44225</v>
      </c>
      <c r="C1928" t="s">
        <v>39</v>
      </c>
      <c r="D1928" t="s">
        <v>41</v>
      </c>
      <c r="E1928">
        <v>2000713523</v>
      </c>
      <c r="F1928">
        <v>7860</v>
      </c>
      <c r="G1928">
        <v>300</v>
      </c>
      <c r="H1928">
        <v>0</v>
      </c>
      <c r="I1928" t="s">
        <v>201</v>
      </c>
      <c r="J1928" t="s">
        <v>200</v>
      </c>
      <c r="K1928" t="s">
        <v>737</v>
      </c>
      <c r="O1928">
        <v>0</v>
      </c>
      <c r="U1928" t="s">
        <v>81</v>
      </c>
    </row>
    <row r="1929" spans="1:21" x14ac:dyDescent="0.25">
      <c r="A1929" s="33">
        <v>1931</v>
      </c>
      <c r="B1929" s="24">
        <v>44225</v>
      </c>
      <c r="C1929" t="s">
        <v>39</v>
      </c>
      <c r="D1929" t="s">
        <v>41</v>
      </c>
      <c r="E1929">
        <v>2000713789</v>
      </c>
      <c r="F1929">
        <v>680</v>
      </c>
      <c r="G1929">
        <v>118</v>
      </c>
      <c r="H1929">
        <v>0</v>
      </c>
      <c r="I1929" t="s">
        <v>666</v>
      </c>
      <c r="J1929" t="s">
        <v>174</v>
      </c>
      <c r="K1929" t="s">
        <v>763</v>
      </c>
      <c r="O1929">
        <v>0</v>
      </c>
      <c r="U1929" t="s">
        <v>81</v>
      </c>
    </row>
    <row r="1930" spans="1:21" x14ac:dyDescent="0.25">
      <c r="A1930" s="33">
        <v>1932</v>
      </c>
      <c r="B1930" s="24">
        <v>44225</v>
      </c>
      <c r="C1930" t="s">
        <v>39</v>
      </c>
      <c r="D1930" t="s">
        <v>41</v>
      </c>
      <c r="E1930">
        <v>2000714171</v>
      </c>
      <c r="F1930">
        <v>320</v>
      </c>
      <c r="G1930">
        <v>319</v>
      </c>
      <c r="H1930">
        <v>0</v>
      </c>
      <c r="I1930" t="s">
        <v>666</v>
      </c>
      <c r="J1930" t="s">
        <v>174</v>
      </c>
      <c r="K1930" t="s">
        <v>188</v>
      </c>
      <c r="O1930">
        <v>0</v>
      </c>
      <c r="U1930" t="s">
        <v>81</v>
      </c>
    </row>
    <row r="1931" spans="1:21" x14ac:dyDescent="0.25">
      <c r="A1931" s="33">
        <v>1933</v>
      </c>
      <c r="B1931" s="24">
        <v>44225</v>
      </c>
      <c r="C1931" t="s">
        <v>39</v>
      </c>
      <c r="D1931" t="s">
        <v>41</v>
      </c>
      <c r="E1931">
        <v>2000714163</v>
      </c>
      <c r="F1931">
        <v>160</v>
      </c>
      <c r="G1931">
        <v>80</v>
      </c>
      <c r="H1931">
        <v>0</v>
      </c>
      <c r="I1931" t="s">
        <v>666</v>
      </c>
      <c r="J1931" t="s">
        <v>174</v>
      </c>
      <c r="K1931" t="s">
        <v>187</v>
      </c>
      <c r="O1931">
        <v>0</v>
      </c>
      <c r="U1931" t="s">
        <v>81</v>
      </c>
    </row>
    <row r="1932" spans="1:21" x14ac:dyDescent="0.25">
      <c r="A1932" s="33">
        <v>1934</v>
      </c>
      <c r="B1932" s="24">
        <v>44225</v>
      </c>
      <c r="C1932" t="s">
        <v>39</v>
      </c>
      <c r="D1932" t="s">
        <v>41</v>
      </c>
      <c r="E1932">
        <v>2000712201</v>
      </c>
      <c r="F1932">
        <v>490</v>
      </c>
      <c r="G1932">
        <v>180</v>
      </c>
      <c r="H1932">
        <v>0</v>
      </c>
      <c r="I1932" t="s">
        <v>194</v>
      </c>
      <c r="J1932" t="s">
        <v>203</v>
      </c>
      <c r="K1932" t="s">
        <v>891</v>
      </c>
      <c r="O1932">
        <v>0</v>
      </c>
      <c r="U1932" t="s">
        <v>81</v>
      </c>
    </row>
    <row r="1933" spans="1:21" x14ac:dyDescent="0.25">
      <c r="A1933" s="33">
        <v>1935</v>
      </c>
      <c r="B1933" s="24">
        <v>44225</v>
      </c>
      <c r="C1933" t="s">
        <v>39</v>
      </c>
      <c r="D1933" t="s">
        <v>41</v>
      </c>
      <c r="E1933">
        <v>2000704809</v>
      </c>
      <c r="F1933">
        <v>1572</v>
      </c>
      <c r="G1933">
        <v>85</v>
      </c>
      <c r="H1933">
        <v>0</v>
      </c>
      <c r="I1933" t="s">
        <v>194</v>
      </c>
      <c r="J1933" t="s">
        <v>174</v>
      </c>
      <c r="K1933" t="s">
        <v>205</v>
      </c>
      <c r="O1933">
        <v>0</v>
      </c>
      <c r="U1933" t="s">
        <v>81</v>
      </c>
    </row>
    <row r="1934" spans="1:21" x14ac:dyDescent="0.25">
      <c r="A1934" s="33">
        <v>1936</v>
      </c>
      <c r="B1934" s="24">
        <v>44225</v>
      </c>
      <c r="C1934" t="s">
        <v>39</v>
      </c>
      <c r="D1934" t="s">
        <v>41</v>
      </c>
      <c r="E1934">
        <v>2000713489</v>
      </c>
      <c r="F1934">
        <v>2336</v>
      </c>
      <c r="G1934">
        <v>45</v>
      </c>
      <c r="H1934">
        <v>0</v>
      </c>
      <c r="I1934" t="s">
        <v>194</v>
      </c>
      <c r="J1934" t="s">
        <v>170</v>
      </c>
      <c r="K1934" t="s">
        <v>899</v>
      </c>
      <c r="O1934">
        <v>0</v>
      </c>
      <c r="U1934" t="s">
        <v>81</v>
      </c>
    </row>
    <row r="1935" spans="1:21" x14ac:dyDescent="0.25">
      <c r="A1935" s="33">
        <v>1937</v>
      </c>
      <c r="B1935" s="24">
        <v>44225</v>
      </c>
      <c r="C1935" t="s">
        <v>39</v>
      </c>
      <c r="D1935" t="s">
        <v>41</v>
      </c>
      <c r="E1935">
        <v>2000713489</v>
      </c>
      <c r="F1935">
        <v>2336</v>
      </c>
      <c r="G1935">
        <v>250</v>
      </c>
      <c r="H1935">
        <v>0</v>
      </c>
      <c r="I1935" t="s">
        <v>178</v>
      </c>
      <c r="J1935" t="s">
        <v>170</v>
      </c>
      <c r="K1935" t="s">
        <v>899</v>
      </c>
      <c r="O1935">
        <v>0</v>
      </c>
      <c r="U1935" t="s">
        <v>81</v>
      </c>
    </row>
    <row r="1936" spans="1:21" x14ac:dyDescent="0.25">
      <c r="A1936" s="33">
        <v>1938</v>
      </c>
      <c r="B1936" s="24">
        <v>44225</v>
      </c>
      <c r="C1936" t="s">
        <v>39</v>
      </c>
      <c r="D1936" t="s">
        <v>41</v>
      </c>
      <c r="E1936">
        <v>2000712201</v>
      </c>
      <c r="F1936">
        <v>490</v>
      </c>
      <c r="G1936">
        <v>80</v>
      </c>
      <c r="H1936">
        <v>0</v>
      </c>
      <c r="I1936" t="s">
        <v>178</v>
      </c>
      <c r="J1936" t="s">
        <v>203</v>
      </c>
      <c r="K1936" t="s">
        <v>891</v>
      </c>
      <c r="O1936">
        <v>0</v>
      </c>
      <c r="U1936" t="s">
        <v>81</v>
      </c>
    </row>
    <row r="1937" spans="1:21" x14ac:dyDescent="0.25">
      <c r="A1937" s="33">
        <v>1939</v>
      </c>
      <c r="B1937" s="24">
        <v>44225</v>
      </c>
      <c r="C1937" t="s">
        <v>39</v>
      </c>
      <c r="D1937" t="s">
        <v>41</v>
      </c>
      <c r="E1937">
        <v>2000713178</v>
      </c>
      <c r="F1937">
        <v>500</v>
      </c>
      <c r="G1937">
        <v>30</v>
      </c>
      <c r="H1937">
        <v>0</v>
      </c>
      <c r="I1937" t="s">
        <v>178</v>
      </c>
      <c r="J1937" t="s">
        <v>203</v>
      </c>
      <c r="K1937" t="s">
        <v>891</v>
      </c>
      <c r="O1937">
        <v>0</v>
      </c>
      <c r="U1937" t="s">
        <v>81</v>
      </c>
    </row>
    <row r="1938" spans="1:21" x14ac:dyDescent="0.25">
      <c r="A1938" s="33">
        <v>1940</v>
      </c>
      <c r="B1938" s="24">
        <v>44225</v>
      </c>
      <c r="C1938" t="s">
        <v>39</v>
      </c>
      <c r="D1938" t="s">
        <v>41</v>
      </c>
      <c r="E1938">
        <v>2000713645</v>
      </c>
      <c r="F1938">
        <v>1590</v>
      </c>
      <c r="G1938">
        <v>60</v>
      </c>
      <c r="H1938">
        <v>0</v>
      </c>
      <c r="I1938" t="s">
        <v>178</v>
      </c>
      <c r="J1938" t="s">
        <v>169</v>
      </c>
      <c r="K1938" t="s">
        <v>190</v>
      </c>
      <c r="O1938">
        <v>0</v>
      </c>
      <c r="U1938" t="s">
        <v>81</v>
      </c>
    </row>
    <row r="1939" spans="1:21" x14ac:dyDescent="0.25">
      <c r="A1939" s="33">
        <v>1941</v>
      </c>
      <c r="B1939" s="24">
        <v>44225</v>
      </c>
      <c r="C1939" t="s">
        <v>39</v>
      </c>
      <c r="D1939" t="s">
        <v>51</v>
      </c>
      <c r="E1939">
        <v>2000714286</v>
      </c>
      <c r="F1939">
        <v>600</v>
      </c>
      <c r="G1939">
        <v>30</v>
      </c>
      <c r="H1939">
        <v>0</v>
      </c>
      <c r="I1939" t="s">
        <v>178</v>
      </c>
      <c r="J1939" t="s">
        <v>667</v>
      </c>
      <c r="K1939" t="s">
        <v>769</v>
      </c>
      <c r="O1939">
        <v>0</v>
      </c>
      <c r="U1939" t="s">
        <v>81</v>
      </c>
    </row>
    <row r="1940" spans="1:21" x14ac:dyDescent="0.25">
      <c r="A1940" s="33">
        <v>1942</v>
      </c>
      <c r="B1940" s="24">
        <v>44225</v>
      </c>
      <c r="C1940" t="s">
        <v>39</v>
      </c>
      <c r="D1940" t="s">
        <v>51</v>
      </c>
      <c r="E1940">
        <v>2000713688</v>
      </c>
      <c r="F1940">
        <v>945</v>
      </c>
      <c r="G1940">
        <v>40</v>
      </c>
      <c r="H1940">
        <v>0</v>
      </c>
      <c r="I1940" t="s">
        <v>178</v>
      </c>
      <c r="J1940" t="s">
        <v>673</v>
      </c>
      <c r="K1940" t="s">
        <v>674</v>
      </c>
      <c r="O1940">
        <v>0</v>
      </c>
      <c r="U1940" t="s">
        <v>81</v>
      </c>
    </row>
    <row r="1941" spans="1:21" x14ac:dyDescent="0.25">
      <c r="A1941" s="33">
        <v>1943</v>
      </c>
      <c r="B1941" s="24">
        <v>44225</v>
      </c>
      <c r="C1941" t="s">
        <v>39</v>
      </c>
      <c r="D1941" t="s">
        <v>51</v>
      </c>
      <c r="E1941">
        <v>2000714295</v>
      </c>
      <c r="F1941">
        <v>117</v>
      </c>
      <c r="G1941">
        <v>30</v>
      </c>
      <c r="H1941">
        <v>0</v>
      </c>
      <c r="I1941" t="s">
        <v>178</v>
      </c>
      <c r="J1941" t="s">
        <v>667</v>
      </c>
      <c r="K1941" t="s">
        <v>772</v>
      </c>
      <c r="O1941">
        <v>0</v>
      </c>
      <c r="U1941" t="s">
        <v>81</v>
      </c>
    </row>
    <row r="1942" spans="1:21" x14ac:dyDescent="0.25">
      <c r="A1942" s="33">
        <v>1944</v>
      </c>
      <c r="B1942" s="24">
        <v>44225</v>
      </c>
      <c r="C1942" t="s">
        <v>39</v>
      </c>
      <c r="D1942" t="s">
        <v>51</v>
      </c>
      <c r="E1942">
        <v>2000713479</v>
      </c>
      <c r="F1942">
        <v>900</v>
      </c>
      <c r="G1942">
        <v>40</v>
      </c>
      <c r="H1942">
        <v>0</v>
      </c>
      <c r="I1942" t="s">
        <v>178</v>
      </c>
      <c r="J1942" t="s">
        <v>669</v>
      </c>
      <c r="K1942" t="s">
        <v>707</v>
      </c>
      <c r="O1942">
        <v>0</v>
      </c>
      <c r="U1942" t="s">
        <v>81</v>
      </c>
    </row>
    <row r="1943" spans="1:21" x14ac:dyDescent="0.25">
      <c r="A1943" s="33">
        <v>1945</v>
      </c>
      <c r="B1943" s="24">
        <v>44225</v>
      </c>
      <c r="C1943" t="s">
        <v>39</v>
      </c>
      <c r="D1943" t="s">
        <v>51</v>
      </c>
      <c r="E1943">
        <v>2000713476</v>
      </c>
      <c r="F1943">
        <v>500</v>
      </c>
      <c r="G1943">
        <v>140</v>
      </c>
      <c r="H1943">
        <v>0</v>
      </c>
      <c r="I1943" t="s">
        <v>168</v>
      </c>
      <c r="J1943" t="s">
        <v>709</v>
      </c>
      <c r="K1943" t="s">
        <v>743</v>
      </c>
      <c r="O1943">
        <v>0</v>
      </c>
      <c r="U1943" t="s">
        <v>81</v>
      </c>
    </row>
    <row r="1944" spans="1:21" x14ac:dyDescent="0.25">
      <c r="A1944" s="33">
        <v>1946</v>
      </c>
      <c r="B1944" s="24">
        <v>44225</v>
      </c>
      <c r="C1944" t="s">
        <v>39</v>
      </c>
      <c r="D1944" t="s">
        <v>51</v>
      </c>
      <c r="E1944">
        <v>2000714148</v>
      </c>
      <c r="F1944">
        <v>270</v>
      </c>
      <c r="G1944">
        <v>90</v>
      </c>
      <c r="H1944">
        <v>0</v>
      </c>
      <c r="I1944" t="s">
        <v>168</v>
      </c>
      <c r="J1944" t="s">
        <v>770</v>
      </c>
      <c r="K1944" t="s">
        <v>777</v>
      </c>
      <c r="O1944">
        <v>0</v>
      </c>
      <c r="U1944" t="s">
        <v>81</v>
      </c>
    </row>
    <row r="1945" spans="1:21" x14ac:dyDescent="0.25">
      <c r="A1945" s="33">
        <v>1947</v>
      </c>
      <c r="B1945" s="24">
        <v>44225</v>
      </c>
      <c r="C1945" t="s">
        <v>39</v>
      </c>
      <c r="D1945" t="s">
        <v>51</v>
      </c>
      <c r="E1945">
        <v>2000714286</v>
      </c>
      <c r="F1945">
        <v>600</v>
      </c>
      <c r="G1945">
        <v>90</v>
      </c>
      <c r="H1945">
        <v>0</v>
      </c>
      <c r="I1945" t="s">
        <v>168</v>
      </c>
      <c r="J1945" t="s">
        <v>667</v>
      </c>
      <c r="K1945" t="s">
        <v>769</v>
      </c>
      <c r="O1945">
        <v>0</v>
      </c>
      <c r="U1945" t="s">
        <v>81</v>
      </c>
    </row>
    <row r="1946" spans="1:21" x14ac:dyDescent="0.25">
      <c r="A1946" s="33">
        <v>1948</v>
      </c>
      <c r="B1946" s="24">
        <v>44225</v>
      </c>
      <c r="C1946" t="s">
        <v>39</v>
      </c>
      <c r="D1946" t="s">
        <v>51</v>
      </c>
      <c r="E1946">
        <v>2000713479</v>
      </c>
      <c r="F1946">
        <v>900</v>
      </c>
      <c r="G1946">
        <v>120</v>
      </c>
      <c r="H1946">
        <v>0</v>
      </c>
      <c r="I1946" t="s">
        <v>168</v>
      </c>
      <c r="J1946" t="s">
        <v>669</v>
      </c>
      <c r="K1946" t="s">
        <v>707</v>
      </c>
      <c r="O1946">
        <v>0</v>
      </c>
      <c r="U1946" t="s">
        <v>81</v>
      </c>
    </row>
    <row r="1947" spans="1:21" x14ac:dyDescent="0.25">
      <c r="A1947" s="33">
        <v>1949</v>
      </c>
      <c r="B1947" s="24">
        <v>44225</v>
      </c>
      <c r="C1947" t="s">
        <v>39</v>
      </c>
      <c r="D1947" t="s">
        <v>51</v>
      </c>
      <c r="E1947">
        <v>2000713664</v>
      </c>
      <c r="F1947">
        <v>350</v>
      </c>
      <c r="G1947">
        <v>31</v>
      </c>
      <c r="H1947">
        <v>0</v>
      </c>
      <c r="I1947" t="s">
        <v>168</v>
      </c>
      <c r="J1947" t="s">
        <v>669</v>
      </c>
      <c r="K1947" t="s">
        <v>670</v>
      </c>
      <c r="O1947">
        <v>0</v>
      </c>
      <c r="T1947">
        <v>0</v>
      </c>
      <c r="U1947" t="s">
        <v>81</v>
      </c>
    </row>
    <row r="1948" spans="1:21" x14ac:dyDescent="0.25">
      <c r="A1948" s="33">
        <v>1950</v>
      </c>
      <c r="B1948" s="24">
        <v>44225</v>
      </c>
      <c r="C1948" t="s">
        <v>39</v>
      </c>
      <c r="D1948" t="s">
        <v>51</v>
      </c>
      <c r="E1948">
        <v>2000713201</v>
      </c>
      <c r="F1948">
        <v>350</v>
      </c>
      <c r="G1948">
        <v>40</v>
      </c>
      <c r="H1948">
        <v>0</v>
      </c>
      <c r="I1948" t="s">
        <v>168</v>
      </c>
      <c r="J1948" t="s">
        <v>669</v>
      </c>
      <c r="K1948" t="s">
        <v>810</v>
      </c>
      <c r="O1948">
        <v>0</v>
      </c>
      <c r="U1948" t="s">
        <v>81</v>
      </c>
    </row>
    <row r="1949" spans="1:21" x14ac:dyDescent="0.25">
      <c r="A1949" s="33">
        <v>1951</v>
      </c>
      <c r="B1949" s="24">
        <v>44225</v>
      </c>
      <c r="C1949" t="s">
        <v>39</v>
      </c>
      <c r="D1949" t="s">
        <v>51</v>
      </c>
      <c r="E1949">
        <v>2000713639</v>
      </c>
      <c r="F1949">
        <v>620</v>
      </c>
      <c r="G1949">
        <v>75</v>
      </c>
      <c r="H1949">
        <v>0</v>
      </c>
      <c r="I1949" t="s">
        <v>168</v>
      </c>
      <c r="J1949" t="s">
        <v>676</v>
      </c>
      <c r="K1949" t="s">
        <v>677</v>
      </c>
      <c r="O1949">
        <v>0</v>
      </c>
      <c r="U1949" t="s">
        <v>81</v>
      </c>
    </row>
    <row r="1950" spans="1:21" x14ac:dyDescent="0.25">
      <c r="A1950" s="33">
        <v>1952</v>
      </c>
      <c r="B1950" s="24">
        <v>44225</v>
      </c>
      <c r="C1950" t="s">
        <v>181</v>
      </c>
      <c r="D1950" t="s">
        <v>41</v>
      </c>
      <c r="E1950">
        <v>2000712201</v>
      </c>
      <c r="F1950">
        <v>490</v>
      </c>
      <c r="G1950">
        <v>30</v>
      </c>
      <c r="H1950">
        <v>0</v>
      </c>
      <c r="I1950" t="s">
        <v>184</v>
      </c>
      <c r="J1950" t="s">
        <v>203</v>
      </c>
      <c r="K1950" t="s">
        <v>891</v>
      </c>
      <c r="O1950">
        <v>0</v>
      </c>
      <c r="U1950" t="s">
        <v>81</v>
      </c>
    </row>
    <row r="1951" spans="1:21" x14ac:dyDescent="0.25">
      <c r="A1951" s="33">
        <v>1953</v>
      </c>
      <c r="B1951" s="24">
        <v>44225</v>
      </c>
      <c r="C1951" t="s">
        <v>181</v>
      </c>
      <c r="D1951" t="s">
        <v>41</v>
      </c>
      <c r="E1951">
        <v>2000713178</v>
      </c>
      <c r="F1951">
        <v>500</v>
      </c>
      <c r="G1951">
        <v>280</v>
      </c>
      <c r="H1951">
        <v>0</v>
      </c>
      <c r="I1951" t="s">
        <v>184</v>
      </c>
      <c r="J1951" t="s">
        <v>203</v>
      </c>
      <c r="K1951" t="s">
        <v>891</v>
      </c>
      <c r="O1951">
        <v>0</v>
      </c>
      <c r="U1951" t="s">
        <v>81</v>
      </c>
    </row>
    <row r="1952" spans="1:21" x14ac:dyDescent="0.25">
      <c r="A1952" s="33">
        <v>1954</v>
      </c>
      <c r="B1952" s="24">
        <v>44225</v>
      </c>
      <c r="C1952" t="s">
        <v>181</v>
      </c>
      <c r="D1952" t="s">
        <v>41</v>
      </c>
      <c r="E1952">
        <v>2000713788</v>
      </c>
      <c r="F1952">
        <v>440</v>
      </c>
      <c r="G1952">
        <v>80</v>
      </c>
      <c r="H1952">
        <v>0</v>
      </c>
      <c r="I1952" t="s">
        <v>184</v>
      </c>
      <c r="J1952" t="s">
        <v>174</v>
      </c>
      <c r="K1952" t="s">
        <v>177</v>
      </c>
      <c r="O1952">
        <v>0</v>
      </c>
      <c r="U1952" t="s">
        <v>81</v>
      </c>
    </row>
    <row r="1953" spans="1:21" x14ac:dyDescent="0.25">
      <c r="A1953" s="33">
        <v>1955</v>
      </c>
      <c r="B1953" s="24">
        <v>44225</v>
      </c>
      <c r="C1953" t="s">
        <v>181</v>
      </c>
      <c r="D1953" t="s">
        <v>41</v>
      </c>
      <c r="E1953">
        <v>2000713791</v>
      </c>
      <c r="F1953">
        <v>80</v>
      </c>
      <c r="G1953">
        <v>80</v>
      </c>
      <c r="H1953">
        <v>0</v>
      </c>
      <c r="I1953" t="s">
        <v>184</v>
      </c>
      <c r="J1953" t="s">
        <v>174</v>
      </c>
      <c r="K1953" t="s">
        <v>186</v>
      </c>
      <c r="O1953">
        <v>0</v>
      </c>
      <c r="U1953" t="s">
        <v>81</v>
      </c>
    </row>
    <row r="1954" spans="1:21" x14ac:dyDescent="0.25">
      <c r="A1954" s="33">
        <v>1956</v>
      </c>
      <c r="B1954" s="24">
        <v>44225</v>
      </c>
      <c r="C1954" t="s">
        <v>181</v>
      </c>
      <c r="D1954" t="s">
        <v>41</v>
      </c>
      <c r="E1954">
        <v>2000713699</v>
      </c>
      <c r="F1954">
        <v>2070</v>
      </c>
      <c r="G1954">
        <v>120</v>
      </c>
      <c r="H1954">
        <v>1</v>
      </c>
      <c r="I1954" t="s">
        <v>184</v>
      </c>
      <c r="J1954" t="s">
        <v>170</v>
      </c>
      <c r="K1954" t="s">
        <v>899</v>
      </c>
      <c r="L1954" t="s">
        <v>88</v>
      </c>
      <c r="N1954" t="s">
        <v>956</v>
      </c>
      <c r="O1954">
        <v>1</v>
      </c>
      <c r="P1954" t="s">
        <v>957</v>
      </c>
      <c r="Q1954" t="s">
        <v>958</v>
      </c>
      <c r="R1954">
        <v>6840015600</v>
      </c>
      <c r="S1954" s="36">
        <v>0.32916666666666666</v>
      </c>
      <c r="U1954" t="s">
        <v>81</v>
      </c>
    </row>
    <row r="1955" spans="1:21" x14ac:dyDescent="0.25">
      <c r="A1955" s="33">
        <v>1957</v>
      </c>
      <c r="B1955" s="24">
        <v>44225</v>
      </c>
      <c r="C1955" t="s">
        <v>181</v>
      </c>
      <c r="D1955" t="s">
        <v>41</v>
      </c>
      <c r="E1955">
        <v>2000713699</v>
      </c>
      <c r="F1955">
        <v>2070</v>
      </c>
      <c r="G1955">
        <v>45</v>
      </c>
      <c r="H1955">
        <v>0</v>
      </c>
      <c r="I1955" t="s">
        <v>759</v>
      </c>
      <c r="J1955" t="s">
        <v>170</v>
      </c>
      <c r="K1955" t="s">
        <v>899</v>
      </c>
      <c r="O1955">
        <v>0</v>
      </c>
      <c r="U1955" t="s">
        <v>81</v>
      </c>
    </row>
    <row r="1956" spans="1:21" x14ac:dyDescent="0.25">
      <c r="A1956" s="33">
        <v>1958</v>
      </c>
      <c r="B1956" s="24">
        <v>44225</v>
      </c>
      <c r="C1956" t="s">
        <v>181</v>
      </c>
      <c r="D1956" t="s">
        <v>41</v>
      </c>
      <c r="E1956">
        <v>2000713699</v>
      </c>
      <c r="F1956">
        <v>2070</v>
      </c>
      <c r="G1956">
        <v>405</v>
      </c>
      <c r="H1956">
        <v>0</v>
      </c>
      <c r="I1956" t="s">
        <v>693</v>
      </c>
      <c r="J1956" t="s">
        <v>170</v>
      </c>
      <c r="K1956" t="s">
        <v>899</v>
      </c>
      <c r="O1956">
        <v>0</v>
      </c>
      <c r="U1956" t="s">
        <v>81</v>
      </c>
    </row>
    <row r="1957" spans="1:21" x14ac:dyDescent="0.25">
      <c r="A1957" s="33">
        <v>1959</v>
      </c>
      <c r="B1957" s="24">
        <v>44225</v>
      </c>
      <c r="C1957" t="s">
        <v>181</v>
      </c>
      <c r="D1957" t="s">
        <v>41</v>
      </c>
      <c r="E1957">
        <v>2000714163</v>
      </c>
      <c r="F1957">
        <v>160</v>
      </c>
      <c r="G1957">
        <v>40</v>
      </c>
      <c r="H1957">
        <v>0</v>
      </c>
      <c r="I1957" t="s">
        <v>696</v>
      </c>
      <c r="J1957" t="s">
        <v>174</v>
      </c>
      <c r="K1957" t="s">
        <v>187</v>
      </c>
      <c r="O1957">
        <v>0</v>
      </c>
      <c r="U1957" t="s">
        <v>81</v>
      </c>
    </row>
    <row r="1958" spans="1:21" x14ac:dyDescent="0.25">
      <c r="A1958" s="33">
        <v>1960</v>
      </c>
      <c r="B1958" s="24">
        <v>44225</v>
      </c>
      <c r="C1958" t="s">
        <v>181</v>
      </c>
      <c r="D1958" t="s">
        <v>41</v>
      </c>
      <c r="E1958">
        <v>2000714164</v>
      </c>
      <c r="F1958">
        <v>240</v>
      </c>
      <c r="G1958">
        <v>240</v>
      </c>
      <c r="H1958">
        <v>0</v>
      </c>
      <c r="I1958" t="s">
        <v>696</v>
      </c>
      <c r="J1958" t="s">
        <v>174</v>
      </c>
      <c r="K1958" t="s">
        <v>805</v>
      </c>
      <c r="O1958">
        <v>0</v>
      </c>
      <c r="U1958" t="s">
        <v>81</v>
      </c>
    </row>
    <row r="1959" spans="1:21" x14ac:dyDescent="0.25">
      <c r="A1959" s="33">
        <v>1961</v>
      </c>
      <c r="B1959" s="24">
        <v>44225</v>
      </c>
      <c r="C1959" t="s">
        <v>181</v>
      </c>
      <c r="D1959" t="s">
        <v>41</v>
      </c>
      <c r="E1959">
        <v>2000714165</v>
      </c>
      <c r="F1959">
        <v>40</v>
      </c>
      <c r="G1959">
        <v>40</v>
      </c>
      <c r="H1959">
        <v>0</v>
      </c>
      <c r="I1959" t="s">
        <v>696</v>
      </c>
      <c r="J1959" t="s">
        <v>174</v>
      </c>
      <c r="K1959" t="s">
        <v>722</v>
      </c>
      <c r="O1959">
        <v>0</v>
      </c>
      <c r="U1959" t="s">
        <v>81</v>
      </c>
    </row>
    <row r="1960" spans="1:21" x14ac:dyDescent="0.25">
      <c r="A1960" s="33">
        <v>1962</v>
      </c>
      <c r="B1960" s="24">
        <v>44225</v>
      </c>
      <c r="C1960" t="s">
        <v>181</v>
      </c>
      <c r="D1960" t="s">
        <v>41</v>
      </c>
      <c r="E1960">
        <v>2000714506</v>
      </c>
      <c r="F1960">
        <v>520</v>
      </c>
      <c r="G1960">
        <v>120</v>
      </c>
      <c r="H1960">
        <v>0</v>
      </c>
      <c r="I1960" t="s">
        <v>696</v>
      </c>
      <c r="J1960" t="s">
        <v>174</v>
      </c>
      <c r="K1960" t="s">
        <v>811</v>
      </c>
      <c r="O1960">
        <v>0</v>
      </c>
      <c r="U1960" t="s">
        <v>81</v>
      </c>
    </row>
    <row r="1961" spans="1:21" x14ac:dyDescent="0.25">
      <c r="A1961" s="33">
        <v>1963</v>
      </c>
      <c r="B1961" s="24">
        <v>44225</v>
      </c>
      <c r="C1961" t="s">
        <v>181</v>
      </c>
      <c r="D1961" t="s">
        <v>41</v>
      </c>
      <c r="E1961">
        <v>2000713699</v>
      </c>
      <c r="F1961">
        <v>2070</v>
      </c>
      <c r="G1961">
        <v>45</v>
      </c>
      <c r="H1961">
        <v>0</v>
      </c>
      <c r="I1961" t="s">
        <v>696</v>
      </c>
      <c r="J1961" t="s">
        <v>170</v>
      </c>
      <c r="K1961" t="s">
        <v>899</v>
      </c>
      <c r="O1961">
        <v>0</v>
      </c>
      <c r="T1961" s="62"/>
      <c r="U1961" t="s">
        <v>81</v>
      </c>
    </row>
    <row r="1962" spans="1:21" x14ac:dyDescent="0.25">
      <c r="A1962" s="33">
        <v>1964</v>
      </c>
      <c r="B1962" s="24">
        <v>44225</v>
      </c>
      <c r="C1962" t="s">
        <v>181</v>
      </c>
      <c r="D1962" t="s">
        <v>41</v>
      </c>
      <c r="E1962">
        <v>2000714163</v>
      </c>
      <c r="F1962">
        <v>160</v>
      </c>
      <c r="G1962">
        <v>20</v>
      </c>
      <c r="H1962">
        <v>0</v>
      </c>
      <c r="I1962" t="s">
        <v>198</v>
      </c>
      <c r="J1962" t="s">
        <v>174</v>
      </c>
      <c r="K1962" t="s">
        <v>187</v>
      </c>
      <c r="O1962">
        <v>0</v>
      </c>
      <c r="U1962" t="s">
        <v>81</v>
      </c>
    </row>
    <row r="1963" spans="1:21" x14ac:dyDescent="0.25">
      <c r="A1963" s="33">
        <v>1965</v>
      </c>
      <c r="B1963" s="24">
        <v>44225</v>
      </c>
      <c r="C1963" t="s">
        <v>181</v>
      </c>
      <c r="D1963" t="s">
        <v>41</v>
      </c>
      <c r="E1963">
        <v>2000713788</v>
      </c>
      <c r="F1963">
        <v>440</v>
      </c>
      <c r="G1963">
        <v>40</v>
      </c>
      <c r="H1963">
        <v>0</v>
      </c>
      <c r="I1963" t="s">
        <v>198</v>
      </c>
      <c r="J1963" t="s">
        <v>174</v>
      </c>
      <c r="K1963" t="s">
        <v>177</v>
      </c>
      <c r="O1963">
        <v>0</v>
      </c>
      <c r="U1963" t="s">
        <v>81</v>
      </c>
    </row>
    <row r="1964" spans="1:21" x14ac:dyDescent="0.25">
      <c r="A1964" s="33">
        <v>1966</v>
      </c>
      <c r="B1964" s="24">
        <v>44225</v>
      </c>
      <c r="C1964" t="s">
        <v>181</v>
      </c>
      <c r="D1964" t="s">
        <v>41</v>
      </c>
      <c r="E1964">
        <v>2000713699</v>
      </c>
      <c r="F1964">
        <v>2070</v>
      </c>
      <c r="G1964">
        <v>180</v>
      </c>
      <c r="H1964">
        <v>0</v>
      </c>
      <c r="I1964" t="s">
        <v>198</v>
      </c>
      <c r="J1964" t="s">
        <v>170</v>
      </c>
      <c r="K1964" t="s">
        <v>899</v>
      </c>
      <c r="O1964">
        <v>0</v>
      </c>
      <c r="U1964" t="s">
        <v>81</v>
      </c>
    </row>
    <row r="1965" spans="1:21" x14ac:dyDescent="0.25">
      <c r="A1965" s="33">
        <v>1967</v>
      </c>
      <c r="B1965" s="24">
        <v>44225</v>
      </c>
      <c r="C1965" t="s">
        <v>181</v>
      </c>
      <c r="D1965" t="s">
        <v>41</v>
      </c>
      <c r="E1965">
        <v>2000712819</v>
      </c>
      <c r="F1965">
        <v>600</v>
      </c>
      <c r="G1965">
        <v>150</v>
      </c>
      <c r="H1965">
        <v>0</v>
      </c>
      <c r="I1965" t="s">
        <v>680</v>
      </c>
      <c r="J1965" t="s">
        <v>169</v>
      </c>
      <c r="K1965" t="s">
        <v>847</v>
      </c>
      <c r="O1965">
        <v>0</v>
      </c>
      <c r="U1965" t="s">
        <v>81</v>
      </c>
    </row>
    <row r="1966" spans="1:21" x14ac:dyDescent="0.25">
      <c r="A1966" s="33">
        <v>1968</v>
      </c>
      <c r="B1966" s="24">
        <v>44225</v>
      </c>
      <c r="C1966" t="s">
        <v>181</v>
      </c>
      <c r="D1966" t="s">
        <v>41</v>
      </c>
      <c r="E1966">
        <v>2000713145</v>
      </c>
      <c r="F1966">
        <v>2000</v>
      </c>
      <c r="G1966">
        <v>300</v>
      </c>
      <c r="H1966">
        <v>0</v>
      </c>
      <c r="I1966" t="s">
        <v>680</v>
      </c>
      <c r="J1966" t="s">
        <v>193</v>
      </c>
      <c r="K1966" t="s">
        <v>683</v>
      </c>
      <c r="O1966">
        <v>0</v>
      </c>
      <c r="U1966" t="s">
        <v>81</v>
      </c>
    </row>
    <row r="1967" spans="1:21" x14ac:dyDescent="0.25">
      <c r="A1967" s="33">
        <v>1969</v>
      </c>
      <c r="B1967" s="24">
        <v>44225</v>
      </c>
      <c r="C1967" t="s">
        <v>181</v>
      </c>
      <c r="D1967" t="s">
        <v>41</v>
      </c>
      <c r="E1967">
        <v>2000713463</v>
      </c>
      <c r="F1967">
        <v>3130</v>
      </c>
      <c r="G1967">
        <v>400</v>
      </c>
      <c r="H1967">
        <v>0</v>
      </c>
      <c r="I1967" t="s">
        <v>680</v>
      </c>
      <c r="J1967" t="s">
        <v>172</v>
      </c>
      <c r="K1967" t="s">
        <v>725</v>
      </c>
      <c r="O1967">
        <v>0</v>
      </c>
      <c r="U1967" t="s">
        <v>81</v>
      </c>
    </row>
    <row r="1968" spans="1:21" x14ac:dyDescent="0.25">
      <c r="A1968" s="33">
        <v>1970</v>
      </c>
      <c r="B1968" s="24">
        <v>44225</v>
      </c>
      <c r="C1968" t="s">
        <v>181</v>
      </c>
      <c r="D1968" t="s">
        <v>41</v>
      </c>
      <c r="E1968">
        <v>2000711826</v>
      </c>
      <c r="F1968">
        <v>1440</v>
      </c>
      <c r="G1968">
        <v>240</v>
      </c>
      <c r="H1968">
        <v>0</v>
      </c>
      <c r="I1968" t="s">
        <v>680</v>
      </c>
      <c r="J1968" t="s">
        <v>203</v>
      </c>
      <c r="K1968" t="s">
        <v>640</v>
      </c>
      <c r="O1968">
        <v>0</v>
      </c>
      <c r="U1968" t="s">
        <v>81</v>
      </c>
    </row>
    <row r="1969" spans="1:21" x14ac:dyDescent="0.25">
      <c r="A1969" s="33">
        <v>1971</v>
      </c>
      <c r="B1969" s="24">
        <v>44225</v>
      </c>
      <c r="C1969" t="s">
        <v>181</v>
      </c>
      <c r="D1969" t="s">
        <v>41</v>
      </c>
      <c r="E1969">
        <v>2000713699</v>
      </c>
      <c r="F1969">
        <v>2070</v>
      </c>
      <c r="G1969">
        <v>465</v>
      </c>
      <c r="H1969">
        <v>0</v>
      </c>
      <c r="I1969" t="s">
        <v>183</v>
      </c>
      <c r="J1969" t="s">
        <v>170</v>
      </c>
      <c r="K1969" t="s">
        <v>899</v>
      </c>
      <c r="O1969">
        <v>0</v>
      </c>
      <c r="U1969" t="s">
        <v>81</v>
      </c>
    </row>
    <row r="1970" spans="1:21" x14ac:dyDescent="0.25">
      <c r="A1970" s="33">
        <v>1972</v>
      </c>
      <c r="B1970" s="24">
        <v>44225</v>
      </c>
      <c r="C1970" t="s">
        <v>181</v>
      </c>
      <c r="D1970" t="s">
        <v>41</v>
      </c>
      <c r="E1970">
        <v>2000713489</v>
      </c>
      <c r="F1970">
        <v>2336</v>
      </c>
      <c r="G1970">
        <v>90</v>
      </c>
      <c r="H1970">
        <v>0</v>
      </c>
      <c r="I1970" t="s">
        <v>183</v>
      </c>
      <c r="J1970" t="s">
        <v>170</v>
      </c>
      <c r="K1970" t="s">
        <v>899</v>
      </c>
      <c r="O1970">
        <v>0</v>
      </c>
      <c r="U1970" t="s">
        <v>81</v>
      </c>
    </row>
    <row r="1971" spans="1:21" x14ac:dyDescent="0.25">
      <c r="A1971" s="33">
        <v>1973</v>
      </c>
      <c r="B1971" s="24">
        <v>44225</v>
      </c>
      <c r="C1971" t="s">
        <v>181</v>
      </c>
      <c r="D1971" t="s">
        <v>41</v>
      </c>
      <c r="E1971">
        <v>2000713380</v>
      </c>
      <c r="F1971">
        <v>2000</v>
      </c>
      <c r="G1971">
        <v>90</v>
      </c>
      <c r="H1971">
        <v>0</v>
      </c>
      <c r="I1971" t="s">
        <v>185</v>
      </c>
      <c r="J1971" t="s">
        <v>169</v>
      </c>
      <c r="K1971" t="s">
        <v>179</v>
      </c>
      <c r="O1971">
        <v>0</v>
      </c>
      <c r="T1971" s="62"/>
      <c r="U1971" t="s">
        <v>81</v>
      </c>
    </row>
    <row r="1972" spans="1:21" x14ac:dyDescent="0.25">
      <c r="A1972" s="33">
        <v>1974</v>
      </c>
      <c r="B1972" s="24">
        <v>44225</v>
      </c>
      <c r="C1972" t="s">
        <v>181</v>
      </c>
      <c r="D1972" t="s">
        <v>41</v>
      </c>
      <c r="E1972">
        <v>2000713058</v>
      </c>
      <c r="F1972">
        <v>110</v>
      </c>
      <c r="G1972">
        <v>20</v>
      </c>
      <c r="H1972">
        <v>0</v>
      </c>
      <c r="I1972" t="s">
        <v>185</v>
      </c>
      <c r="J1972" t="s">
        <v>202</v>
      </c>
      <c r="K1972" t="s">
        <v>797</v>
      </c>
      <c r="O1972">
        <v>0</v>
      </c>
      <c r="U1972" t="s">
        <v>81</v>
      </c>
    </row>
    <row r="1973" spans="1:21" x14ac:dyDescent="0.25">
      <c r="A1973" s="33">
        <v>1975</v>
      </c>
      <c r="B1973" s="24">
        <v>44225</v>
      </c>
      <c r="C1973" t="s">
        <v>181</v>
      </c>
      <c r="D1973" t="s">
        <v>41</v>
      </c>
      <c r="E1973">
        <v>2000714158</v>
      </c>
      <c r="F1973">
        <v>900</v>
      </c>
      <c r="G1973">
        <v>80</v>
      </c>
      <c r="H1973">
        <v>0</v>
      </c>
      <c r="I1973" t="s">
        <v>185</v>
      </c>
      <c r="J1973" t="s">
        <v>687</v>
      </c>
      <c r="K1973" t="s">
        <v>757</v>
      </c>
      <c r="O1973">
        <v>0</v>
      </c>
      <c r="U1973" t="s">
        <v>81</v>
      </c>
    </row>
    <row r="1974" spans="1:21" x14ac:dyDescent="0.25">
      <c r="A1974" s="33">
        <v>1976</v>
      </c>
      <c r="B1974" s="24">
        <v>44225</v>
      </c>
      <c r="C1974" t="s">
        <v>181</v>
      </c>
      <c r="D1974" t="s">
        <v>41</v>
      </c>
      <c r="E1974">
        <v>2000714214</v>
      </c>
      <c r="F1974">
        <v>380</v>
      </c>
      <c r="G1974">
        <v>80</v>
      </c>
      <c r="H1974">
        <v>0</v>
      </c>
      <c r="I1974" t="s">
        <v>185</v>
      </c>
      <c r="J1974" t="s">
        <v>645</v>
      </c>
      <c r="K1974" t="s">
        <v>690</v>
      </c>
      <c r="O1974">
        <v>0</v>
      </c>
      <c r="U1974" t="s">
        <v>81</v>
      </c>
    </row>
    <row r="1975" spans="1:21" x14ac:dyDescent="0.25">
      <c r="A1975" s="33">
        <v>1977</v>
      </c>
      <c r="B1975" s="24">
        <v>44225</v>
      </c>
      <c r="C1975" t="s">
        <v>181</v>
      </c>
      <c r="D1975" t="s">
        <v>41</v>
      </c>
      <c r="E1975">
        <v>2000714201</v>
      </c>
      <c r="F1975">
        <v>890</v>
      </c>
      <c r="G1975">
        <v>120</v>
      </c>
      <c r="H1975">
        <v>0</v>
      </c>
      <c r="I1975" t="s">
        <v>185</v>
      </c>
      <c r="J1975" t="s">
        <v>196</v>
      </c>
      <c r="K1975" t="s">
        <v>648</v>
      </c>
      <c r="O1975">
        <v>0</v>
      </c>
      <c r="U1975" t="s">
        <v>81</v>
      </c>
    </row>
    <row r="1976" spans="1:21" x14ac:dyDescent="0.25">
      <c r="A1976" s="33">
        <v>1978</v>
      </c>
      <c r="B1976" s="24">
        <v>44225</v>
      </c>
      <c r="C1976" t="s">
        <v>181</v>
      </c>
      <c r="D1976" t="s">
        <v>51</v>
      </c>
      <c r="E1976">
        <v>2000713479</v>
      </c>
      <c r="F1976">
        <v>900</v>
      </c>
      <c r="G1976">
        <v>240</v>
      </c>
      <c r="H1976">
        <v>0</v>
      </c>
      <c r="I1976" t="s">
        <v>706</v>
      </c>
      <c r="J1976" t="s">
        <v>669</v>
      </c>
      <c r="K1976" t="s">
        <v>707</v>
      </c>
      <c r="O1976">
        <v>0</v>
      </c>
      <c r="U1976" t="s">
        <v>81</v>
      </c>
    </row>
    <row r="1977" spans="1:21" x14ac:dyDescent="0.25">
      <c r="A1977" s="33">
        <v>1979</v>
      </c>
      <c r="B1977" s="24">
        <v>44225</v>
      </c>
      <c r="C1977" t="s">
        <v>181</v>
      </c>
      <c r="D1977" t="s">
        <v>51</v>
      </c>
      <c r="E1977">
        <v>2000713640</v>
      </c>
      <c r="F1977">
        <v>620</v>
      </c>
      <c r="G1977">
        <v>130</v>
      </c>
      <c r="H1977">
        <v>0</v>
      </c>
      <c r="I1977" t="s">
        <v>706</v>
      </c>
      <c r="J1977" t="s">
        <v>676</v>
      </c>
      <c r="K1977" t="s">
        <v>677</v>
      </c>
      <c r="O1977">
        <v>0</v>
      </c>
      <c r="U1977" t="s">
        <v>81</v>
      </c>
    </row>
    <row r="1978" spans="1:21" x14ac:dyDescent="0.25">
      <c r="A1978" s="33">
        <v>1980</v>
      </c>
      <c r="B1978" s="24">
        <v>44225</v>
      </c>
      <c r="C1978" t="s">
        <v>181</v>
      </c>
      <c r="D1978" t="s">
        <v>51</v>
      </c>
      <c r="E1978">
        <v>2000710530</v>
      </c>
      <c r="F1978">
        <v>167</v>
      </c>
      <c r="G1978">
        <v>4</v>
      </c>
      <c r="H1978">
        <v>0</v>
      </c>
      <c r="I1978" t="s">
        <v>706</v>
      </c>
      <c r="J1978" t="s">
        <v>669</v>
      </c>
      <c r="K1978" t="s">
        <v>801</v>
      </c>
      <c r="O1978">
        <v>0</v>
      </c>
      <c r="U1978" t="s">
        <v>81</v>
      </c>
    </row>
    <row r="1979" spans="1:21" x14ac:dyDescent="0.25">
      <c r="A1979" s="33">
        <v>1981</v>
      </c>
      <c r="B1979" s="24">
        <v>44225</v>
      </c>
      <c r="C1979" t="s">
        <v>181</v>
      </c>
      <c r="D1979" t="s">
        <v>51</v>
      </c>
      <c r="E1979">
        <v>2000713483</v>
      </c>
      <c r="F1979">
        <v>270</v>
      </c>
      <c r="G1979">
        <v>150</v>
      </c>
      <c r="H1979">
        <v>0</v>
      </c>
      <c r="I1979" t="s">
        <v>706</v>
      </c>
      <c r="J1979" t="s">
        <v>669</v>
      </c>
      <c r="K1979" t="s">
        <v>801</v>
      </c>
      <c r="O1979">
        <v>0</v>
      </c>
      <c r="U1979" t="s">
        <v>81</v>
      </c>
    </row>
    <row r="1980" spans="1:21" x14ac:dyDescent="0.25">
      <c r="A1980" s="33">
        <v>1982</v>
      </c>
      <c r="B1980" s="24">
        <v>44225</v>
      </c>
      <c r="C1980" t="s">
        <v>181</v>
      </c>
      <c r="D1980" t="s">
        <v>51</v>
      </c>
      <c r="E1980">
        <v>2000713201</v>
      </c>
      <c r="F1980">
        <v>350</v>
      </c>
      <c r="G1980">
        <v>20</v>
      </c>
      <c r="H1980">
        <v>0</v>
      </c>
      <c r="I1980" t="s">
        <v>706</v>
      </c>
      <c r="J1980" t="s">
        <v>669</v>
      </c>
      <c r="K1980" t="s">
        <v>810</v>
      </c>
      <c r="O1980">
        <v>0</v>
      </c>
      <c r="U1980" t="s">
        <v>81</v>
      </c>
    </row>
    <row r="1981" spans="1:21" x14ac:dyDescent="0.25">
      <c r="A1981" s="33">
        <v>1983</v>
      </c>
      <c r="B1981" s="24">
        <v>44225</v>
      </c>
      <c r="C1981" t="s">
        <v>181</v>
      </c>
      <c r="D1981" t="s">
        <v>51</v>
      </c>
      <c r="E1981">
        <v>2000713664</v>
      </c>
      <c r="F1981">
        <v>350</v>
      </c>
      <c r="G1981">
        <v>10</v>
      </c>
      <c r="H1981">
        <v>0</v>
      </c>
      <c r="I1981" t="s">
        <v>706</v>
      </c>
      <c r="J1981" t="s">
        <v>669</v>
      </c>
      <c r="K1981" t="s">
        <v>670</v>
      </c>
      <c r="O1981">
        <v>0</v>
      </c>
      <c r="U1981" t="s">
        <v>81</v>
      </c>
    </row>
    <row r="1982" spans="1:21" x14ac:dyDescent="0.25">
      <c r="A1982" s="33">
        <v>1984</v>
      </c>
      <c r="B1982" s="24">
        <v>44225</v>
      </c>
      <c r="C1982" t="s">
        <v>181</v>
      </c>
      <c r="D1982" t="s">
        <v>51</v>
      </c>
      <c r="E1982">
        <v>2000713688</v>
      </c>
      <c r="F1982">
        <v>945</v>
      </c>
      <c r="G1982">
        <v>80</v>
      </c>
      <c r="H1982">
        <v>0</v>
      </c>
      <c r="I1982" t="s">
        <v>706</v>
      </c>
      <c r="J1982" t="s">
        <v>673</v>
      </c>
      <c r="K1982" t="s">
        <v>674</v>
      </c>
      <c r="O1982">
        <v>0</v>
      </c>
      <c r="U1982" t="s">
        <v>81</v>
      </c>
    </row>
    <row r="1983" spans="1:21" x14ac:dyDescent="0.25">
      <c r="A1983" s="33">
        <v>1985</v>
      </c>
      <c r="B1983" s="24">
        <v>44225</v>
      </c>
      <c r="C1983" t="s">
        <v>181</v>
      </c>
      <c r="D1983" t="s">
        <v>51</v>
      </c>
      <c r="E1983">
        <v>2000713477</v>
      </c>
      <c r="F1983">
        <v>400</v>
      </c>
      <c r="G1983">
        <v>140</v>
      </c>
      <c r="H1983">
        <v>0</v>
      </c>
      <c r="I1983" t="s">
        <v>706</v>
      </c>
      <c r="J1983" t="s">
        <v>667</v>
      </c>
      <c r="K1983" t="s">
        <v>671</v>
      </c>
      <c r="O1983">
        <v>0</v>
      </c>
      <c r="U1983" t="s">
        <v>81</v>
      </c>
    </row>
    <row r="1984" spans="1:21" x14ac:dyDescent="0.25">
      <c r="A1984" s="33">
        <v>1986</v>
      </c>
      <c r="B1984" s="24">
        <v>44225</v>
      </c>
      <c r="C1984" t="s">
        <v>181</v>
      </c>
      <c r="D1984" t="s">
        <v>51</v>
      </c>
      <c r="E1984">
        <v>2000713672</v>
      </c>
      <c r="F1984">
        <v>620</v>
      </c>
      <c r="G1984">
        <v>70</v>
      </c>
      <c r="H1984">
        <v>0</v>
      </c>
      <c r="I1984" t="s">
        <v>706</v>
      </c>
      <c r="J1984" t="s">
        <v>667</v>
      </c>
      <c r="K1984" t="s">
        <v>671</v>
      </c>
      <c r="O1984">
        <v>0</v>
      </c>
      <c r="U1984" t="s">
        <v>81</v>
      </c>
    </row>
    <row r="1985" spans="1:21" x14ac:dyDescent="0.25">
      <c r="A1985" s="33">
        <v>1987</v>
      </c>
      <c r="B1985" s="24">
        <v>44225</v>
      </c>
      <c r="C1985" t="s">
        <v>181</v>
      </c>
      <c r="D1985" t="s">
        <v>51</v>
      </c>
      <c r="E1985">
        <v>2000713690</v>
      </c>
      <c r="F1985">
        <v>180</v>
      </c>
      <c r="G1985">
        <v>60</v>
      </c>
      <c r="H1985">
        <v>0</v>
      </c>
      <c r="I1985" t="s">
        <v>706</v>
      </c>
      <c r="J1985" t="s">
        <v>669</v>
      </c>
      <c r="K1985" t="s">
        <v>848</v>
      </c>
      <c r="O1985">
        <v>0</v>
      </c>
      <c r="U1985" t="s">
        <v>81</v>
      </c>
    </row>
    <row r="1986" spans="1:21" x14ac:dyDescent="0.25">
      <c r="A1986" s="33">
        <v>1988</v>
      </c>
      <c r="B1986" s="24">
        <v>44226</v>
      </c>
      <c r="C1986" t="s">
        <v>39</v>
      </c>
      <c r="D1986" t="s">
        <v>41</v>
      </c>
      <c r="E1986">
        <v>2000714506</v>
      </c>
      <c r="F1986">
        <v>520</v>
      </c>
      <c r="G1986">
        <v>157</v>
      </c>
      <c r="H1986">
        <v>0</v>
      </c>
      <c r="I1986" t="s">
        <v>938</v>
      </c>
      <c r="J1986" t="s">
        <v>174</v>
      </c>
      <c r="K1986" t="s">
        <v>811</v>
      </c>
      <c r="O1986">
        <v>0</v>
      </c>
      <c r="U1986" t="s">
        <v>81</v>
      </c>
    </row>
    <row r="1987" spans="1:21" x14ac:dyDescent="0.25">
      <c r="A1987" s="33">
        <v>1989</v>
      </c>
      <c r="B1987" s="24">
        <v>44226</v>
      </c>
      <c r="C1987" t="s">
        <v>39</v>
      </c>
      <c r="D1987" t="s">
        <v>41</v>
      </c>
      <c r="E1987">
        <v>2000714167</v>
      </c>
      <c r="F1987">
        <v>120</v>
      </c>
      <c r="G1987">
        <v>120</v>
      </c>
      <c r="H1987">
        <v>0</v>
      </c>
      <c r="I1987" t="s">
        <v>938</v>
      </c>
      <c r="J1987" t="s">
        <v>174</v>
      </c>
      <c r="K1987" t="s">
        <v>805</v>
      </c>
      <c r="O1987">
        <v>0</v>
      </c>
      <c r="U1987" t="s">
        <v>81</v>
      </c>
    </row>
    <row r="1988" spans="1:21" x14ac:dyDescent="0.25">
      <c r="A1988" s="33">
        <v>1990</v>
      </c>
      <c r="B1988" s="24">
        <v>44226</v>
      </c>
      <c r="C1988" t="s">
        <v>39</v>
      </c>
      <c r="D1988" t="s">
        <v>41</v>
      </c>
      <c r="E1988">
        <v>2000714542</v>
      </c>
      <c r="F1988">
        <v>400</v>
      </c>
      <c r="G1988">
        <v>80</v>
      </c>
      <c r="H1988">
        <v>0</v>
      </c>
      <c r="I1988" t="s">
        <v>938</v>
      </c>
      <c r="J1988" t="s">
        <v>174</v>
      </c>
      <c r="K1988" t="s">
        <v>644</v>
      </c>
      <c r="O1988">
        <v>0</v>
      </c>
      <c r="U1988" t="s">
        <v>81</v>
      </c>
    </row>
    <row r="1989" spans="1:21" x14ac:dyDescent="0.25">
      <c r="A1989" s="33">
        <v>1991</v>
      </c>
      <c r="B1989" s="24">
        <v>44226</v>
      </c>
      <c r="C1989" t="s">
        <v>39</v>
      </c>
      <c r="D1989" t="s">
        <v>41</v>
      </c>
      <c r="E1989">
        <v>2000713129</v>
      </c>
      <c r="F1989">
        <v>500</v>
      </c>
      <c r="G1989">
        <v>99</v>
      </c>
      <c r="H1989">
        <v>1</v>
      </c>
      <c r="I1989" t="s">
        <v>938</v>
      </c>
      <c r="J1989" t="s">
        <v>698</v>
      </c>
      <c r="K1989" t="s">
        <v>699</v>
      </c>
      <c r="L1989" t="s">
        <v>104</v>
      </c>
      <c r="N1989" t="s">
        <v>959</v>
      </c>
      <c r="O1989">
        <v>1</v>
      </c>
      <c r="P1989" t="s">
        <v>960</v>
      </c>
      <c r="Q1989" t="s">
        <v>961</v>
      </c>
      <c r="R1989">
        <v>6300509436</v>
      </c>
      <c r="S1989" s="36">
        <v>0.75</v>
      </c>
      <c r="U1989" t="s">
        <v>81</v>
      </c>
    </row>
    <row r="1990" spans="1:21" x14ac:dyDescent="0.25">
      <c r="A1990" s="33">
        <v>1992</v>
      </c>
      <c r="B1990" s="24">
        <v>44226</v>
      </c>
      <c r="C1990" t="s">
        <v>39</v>
      </c>
      <c r="D1990" t="s">
        <v>41</v>
      </c>
      <c r="E1990">
        <v>2000713699</v>
      </c>
      <c r="F1990">
        <v>2070</v>
      </c>
      <c r="G1990">
        <v>355</v>
      </c>
      <c r="H1990">
        <v>0</v>
      </c>
      <c r="I1990" t="s">
        <v>661</v>
      </c>
      <c r="J1990" t="s">
        <v>170</v>
      </c>
      <c r="K1990" t="s">
        <v>899</v>
      </c>
      <c r="O1990">
        <v>0</v>
      </c>
      <c r="U1990" t="s">
        <v>81</v>
      </c>
    </row>
    <row r="1991" spans="1:21" x14ac:dyDescent="0.25">
      <c r="A1991" s="33">
        <v>1993</v>
      </c>
      <c r="B1991" s="24">
        <v>44226</v>
      </c>
      <c r="C1991" t="s">
        <v>39</v>
      </c>
      <c r="D1991" t="s">
        <v>41</v>
      </c>
      <c r="E1991">
        <v>2000713129</v>
      </c>
      <c r="F1991">
        <v>500</v>
      </c>
      <c r="G1991">
        <v>105</v>
      </c>
      <c r="H1991">
        <v>0</v>
      </c>
      <c r="I1991" t="s">
        <v>661</v>
      </c>
      <c r="J1991" t="s">
        <v>698</v>
      </c>
      <c r="K1991" t="s">
        <v>699</v>
      </c>
      <c r="O1991">
        <v>0</v>
      </c>
      <c r="U1991" t="s">
        <v>81</v>
      </c>
    </row>
    <row r="1992" spans="1:21" x14ac:dyDescent="0.25">
      <c r="A1992" s="33">
        <v>1994</v>
      </c>
      <c r="B1992" s="24">
        <v>44226</v>
      </c>
      <c r="C1992" t="s">
        <v>39</v>
      </c>
      <c r="D1992" t="s">
        <v>41</v>
      </c>
      <c r="E1992">
        <v>2000713489</v>
      </c>
      <c r="F1992">
        <v>2336</v>
      </c>
      <c r="G1992">
        <v>270</v>
      </c>
      <c r="H1992">
        <v>0</v>
      </c>
      <c r="I1992" t="s">
        <v>661</v>
      </c>
      <c r="J1992" t="s">
        <v>170</v>
      </c>
      <c r="K1992" t="s">
        <v>899</v>
      </c>
      <c r="O1992">
        <v>0</v>
      </c>
      <c r="U1992" t="s">
        <v>81</v>
      </c>
    </row>
    <row r="1993" spans="1:21" x14ac:dyDescent="0.25">
      <c r="A1993" s="33">
        <v>1995</v>
      </c>
      <c r="B1993" s="24">
        <v>44226</v>
      </c>
      <c r="C1993" t="s">
        <v>39</v>
      </c>
      <c r="D1993" t="s">
        <v>41</v>
      </c>
      <c r="E1993">
        <v>2000713699</v>
      </c>
      <c r="F1993">
        <v>2070</v>
      </c>
      <c r="G1993">
        <v>90</v>
      </c>
      <c r="H1993">
        <v>0</v>
      </c>
      <c r="I1993" t="s">
        <v>178</v>
      </c>
      <c r="J1993" t="s">
        <v>170</v>
      </c>
      <c r="K1993" t="s">
        <v>899</v>
      </c>
      <c r="O1993">
        <v>0</v>
      </c>
      <c r="U1993" t="s">
        <v>81</v>
      </c>
    </row>
    <row r="1994" spans="1:21" x14ac:dyDescent="0.25">
      <c r="A1994" s="33">
        <v>1996</v>
      </c>
      <c r="B1994" s="24">
        <v>44226</v>
      </c>
      <c r="C1994" t="s">
        <v>39</v>
      </c>
      <c r="D1994" t="s">
        <v>41</v>
      </c>
      <c r="E1994">
        <v>2000713178</v>
      </c>
      <c r="F1994">
        <v>500</v>
      </c>
      <c r="G1994">
        <v>50</v>
      </c>
      <c r="H1994">
        <v>0</v>
      </c>
      <c r="I1994" t="s">
        <v>178</v>
      </c>
      <c r="J1994" t="s">
        <v>203</v>
      </c>
      <c r="K1994" t="s">
        <v>891</v>
      </c>
      <c r="O1994">
        <v>0</v>
      </c>
      <c r="U1994" t="s">
        <v>81</v>
      </c>
    </row>
    <row r="1995" spans="1:21" x14ac:dyDescent="0.25">
      <c r="A1995" s="33">
        <v>1997</v>
      </c>
      <c r="B1995" s="24">
        <v>44226</v>
      </c>
      <c r="C1995" t="s">
        <v>39</v>
      </c>
      <c r="D1995" t="s">
        <v>41</v>
      </c>
      <c r="E1995">
        <v>2000713482</v>
      </c>
      <c r="F1995">
        <v>488</v>
      </c>
      <c r="G1995">
        <v>60</v>
      </c>
      <c r="H1995">
        <v>0</v>
      </c>
      <c r="I1995" t="s">
        <v>178</v>
      </c>
      <c r="J1995" t="s">
        <v>203</v>
      </c>
      <c r="K1995" t="s">
        <v>891</v>
      </c>
      <c r="O1995">
        <v>0</v>
      </c>
      <c r="U1995" t="s">
        <v>81</v>
      </c>
    </row>
    <row r="1996" spans="1:21" x14ac:dyDescent="0.25">
      <c r="A1996" s="33">
        <v>1998</v>
      </c>
      <c r="B1996" s="24">
        <v>44226</v>
      </c>
      <c r="C1996" t="s">
        <v>39</v>
      </c>
      <c r="D1996" t="s">
        <v>41</v>
      </c>
      <c r="E1996">
        <v>2000714507</v>
      </c>
      <c r="F1996">
        <v>800</v>
      </c>
      <c r="G1996">
        <v>60</v>
      </c>
      <c r="H1996">
        <v>0</v>
      </c>
      <c r="I1996" t="s">
        <v>178</v>
      </c>
      <c r="J1996" t="s">
        <v>203</v>
      </c>
      <c r="K1996" t="s">
        <v>785</v>
      </c>
      <c r="O1996">
        <v>0</v>
      </c>
      <c r="U1996" t="s">
        <v>81</v>
      </c>
    </row>
    <row r="1997" spans="1:21" x14ac:dyDescent="0.25">
      <c r="A1997" s="33">
        <v>1999</v>
      </c>
      <c r="B1997" s="24">
        <v>44226</v>
      </c>
      <c r="C1997" t="s">
        <v>39</v>
      </c>
      <c r="D1997" t="s">
        <v>41</v>
      </c>
      <c r="E1997">
        <v>2000713129</v>
      </c>
      <c r="F1997">
        <v>500</v>
      </c>
      <c r="G1997">
        <v>210</v>
      </c>
      <c r="H1997">
        <v>0</v>
      </c>
      <c r="I1997" t="s">
        <v>178</v>
      </c>
      <c r="J1997" t="s">
        <v>698</v>
      </c>
      <c r="K1997" t="s">
        <v>699</v>
      </c>
      <c r="O1997">
        <v>0</v>
      </c>
      <c r="U1997" t="s">
        <v>81</v>
      </c>
    </row>
    <row r="1998" spans="1:21" x14ac:dyDescent="0.25">
      <c r="A1998" s="33">
        <v>2000</v>
      </c>
      <c r="B1998" s="24">
        <v>44226</v>
      </c>
      <c r="C1998" t="s">
        <v>39</v>
      </c>
      <c r="D1998" t="s">
        <v>41</v>
      </c>
      <c r="E1998">
        <v>2000714506</v>
      </c>
      <c r="F1998">
        <v>520</v>
      </c>
      <c r="G1998">
        <v>80</v>
      </c>
      <c r="H1998">
        <v>0</v>
      </c>
      <c r="I1998" t="s">
        <v>194</v>
      </c>
      <c r="J1998" t="s">
        <v>174</v>
      </c>
      <c r="K1998" t="s">
        <v>811</v>
      </c>
      <c r="O1998">
        <v>0</v>
      </c>
      <c r="U1998" t="s">
        <v>81</v>
      </c>
    </row>
    <row r="1999" spans="1:21" x14ac:dyDescent="0.25">
      <c r="A1999" s="33">
        <v>2001</v>
      </c>
      <c r="B1999" s="24">
        <v>44226</v>
      </c>
      <c r="C1999" t="s">
        <v>39</v>
      </c>
      <c r="D1999" t="s">
        <v>41</v>
      </c>
      <c r="E1999">
        <v>2000713489</v>
      </c>
      <c r="F1999">
        <v>2336</v>
      </c>
      <c r="G1999">
        <v>45</v>
      </c>
      <c r="H1999">
        <v>0</v>
      </c>
      <c r="I1999" t="s">
        <v>194</v>
      </c>
      <c r="J1999" t="s">
        <v>170</v>
      </c>
      <c r="K1999" t="s">
        <v>899</v>
      </c>
      <c r="O1999">
        <v>0</v>
      </c>
      <c r="U1999" t="s">
        <v>81</v>
      </c>
    </row>
    <row r="2000" spans="1:21" x14ac:dyDescent="0.25">
      <c r="A2000" s="33">
        <v>2002</v>
      </c>
      <c r="B2000" s="24">
        <v>44226</v>
      </c>
      <c r="C2000" t="s">
        <v>39</v>
      </c>
      <c r="D2000" t="s">
        <v>41</v>
      </c>
      <c r="E2000">
        <v>2000713699</v>
      </c>
      <c r="F2000">
        <v>2070</v>
      </c>
      <c r="G2000">
        <v>90</v>
      </c>
      <c r="H2000">
        <v>0</v>
      </c>
      <c r="I2000" t="s">
        <v>194</v>
      </c>
      <c r="J2000" t="s">
        <v>170</v>
      </c>
      <c r="K2000" t="s">
        <v>899</v>
      </c>
      <c r="O2000">
        <v>0</v>
      </c>
      <c r="U2000" t="s">
        <v>81</v>
      </c>
    </row>
    <row r="2001" spans="1:21" x14ac:dyDescent="0.25">
      <c r="A2001" s="33">
        <v>2003</v>
      </c>
      <c r="B2001" s="24">
        <v>44226</v>
      </c>
      <c r="C2001" t="s">
        <v>39</v>
      </c>
      <c r="D2001" t="s">
        <v>41</v>
      </c>
      <c r="E2001">
        <v>2000714507</v>
      </c>
      <c r="F2001">
        <v>800</v>
      </c>
      <c r="G2001">
        <v>154</v>
      </c>
      <c r="H2001">
        <v>0</v>
      </c>
      <c r="I2001" t="s">
        <v>194</v>
      </c>
      <c r="J2001" t="s">
        <v>203</v>
      </c>
      <c r="K2001" t="s">
        <v>785</v>
      </c>
      <c r="O2001">
        <v>0</v>
      </c>
      <c r="U2001" t="s">
        <v>81</v>
      </c>
    </row>
    <row r="2002" spans="1:21" x14ac:dyDescent="0.25">
      <c r="A2002" s="33">
        <v>2004</v>
      </c>
      <c r="B2002" s="24">
        <v>44226</v>
      </c>
      <c r="C2002" t="s">
        <v>39</v>
      </c>
      <c r="D2002" t="s">
        <v>41</v>
      </c>
      <c r="E2002">
        <v>2000713482</v>
      </c>
      <c r="F2002">
        <v>488</v>
      </c>
      <c r="G2002">
        <v>30</v>
      </c>
      <c r="H2002">
        <v>0</v>
      </c>
      <c r="I2002" t="s">
        <v>194</v>
      </c>
      <c r="J2002" t="s">
        <v>962</v>
      </c>
      <c r="K2002" t="s">
        <v>891</v>
      </c>
      <c r="O2002">
        <v>0</v>
      </c>
      <c r="U2002" t="s">
        <v>81</v>
      </c>
    </row>
    <row r="2003" spans="1:21" x14ac:dyDescent="0.25">
      <c r="A2003" s="33">
        <v>2005</v>
      </c>
      <c r="B2003" s="24">
        <v>44226</v>
      </c>
      <c r="C2003" t="s">
        <v>39</v>
      </c>
      <c r="D2003" t="s">
        <v>41</v>
      </c>
      <c r="E2003">
        <v>2000713178</v>
      </c>
      <c r="F2003">
        <v>500</v>
      </c>
      <c r="G2003">
        <v>10</v>
      </c>
      <c r="H2003">
        <v>0</v>
      </c>
      <c r="I2003" t="s">
        <v>168</v>
      </c>
      <c r="J2003" t="s">
        <v>203</v>
      </c>
      <c r="K2003" t="s">
        <v>891</v>
      </c>
      <c r="O2003">
        <v>0</v>
      </c>
      <c r="U2003" t="s">
        <v>81</v>
      </c>
    </row>
    <row r="2004" spans="1:21" x14ac:dyDescent="0.25">
      <c r="A2004" s="33">
        <v>2006</v>
      </c>
      <c r="B2004" s="24">
        <v>44226</v>
      </c>
      <c r="C2004" t="s">
        <v>39</v>
      </c>
      <c r="D2004" t="s">
        <v>41</v>
      </c>
      <c r="E2004">
        <v>2000713699</v>
      </c>
      <c r="F2004">
        <v>2070</v>
      </c>
      <c r="G2004">
        <v>45</v>
      </c>
      <c r="H2004">
        <v>0</v>
      </c>
      <c r="I2004" t="s">
        <v>168</v>
      </c>
      <c r="J2004" t="s">
        <v>170</v>
      </c>
      <c r="K2004" t="s">
        <v>899</v>
      </c>
      <c r="O2004">
        <v>0</v>
      </c>
      <c r="U2004" t="s">
        <v>81</v>
      </c>
    </row>
    <row r="2005" spans="1:21" x14ac:dyDescent="0.25">
      <c r="A2005" s="33">
        <v>2007</v>
      </c>
      <c r="B2005" s="24">
        <v>44226</v>
      </c>
      <c r="C2005" t="s">
        <v>39</v>
      </c>
      <c r="D2005" t="s">
        <v>41</v>
      </c>
      <c r="E2005">
        <v>2000714507</v>
      </c>
      <c r="F2005">
        <v>800</v>
      </c>
      <c r="G2005">
        <v>60</v>
      </c>
      <c r="H2005">
        <v>0</v>
      </c>
      <c r="I2005" t="s">
        <v>168</v>
      </c>
      <c r="J2005" t="s">
        <v>203</v>
      </c>
      <c r="K2005" t="s">
        <v>785</v>
      </c>
      <c r="O2005">
        <v>0</v>
      </c>
      <c r="U2005" t="s">
        <v>81</v>
      </c>
    </row>
    <row r="2006" spans="1:21" x14ac:dyDescent="0.25">
      <c r="A2006" s="33">
        <v>2008</v>
      </c>
      <c r="B2006" s="24">
        <v>44226</v>
      </c>
      <c r="C2006" t="s">
        <v>39</v>
      </c>
      <c r="D2006" t="s">
        <v>41</v>
      </c>
      <c r="E2006">
        <v>2000712482</v>
      </c>
      <c r="F2006">
        <v>488</v>
      </c>
      <c r="G2006">
        <v>7</v>
      </c>
      <c r="H2006">
        <v>0</v>
      </c>
      <c r="I2006" t="s">
        <v>168</v>
      </c>
      <c r="J2006" t="s">
        <v>962</v>
      </c>
      <c r="K2006" t="s">
        <v>891</v>
      </c>
      <c r="O2006">
        <v>0</v>
      </c>
      <c r="U2006" t="s">
        <v>81</v>
      </c>
    </row>
    <row r="2007" spans="1:21" ht="45" x14ac:dyDescent="0.25">
      <c r="A2007" s="33">
        <v>2009</v>
      </c>
      <c r="B2007" s="24">
        <v>44226</v>
      </c>
      <c r="C2007" t="s">
        <v>39</v>
      </c>
      <c r="D2007" t="s">
        <v>41</v>
      </c>
      <c r="E2007">
        <v>2000714506</v>
      </c>
      <c r="F2007">
        <v>520</v>
      </c>
      <c r="G2007">
        <v>160</v>
      </c>
      <c r="H2007">
        <v>0</v>
      </c>
      <c r="I2007" t="s">
        <v>666</v>
      </c>
      <c r="J2007" t="s">
        <v>174</v>
      </c>
      <c r="K2007" t="s">
        <v>811</v>
      </c>
      <c r="O2007">
        <v>0</v>
      </c>
      <c r="T2007" s="62" t="s">
        <v>775</v>
      </c>
      <c r="U2007" t="s">
        <v>81</v>
      </c>
    </row>
    <row r="2008" spans="1:21" x14ac:dyDescent="0.25">
      <c r="A2008" s="33">
        <v>2010</v>
      </c>
      <c r="B2008" s="24">
        <v>44226</v>
      </c>
      <c r="C2008" t="s">
        <v>39</v>
      </c>
      <c r="D2008" t="s">
        <v>41</v>
      </c>
      <c r="E2008">
        <v>2000714479</v>
      </c>
      <c r="F2008">
        <v>900</v>
      </c>
      <c r="G2008">
        <v>80</v>
      </c>
      <c r="H2008">
        <v>0</v>
      </c>
      <c r="I2008" t="s">
        <v>666</v>
      </c>
      <c r="J2008" t="s">
        <v>687</v>
      </c>
      <c r="K2008" t="s">
        <v>705</v>
      </c>
      <c r="O2008">
        <v>0</v>
      </c>
      <c r="U2008" t="s">
        <v>81</v>
      </c>
    </row>
    <row r="2009" spans="1:21" x14ac:dyDescent="0.25">
      <c r="A2009" s="33">
        <v>2011</v>
      </c>
      <c r="B2009" s="24">
        <v>44226</v>
      </c>
      <c r="C2009" t="s">
        <v>39</v>
      </c>
      <c r="D2009" t="s">
        <v>41</v>
      </c>
      <c r="E2009">
        <v>2000713698</v>
      </c>
      <c r="F2009">
        <v>1500</v>
      </c>
      <c r="G2009">
        <v>120</v>
      </c>
      <c r="H2009">
        <v>0</v>
      </c>
      <c r="I2009" t="s">
        <v>666</v>
      </c>
      <c r="J2009" t="s">
        <v>687</v>
      </c>
      <c r="K2009" t="s">
        <v>688</v>
      </c>
      <c r="O2009">
        <v>0</v>
      </c>
      <c r="U2009" t="s">
        <v>81</v>
      </c>
    </row>
    <row r="2010" spans="1:21" x14ac:dyDescent="0.25">
      <c r="A2010" s="33">
        <v>2012</v>
      </c>
      <c r="B2010" s="24">
        <v>44226</v>
      </c>
      <c r="C2010" t="s">
        <v>39</v>
      </c>
      <c r="D2010" t="s">
        <v>41</v>
      </c>
      <c r="E2010">
        <v>2000713894</v>
      </c>
      <c r="F2010">
        <v>2752</v>
      </c>
      <c r="G2010">
        <v>120</v>
      </c>
      <c r="H2010">
        <v>0</v>
      </c>
      <c r="I2010" t="s">
        <v>666</v>
      </c>
      <c r="J2010" t="s">
        <v>655</v>
      </c>
      <c r="K2010" t="s">
        <v>656</v>
      </c>
      <c r="O2010">
        <v>0</v>
      </c>
      <c r="U2010" t="s">
        <v>81</v>
      </c>
    </row>
    <row r="2011" spans="1:21" x14ac:dyDescent="0.25">
      <c r="A2011" s="33">
        <v>2013</v>
      </c>
      <c r="B2011" s="24">
        <v>44226</v>
      </c>
      <c r="C2011" t="s">
        <v>39</v>
      </c>
      <c r="D2011" t="s">
        <v>41</v>
      </c>
      <c r="E2011">
        <v>2000714213</v>
      </c>
      <c r="F2011">
        <v>320</v>
      </c>
      <c r="G2011">
        <v>80</v>
      </c>
      <c r="H2011">
        <v>0</v>
      </c>
      <c r="I2011" t="s">
        <v>666</v>
      </c>
      <c r="J2011" t="s">
        <v>645</v>
      </c>
      <c r="K2011" t="s">
        <v>752</v>
      </c>
      <c r="O2011">
        <v>0</v>
      </c>
      <c r="U2011" t="s">
        <v>81</v>
      </c>
    </row>
    <row r="2012" spans="1:21" x14ac:dyDescent="0.25">
      <c r="A2012" s="33">
        <v>2014</v>
      </c>
      <c r="B2012" s="24">
        <v>44226</v>
      </c>
      <c r="C2012" t="s">
        <v>39</v>
      </c>
      <c r="D2012" t="s">
        <v>41</v>
      </c>
      <c r="E2012">
        <v>2000714194</v>
      </c>
      <c r="F2012">
        <v>1270</v>
      </c>
      <c r="G2012">
        <v>60</v>
      </c>
      <c r="H2012">
        <v>0</v>
      </c>
      <c r="I2012" t="s">
        <v>666</v>
      </c>
      <c r="J2012" t="s">
        <v>172</v>
      </c>
      <c r="K2012" t="s">
        <v>173</v>
      </c>
      <c r="O2012">
        <v>0</v>
      </c>
      <c r="U2012" t="s">
        <v>81</v>
      </c>
    </row>
    <row r="2013" spans="1:21" x14ac:dyDescent="0.25">
      <c r="A2013" s="33">
        <v>2015</v>
      </c>
      <c r="B2013" s="24">
        <v>44226</v>
      </c>
      <c r="C2013" t="s">
        <v>39</v>
      </c>
      <c r="D2013" t="s">
        <v>41</v>
      </c>
      <c r="E2013">
        <v>2000714522</v>
      </c>
      <c r="F2013">
        <v>380</v>
      </c>
      <c r="G2013">
        <v>80</v>
      </c>
      <c r="H2013">
        <v>0</v>
      </c>
      <c r="I2013" t="s">
        <v>666</v>
      </c>
      <c r="J2013" t="s">
        <v>645</v>
      </c>
      <c r="K2013" t="s">
        <v>752</v>
      </c>
      <c r="O2013">
        <v>0</v>
      </c>
      <c r="U2013" t="s">
        <v>81</v>
      </c>
    </row>
    <row r="2014" spans="1:21" x14ac:dyDescent="0.25">
      <c r="A2014" s="33">
        <v>2016</v>
      </c>
      <c r="B2014" s="24">
        <v>44226</v>
      </c>
      <c r="C2014" t="s">
        <v>39</v>
      </c>
      <c r="D2014" t="s">
        <v>41</v>
      </c>
      <c r="E2014">
        <v>2000714472</v>
      </c>
      <c r="F2014">
        <v>2060</v>
      </c>
      <c r="G2014">
        <v>200</v>
      </c>
      <c r="H2014">
        <v>0</v>
      </c>
      <c r="I2014" t="s">
        <v>201</v>
      </c>
      <c r="J2014" t="s">
        <v>193</v>
      </c>
      <c r="K2014" t="s">
        <v>686</v>
      </c>
      <c r="O2014">
        <v>0</v>
      </c>
      <c r="U2014" t="s">
        <v>81</v>
      </c>
    </row>
    <row r="2015" spans="1:21" x14ac:dyDescent="0.25">
      <c r="A2015" s="33">
        <v>2017</v>
      </c>
      <c r="B2015" s="24">
        <v>44226</v>
      </c>
      <c r="C2015" t="s">
        <v>39</v>
      </c>
      <c r="D2015" t="s">
        <v>41</v>
      </c>
      <c r="E2015">
        <v>2000714199</v>
      </c>
      <c r="F2015">
        <v>890</v>
      </c>
      <c r="G2015">
        <v>150</v>
      </c>
      <c r="H2015">
        <v>0</v>
      </c>
      <c r="I2015" t="s">
        <v>201</v>
      </c>
      <c r="J2015" t="s">
        <v>196</v>
      </c>
      <c r="K2015" t="s">
        <v>682</v>
      </c>
      <c r="O2015">
        <v>0</v>
      </c>
      <c r="U2015" t="s">
        <v>81</v>
      </c>
    </row>
    <row r="2016" spans="1:21" x14ac:dyDescent="0.25">
      <c r="A2016" s="33">
        <v>2018</v>
      </c>
      <c r="B2016" s="24">
        <v>44226</v>
      </c>
      <c r="C2016" t="s">
        <v>39</v>
      </c>
      <c r="D2016" t="s">
        <v>41</v>
      </c>
      <c r="E2016">
        <v>2000713056</v>
      </c>
      <c r="F2016">
        <v>110</v>
      </c>
      <c r="G2016">
        <v>50</v>
      </c>
      <c r="H2016">
        <v>0</v>
      </c>
      <c r="I2016" t="s">
        <v>201</v>
      </c>
      <c r="J2016" t="s">
        <v>202</v>
      </c>
      <c r="K2016" t="s">
        <v>831</v>
      </c>
      <c r="O2016">
        <v>0</v>
      </c>
      <c r="U2016" t="s">
        <v>81</v>
      </c>
    </row>
    <row r="2017" spans="1:21" x14ac:dyDescent="0.25">
      <c r="A2017" s="33">
        <v>2019</v>
      </c>
      <c r="B2017" s="24">
        <v>44226</v>
      </c>
      <c r="C2017" t="s">
        <v>39</v>
      </c>
      <c r="D2017" t="s">
        <v>41</v>
      </c>
      <c r="E2017">
        <v>2000713057</v>
      </c>
      <c r="F2017">
        <v>110</v>
      </c>
      <c r="G2017">
        <v>20</v>
      </c>
      <c r="H2017">
        <v>0</v>
      </c>
      <c r="I2017" t="s">
        <v>201</v>
      </c>
      <c r="J2017" t="s">
        <v>202</v>
      </c>
      <c r="K2017" t="s">
        <v>832</v>
      </c>
      <c r="O2017">
        <v>0</v>
      </c>
      <c r="U2017" t="s">
        <v>81</v>
      </c>
    </row>
    <row r="2018" spans="1:21" x14ac:dyDescent="0.25">
      <c r="A2018" s="33">
        <v>2020</v>
      </c>
      <c r="B2018" s="24">
        <v>44226</v>
      </c>
      <c r="C2018" t="s">
        <v>39</v>
      </c>
      <c r="D2018" t="s">
        <v>41</v>
      </c>
      <c r="E2018">
        <v>2000713893</v>
      </c>
      <c r="F2018">
        <v>5408</v>
      </c>
      <c r="G2018">
        <v>200</v>
      </c>
      <c r="H2018">
        <v>0</v>
      </c>
      <c r="I2018" t="s">
        <v>201</v>
      </c>
      <c r="J2018" t="s">
        <v>200</v>
      </c>
      <c r="K2018" t="s">
        <v>653</v>
      </c>
      <c r="O2018">
        <v>0</v>
      </c>
      <c r="U2018" t="s">
        <v>81</v>
      </c>
    </row>
    <row r="2019" spans="1:21" x14ac:dyDescent="0.25">
      <c r="A2019" s="33">
        <v>2021</v>
      </c>
      <c r="B2019" s="24">
        <v>44226</v>
      </c>
      <c r="C2019" t="s">
        <v>39</v>
      </c>
      <c r="D2019" t="s">
        <v>41</v>
      </c>
      <c r="E2019">
        <v>2000713055</v>
      </c>
      <c r="F2019">
        <v>110</v>
      </c>
      <c r="G2019">
        <v>40</v>
      </c>
      <c r="H2019">
        <v>0</v>
      </c>
      <c r="I2019" t="s">
        <v>201</v>
      </c>
      <c r="J2019" t="s">
        <v>202</v>
      </c>
      <c r="K2019" t="s">
        <v>830</v>
      </c>
      <c r="O2019">
        <v>0</v>
      </c>
      <c r="U2019" t="s">
        <v>81</v>
      </c>
    </row>
    <row r="2020" spans="1:21" x14ac:dyDescent="0.25">
      <c r="A2020" s="33">
        <v>2022</v>
      </c>
      <c r="B2020" s="24">
        <v>44226</v>
      </c>
      <c r="C2020" t="s">
        <v>39</v>
      </c>
      <c r="D2020" t="s">
        <v>41</v>
      </c>
      <c r="E2020">
        <v>2000713860</v>
      </c>
      <c r="F2020">
        <v>7890</v>
      </c>
      <c r="G2020">
        <v>300</v>
      </c>
      <c r="H2020">
        <v>0</v>
      </c>
      <c r="I2020" t="s">
        <v>201</v>
      </c>
      <c r="J2020" t="s">
        <v>200</v>
      </c>
      <c r="K2020" t="s">
        <v>737</v>
      </c>
      <c r="O2020">
        <v>0</v>
      </c>
      <c r="U2020" t="s">
        <v>81</v>
      </c>
    </row>
    <row r="2021" spans="1:21" x14ac:dyDescent="0.25">
      <c r="A2021" s="33">
        <v>2023</v>
      </c>
      <c r="B2021" s="24">
        <v>44226</v>
      </c>
      <c r="C2021" t="s">
        <v>39</v>
      </c>
      <c r="D2021" t="s">
        <v>41</v>
      </c>
      <c r="E2021">
        <v>2000714127</v>
      </c>
      <c r="F2021">
        <v>3008</v>
      </c>
      <c r="G2021">
        <v>400</v>
      </c>
      <c r="H2021">
        <v>0</v>
      </c>
      <c r="I2021" t="s">
        <v>201</v>
      </c>
      <c r="J2021" t="s">
        <v>203</v>
      </c>
      <c r="K2021" t="s">
        <v>788</v>
      </c>
      <c r="O2021">
        <v>0</v>
      </c>
      <c r="U2021" t="s">
        <v>81</v>
      </c>
    </row>
    <row r="2022" spans="1:21" x14ac:dyDescent="0.25">
      <c r="A2022" s="33">
        <v>2025</v>
      </c>
      <c r="B2022" s="24">
        <v>44226</v>
      </c>
      <c r="C2022" t="s">
        <v>39</v>
      </c>
      <c r="D2022" t="s">
        <v>41</v>
      </c>
      <c r="E2022">
        <v>2000713990</v>
      </c>
      <c r="F2022">
        <v>580</v>
      </c>
      <c r="G2022">
        <v>100</v>
      </c>
      <c r="H2022">
        <v>0</v>
      </c>
      <c r="I2022" t="s">
        <v>201</v>
      </c>
      <c r="J2022" t="s">
        <v>172</v>
      </c>
      <c r="K2022" t="s">
        <v>725</v>
      </c>
      <c r="O2022">
        <v>0</v>
      </c>
      <c r="U2022" t="s">
        <v>81</v>
      </c>
    </row>
    <row r="2023" spans="1:21" x14ac:dyDescent="0.25">
      <c r="A2023" s="33">
        <v>2026</v>
      </c>
      <c r="B2023" s="24">
        <v>44226</v>
      </c>
      <c r="C2023" t="s">
        <v>39</v>
      </c>
      <c r="D2023" t="s">
        <v>41</v>
      </c>
      <c r="E2023">
        <v>2000714471</v>
      </c>
      <c r="F2023">
        <v>2060</v>
      </c>
      <c r="G2023">
        <v>160</v>
      </c>
      <c r="H2023">
        <v>0</v>
      </c>
      <c r="I2023" t="s">
        <v>201</v>
      </c>
      <c r="J2023" t="s">
        <v>193</v>
      </c>
      <c r="K2023" t="s">
        <v>650</v>
      </c>
      <c r="O2023">
        <v>0</v>
      </c>
      <c r="U2023" t="s">
        <v>81</v>
      </c>
    </row>
    <row r="2024" spans="1:21" x14ac:dyDescent="0.25">
      <c r="A2024" s="33">
        <v>2027</v>
      </c>
      <c r="B2024" s="24">
        <v>44226</v>
      </c>
      <c r="C2024" t="s">
        <v>39</v>
      </c>
      <c r="D2024" t="s">
        <v>41</v>
      </c>
      <c r="E2024">
        <v>2000714469</v>
      </c>
      <c r="F2024">
        <v>2060</v>
      </c>
      <c r="G2024">
        <v>150</v>
      </c>
      <c r="H2024">
        <v>0</v>
      </c>
      <c r="I2024" t="s">
        <v>201</v>
      </c>
      <c r="J2024" t="s">
        <v>193</v>
      </c>
      <c r="K2024" t="s">
        <v>176</v>
      </c>
      <c r="O2024">
        <v>0</v>
      </c>
      <c r="U2024" t="s">
        <v>81</v>
      </c>
    </row>
    <row r="2025" spans="1:21" x14ac:dyDescent="0.25">
      <c r="A2025" s="33">
        <v>2028</v>
      </c>
      <c r="B2025" s="24">
        <v>44226</v>
      </c>
      <c r="C2025" t="s">
        <v>39</v>
      </c>
      <c r="D2025" t="s">
        <v>41</v>
      </c>
      <c r="E2025">
        <v>2000714131</v>
      </c>
      <c r="F2025">
        <v>920</v>
      </c>
      <c r="G2025">
        <v>160</v>
      </c>
      <c r="H2025">
        <v>0</v>
      </c>
      <c r="I2025" t="s">
        <v>201</v>
      </c>
      <c r="J2025" t="s">
        <v>745</v>
      </c>
      <c r="K2025" t="s">
        <v>879</v>
      </c>
      <c r="O2025">
        <v>0</v>
      </c>
      <c r="U2025" t="s">
        <v>81</v>
      </c>
    </row>
    <row r="2026" spans="1:21" x14ac:dyDescent="0.25">
      <c r="A2026" s="33">
        <v>2029</v>
      </c>
      <c r="B2026" s="24">
        <v>44226</v>
      </c>
      <c r="C2026" t="s">
        <v>39</v>
      </c>
      <c r="D2026" t="s">
        <v>41</v>
      </c>
      <c r="E2026">
        <v>2000713855</v>
      </c>
      <c r="F2026">
        <v>2300</v>
      </c>
      <c r="G2026">
        <v>120</v>
      </c>
      <c r="H2026">
        <v>0</v>
      </c>
      <c r="I2026" t="s">
        <v>642</v>
      </c>
      <c r="J2026" t="s">
        <v>645</v>
      </c>
      <c r="K2026" t="s">
        <v>963</v>
      </c>
      <c r="O2026">
        <v>0</v>
      </c>
      <c r="U2026" t="s">
        <v>81</v>
      </c>
    </row>
    <row r="2027" spans="1:21" x14ac:dyDescent="0.25">
      <c r="A2027" s="33">
        <v>2030</v>
      </c>
      <c r="B2027" s="24">
        <v>44226</v>
      </c>
      <c r="C2027" t="s">
        <v>39</v>
      </c>
      <c r="D2027" t="s">
        <v>41</v>
      </c>
      <c r="E2027">
        <v>2000714212</v>
      </c>
      <c r="F2027">
        <v>340</v>
      </c>
      <c r="G2027">
        <v>80</v>
      </c>
      <c r="H2027">
        <v>0</v>
      </c>
      <c r="I2027" t="s">
        <v>642</v>
      </c>
      <c r="J2027" t="s">
        <v>645</v>
      </c>
      <c r="K2027" t="s">
        <v>719</v>
      </c>
      <c r="O2027">
        <v>0</v>
      </c>
      <c r="U2027" t="s">
        <v>81</v>
      </c>
    </row>
    <row r="2028" spans="1:21" x14ac:dyDescent="0.25">
      <c r="A2028" s="33">
        <v>2031</v>
      </c>
      <c r="B2028" s="24">
        <v>44226</v>
      </c>
      <c r="C2028" t="s">
        <v>39</v>
      </c>
      <c r="D2028" t="s">
        <v>41</v>
      </c>
      <c r="E2028">
        <v>2000714194</v>
      </c>
      <c r="F2028">
        <v>1270</v>
      </c>
      <c r="G2028">
        <v>40</v>
      </c>
      <c r="H2028">
        <v>0</v>
      </c>
      <c r="I2028" t="s">
        <v>642</v>
      </c>
      <c r="J2028" t="s">
        <v>172</v>
      </c>
      <c r="K2028" t="s">
        <v>173</v>
      </c>
      <c r="O2028">
        <v>0</v>
      </c>
      <c r="U2028" t="s">
        <v>81</v>
      </c>
    </row>
    <row r="2029" spans="1:21" x14ac:dyDescent="0.25">
      <c r="A2029" s="33">
        <v>2032</v>
      </c>
      <c r="B2029" s="24">
        <v>44226</v>
      </c>
      <c r="C2029" t="s">
        <v>39</v>
      </c>
      <c r="D2029" t="s">
        <v>51</v>
      </c>
      <c r="E2029">
        <v>2000713672</v>
      </c>
      <c r="F2029">
        <v>620</v>
      </c>
      <c r="G2029">
        <v>105</v>
      </c>
      <c r="H2029">
        <v>0</v>
      </c>
      <c r="I2029" t="s">
        <v>168</v>
      </c>
      <c r="J2029" t="s">
        <v>667</v>
      </c>
      <c r="K2029" t="s">
        <v>671</v>
      </c>
      <c r="O2029">
        <v>0</v>
      </c>
      <c r="U2029" t="s">
        <v>81</v>
      </c>
    </row>
    <row r="2030" spans="1:21" x14ac:dyDescent="0.25">
      <c r="A2030" s="33">
        <v>2033</v>
      </c>
      <c r="B2030" s="24">
        <v>44226</v>
      </c>
      <c r="C2030" t="s">
        <v>39</v>
      </c>
      <c r="D2030" t="s">
        <v>51</v>
      </c>
      <c r="E2030">
        <v>2000713693</v>
      </c>
      <c r="F2030">
        <v>61</v>
      </c>
      <c r="G2030">
        <v>60</v>
      </c>
      <c r="H2030">
        <v>0</v>
      </c>
      <c r="I2030" t="s">
        <v>168</v>
      </c>
      <c r="J2030" t="s">
        <v>667</v>
      </c>
      <c r="K2030" t="s">
        <v>964</v>
      </c>
      <c r="O2030">
        <v>0</v>
      </c>
      <c r="U2030" t="s">
        <v>81</v>
      </c>
    </row>
    <row r="2031" spans="1:21" x14ac:dyDescent="0.25">
      <c r="A2031" s="33">
        <v>2034</v>
      </c>
      <c r="B2031" s="24">
        <v>44226</v>
      </c>
      <c r="C2031" t="s">
        <v>39</v>
      </c>
      <c r="D2031" t="s">
        <v>51</v>
      </c>
      <c r="E2031">
        <v>2000714288</v>
      </c>
      <c r="F2031">
        <v>474</v>
      </c>
      <c r="G2031">
        <v>96</v>
      </c>
      <c r="H2031">
        <v>0</v>
      </c>
      <c r="I2031" t="s">
        <v>168</v>
      </c>
      <c r="J2031" t="s">
        <v>709</v>
      </c>
      <c r="K2031" t="s">
        <v>710</v>
      </c>
      <c r="O2031">
        <v>0</v>
      </c>
      <c r="U2031" t="s">
        <v>81</v>
      </c>
    </row>
    <row r="2032" spans="1:21" x14ac:dyDescent="0.25">
      <c r="A2032" s="33">
        <v>2035</v>
      </c>
      <c r="B2032" s="24">
        <v>44226</v>
      </c>
      <c r="C2032" t="s">
        <v>39</v>
      </c>
      <c r="D2032" t="s">
        <v>51</v>
      </c>
      <c r="E2032">
        <v>2000713689</v>
      </c>
      <c r="F2032">
        <v>750</v>
      </c>
      <c r="G2032">
        <v>100</v>
      </c>
      <c r="H2032">
        <v>0</v>
      </c>
      <c r="I2032" t="s">
        <v>168</v>
      </c>
      <c r="J2032" t="s">
        <v>673</v>
      </c>
      <c r="K2032" t="s">
        <v>672</v>
      </c>
      <c r="O2032">
        <v>0</v>
      </c>
      <c r="U2032" t="s">
        <v>81</v>
      </c>
    </row>
    <row r="2033" spans="1:21" x14ac:dyDescent="0.25">
      <c r="A2033" s="33">
        <v>2036</v>
      </c>
      <c r="B2033" s="24">
        <v>44226</v>
      </c>
      <c r="C2033" t="s">
        <v>39</v>
      </c>
      <c r="D2033" t="s">
        <v>51</v>
      </c>
      <c r="E2033">
        <v>2000713483</v>
      </c>
      <c r="F2033">
        <v>270</v>
      </c>
      <c r="G2033">
        <v>75</v>
      </c>
      <c r="H2033">
        <v>0</v>
      </c>
      <c r="I2033" t="s">
        <v>168</v>
      </c>
      <c r="J2033" t="s">
        <v>669</v>
      </c>
      <c r="K2033" t="s">
        <v>801</v>
      </c>
      <c r="O2033">
        <v>0</v>
      </c>
      <c r="U2033" t="s">
        <v>81</v>
      </c>
    </row>
    <row r="2034" spans="1:21" x14ac:dyDescent="0.25">
      <c r="A2034" s="33">
        <v>2037</v>
      </c>
      <c r="B2034" s="24">
        <v>44226</v>
      </c>
      <c r="C2034" t="s">
        <v>39</v>
      </c>
      <c r="D2034" t="s">
        <v>51</v>
      </c>
      <c r="E2034">
        <v>2000714400</v>
      </c>
      <c r="F2034">
        <v>200</v>
      </c>
      <c r="G2034">
        <v>20</v>
      </c>
      <c r="H2034">
        <v>0</v>
      </c>
      <c r="I2034" t="s">
        <v>168</v>
      </c>
      <c r="J2034" t="s">
        <v>965</v>
      </c>
      <c r="K2034" t="s">
        <v>791</v>
      </c>
      <c r="O2034">
        <v>0</v>
      </c>
      <c r="U2034" t="s">
        <v>81</v>
      </c>
    </row>
    <row r="2035" spans="1:21" x14ac:dyDescent="0.25">
      <c r="A2035" s="33">
        <v>2038</v>
      </c>
      <c r="B2035" s="24">
        <v>44226</v>
      </c>
      <c r="C2035" t="s">
        <v>181</v>
      </c>
      <c r="D2035" t="s">
        <v>41</v>
      </c>
      <c r="E2035">
        <v>2000713482</v>
      </c>
      <c r="F2035">
        <v>488</v>
      </c>
      <c r="G2035">
        <v>47</v>
      </c>
      <c r="H2035">
        <v>0</v>
      </c>
      <c r="I2035" t="s">
        <v>184</v>
      </c>
      <c r="J2035" t="s">
        <v>203</v>
      </c>
      <c r="K2035" t="s">
        <v>891</v>
      </c>
      <c r="O2035">
        <v>0</v>
      </c>
      <c r="U2035" t="s">
        <v>81</v>
      </c>
    </row>
    <row r="2036" spans="1:21" x14ac:dyDescent="0.25">
      <c r="A2036" s="33">
        <v>2039</v>
      </c>
      <c r="B2036" s="24">
        <v>44226</v>
      </c>
      <c r="C2036" t="s">
        <v>181</v>
      </c>
      <c r="D2036" t="s">
        <v>41</v>
      </c>
      <c r="E2036">
        <v>2000713178</v>
      </c>
      <c r="F2036">
        <v>500</v>
      </c>
      <c r="G2036">
        <v>30</v>
      </c>
      <c r="H2036">
        <v>0</v>
      </c>
      <c r="I2036" t="s">
        <v>184</v>
      </c>
      <c r="J2036" t="s">
        <v>203</v>
      </c>
      <c r="K2036" t="s">
        <v>891</v>
      </c>
      <c r="O2036">
        <v>0</v>
      </c>
      <c r="U2036" t="s">
        <v>81</v>
      </c>
    </row>
    <row r="2037" spans="1:21" x14ac:dyDescent="0.25">
      <c r="A2037" s="33">
        <v>2040</v>
      </c>
      <c r="B2037" s="24">
        <v>44226</v>
      </c>
      <c r="C2037" t="s">
        <v>181</v>
      </c>
      <c r="D2037" t="s">
        <v>41</v>
      </c>
      <c r="E2037">
        <v>2000714507</v>
      </c>
      <c r="F2037">
        <v>800</v>
      </c>
      <c r="G2037">
        <v>525</v>
      </c>
      <c r="H2037">
        <v>0</v>
      </c>
      <c r="I2037" t="s">
        <v>184</v>
      </c>
      <c r="J2037" t="s">
        <v>203</v>
      </c>
      <c r="K2037" t="s">
        <v>785</v>
      </c>
      <c r="O2037">
        <v>0</v>
      </c>
      <c r="U2037" t="s">
        <v>81</v>
      </c>
    </row>
    <row r="2038" spans="1:21" x14ac:dyDescent="0.25">
      <c r="A2038" s="33">
        <v>2041</v>
      </c>
      <c r="B2038" s="24">
        <v>44226</v>
      </c>
      <c r="C2038" t="s">
        <v>181</v>
      </c>
      <c r="D2038" t="s">
        <v>41</v>
      </c>
      <c r="E2038">
        <v>2000713697</v>
      </c>
      <c r="F2038">
        <v>2000</v>
      </c>
      <c r="G2038">
        <v>60</v>
      </c>
      <c r="H2038">
        <v>0</v>
      </c>
      <c r="I2038" t="s">
        <v>185</v>
      </c>
      <c r="J2038" t="s">
        <v>169</v>
      </c>
      <c r="K2038" t="s">
        <v>179</v>
      </c>
      <c r="O2038">
        <v>0</v>
      </c>
      <c r="U2038" t="s">
        <v>81</v>
      </c>
    </row>
    <row r="2039" spans="1:21" x14ac:dyDescent="0.25">
      <c r="A2039" s="33">
        <v>2042</v>
      </c>
      <c r="B2039" s="24">
        <v>44226</v>
      </c>
      <c r="C2039" t="s">
        <v>181</v>
      </c>
      <c r="D2039" t="s">
        <v>41</v>
      </c>
      <c r="E2039">
        <v>2000714520</v>
      </c>
      <c r="F2039">
        <v>40</v>
      </c>
      <c r="G2039">
        <v>20</v>
      </c>
      <c r="H2039">
        <v>0</v>
      </c>
      <c r="I2039" t="s">
        <v>185</v>
      </c>
      <c r="J2039" t="s">
        <v>645</v>
      </c>
      <c r="K2039" t="s">
        <v>853</v>
      </c>
      <c r="O2039">
        <v>0</v>
      </c>
      <c r="U2039" t="s">
        <v>81</v>
      </c>
    </row>
    <row r="2040" spans="1:21" x14ac:dyDescent="0.25">
      <c r="A2040" s="33">
        <v>2043</v>
      </c>
      <c r="B2040" s="24">
        <v>44226</v>
      </c>
      <c r="C2040" t="s">
        <v>181</v>
      </c>
      <c r="D2040" t="s">
        <v>41</v>
      </c>
      <c r="E2040">
        <v>2000714195</v>
      </c>
      <c r="F2040">
        <v>1090</v>
      </c>
      <c r="G2040">
        <v>80</v>
      </c>
      <c r="H2040">
        <v>0</v>
      </c>
      <c r="I2040" t="s">
        <v>185</v>
      </c>
      <c r="J2040" t="s">
        <v>172</v>
      </c>
      <c r="K2040" t="s">
        <v>966</v>
      </c>
      <c r="O2040">
        <v>0</v>
      </c>
      <c r="U2040" t="s">
        <v>81</v>
      </c>
    </row>
    <row r="2041" spans="1:21" x14ac:dyDescent="0.25">
      <c r="A2041" s="33">
        <v>2044</v>
      </c>
      <c r="B2041" s="24">
        <v>44226</v>
      </c>
      <c r="C2041" t="s">
        <v>181</v>
      </c>
      <c r="D2041" t="s">
        <v>41</v>
      </c>
      <c r="E2041">
        <v>2000714216</v>
      </c>
      <c r="F2041">
        <v>880</v>
      </c>
      <c r="G2041">
        <v>80</v>
      </c>
      <c r="H2041">
        <v>0</v>
      </c>
      <c r="I2041" t="s">
        <v>185</v>
      </c>
      <c r="J2041" t="s">
        <v>645</v>
      </c>
      <c r="K2041" t="s">
        <v>649</v>
      </c>
      <c r="O2041">
        <v>0</v>
      </c>
      <c r="U2041" t="s">
        <v>81</v>
      </c>
    </row>
    <row r="2042" spans="1:21" x14ac:dyDescent="0.25">
      <c r="A2042" s="33">
        <v>2045</v>
      </c>
      <c r="B2042" s="24">
        <v>44226</v>
      </c>
      <c r="C2042" t="s">
        <v>181</v>
      </c>
      <c r="D2042" t="s">
        <v>41</v>
      </c>
      <c r="E2042">
        <v>2000714521</v>
      </c>
      <c r="F2042">
        <v>550</v>
      </c>
      <c r="G2042">
        <v>80</v>
      </c>
      <c r="H2042">
        <v>0</v>
      </c>
      <c r="I2042" t="s">
        <v>185</v>
      </c>
      <c r="J2042" t="s">
        <v>645</v>
      </c>
      <c r="K2042" t="s">
        <v>752</v>
      </c>
      <c r="O2042">
        <v>0</v>
      </c>
      <c r="U2042" t="s">
        <v>81</v>
      </c>
    </row>
    <row r="2043" spans="1:21" x14ac:dyDescent="0.25">
      <c r="A2043" s="33">
        <v>2046</v>
      </c>
      <c r="B2043" s="24">
        <v>44226</v>
      </c>
      <c r="C2043" t="s">
        <v>181</v>
      </c>
      <c r="D2043" t="s">
        <v>41</v>
      </c>
      <c r="E2043">
        <v>2000714480</v>
      </c>
      <c r="F2043">
        <v>900</v>
      </c>
      <c r="G2043">
        <v>80</v>
      </c>
      <c r="H2043">
        <v>0</v>
      </c>
      <c r="I2043" t="s">
        <v>185</v>
      </c>
      <c r="J2043" t="s">
        <v>687</v>
      </c>
      <c r="K2043" t="s">
        <v>705</v>
      </c>
      <c r="O2043">
        <v>0</v>
      </c>
      <c r="U2043" t="s">
        <v>81</v>
      </c>
    </row>
    <row r="2044" spans="1:21" x14ac:dyDescent="0.25">
      <c r="A2044" s="33">
        <v>2047</v>
      </c>
      <c r="B2044" s="24">
        <v>44226</v>
      </c>
      <c r="C2044" t="s">
        <v>181</v>
      </c>
      <c r="D2044" t="s">
        <v>41</v>
      </c>
      <c r="E2044">
        <v>2000713129</v>
      </c>
      <c r="F2044">
        <v>500</v>
      </c>
      <c r="G2044">
        <v>45</v>
      </c>
      <c r="H2044">
        <v>0</v>
      </c>
      <c r="I2044" t="s">
        <v>696</v>
      </c>
      <c r="J2044" t="s">
        <v>698</v>
      </c>
      <c r="K2044" t="s">
        <v>699</v>
      </c>
      <c r="O2044">
        <v>0</v>
      </c>
      <c r="T2044">
        <v>0</v>
      </c>
      <c r="U2044" t="s">
        <v>81</v>
      </c>
    </row>
    <row r="2045" spans="1:21" x14ac:dyDescent="0.25">
      <c r="A2045" s="33">
        <v>2048</v>
      </c>
      <c r="B2045" s="24">
        <v>44226</v>
      </c>
      <c r="C2045" t="s">
        <v>181</v>
      </c>
      <c r="D2045" t="s">
        <v>41</v>
      </c>
      <c r="E2045">
        <v>2000714120</v>
      </c>
      <c r="F2045">
        <v>1030</v>
      </c>
      <c r="G2045">
        <v>360</v>
      </c>
      <c r="H2045">
        <v>0</v>
      </c>
      <c r="I2045" t="s">
        <v>696</v>
      </c>
      <c r="J2045" t="s">
        <v>698</v>
      </c>
      <c r="K2045" t="s">
        <v>786</v>
      </c>
      <c r="O2045">
        <v>0</v>
      </c>
      <c r="U2045" t="s">
        <v>81</v>
      </c>
    </row>
    <row r="2046" spans="1:21" x14ac:dyDescent="0.25">
      <c r="A2046" s="33">
        <v>2049</v>
      </c>
      <c r="B2046" s="24">
        <v>44226</v>
      </c>
      <c r="C2046" t="s">
        <v>181</v>
      </c>
      <c r="D2046" t="s">
        <v>41</v>
      </c>
      <c r="E2046">
        <v>2000714533</v>
      </c>
      <c r="F2046">
        <v>136</v>
      </c>
      <c r="G2046">
        <v>45</v>
      </c>
      <c r="H2046">
        <v>0</v>
      </c>
      <c r="I2046" t="s">
        <v>696</v>
      </c>
      <c r="J2046" t="s">
        <v>170</v>
      </c>
      <c r="K2046" t="s">
        <v>206</v>
      </c>
      <c r="O2046">
        <v>0</v>
      </c>
      <c r="U2046" t="s">
        <v>81</v>
      </c>
    </row>
    <row r="2047" spans="1:21" x14ac:dyDescent="0.25">
      <c r="A2047" s="33">
        <v>2050</v>
      </c>
      <c r="B2047" s="24">
        <v>44226</v>
      </c>
      <c r="C2047" t="s">
        <v>181</v>
      </c>
      <c r="D2047" t="s">
        <v>41</v>
      </c>
      <c r="E2047">
        <v>2000714220</v>
      </c>
      <c r="F2047">
        <v>576</v>
      </c>
      <c r="G2047">
        <v>180</v>
      </c>
      <c r="H2047">
        <v>0</v>
      </c>
      <c r="I2047" t="s">
        <v>696</v>
      </c>
      <c r="J2047" t="s">
        <v>698</v>
      </c>
      <c r="K2047" t="s">
        <v>699</v>
      </c>
      <c r="O2047">
        <v>0</v>
      </c>
      <c r="U2047" t="s">
        <v>81</v>
      </c>
    </row>
    <row r="2048" spans="1:21" x14ac:dyDescent="0.25">
      <c r="A2048" s="33">
        <v>2051</v>
      </c>
      <c r="B2048" s="24">
        <v>44226</v>
      </c>
      <c r="C2048" t="s">
        <v>181</v>
      </c>
      <c r="D2048" t="s">
        <v>41</v>
      </c>
      <c r="E2048">
        <v>2000714220</v>
      </c>
      <c r="F2048">
        <v>576</v>
      </c>
      <c r="G2048">
        <v>225</v>
      </c>
      <c r="H2048">
        <v>0</v>
      </c>
      <c r="I2048" t="s">
        <v>759</v>
      </c>
      <c r="J2048" t="s">
        <v>698</v>
      </c>
      <c r="K2048" t="s">
        <v>700</v>
      </c>
      <c r="O2048">
        <v>0</v>
      </c>
      <c r="U2048" t="s">
        <v>81</v>
      </c>
    </row>
    <row r="2049" spans="1:21" x14ac:dyDescent="0.25">
      <c r="A2049" s="33">
        <v>2052</v>
      </c>
      <c r="B2049" s="24">
        <v>44226</v>
      </c>
      <c r="C2049" t="s">
        <v>181</v>
      </c>
      <c r="D2049" t="s">
        <v>41</v>
      </c>
      <c r="E2049">
        <v>2000714542</v>
      </c>
      <c r="F2049">
        <v>400</v>
      </c>
      <c r="G2049">
        <v>319</v>
      </c>
      <c r="H2049">
        <v>0</v>
      </c>
      <c r="I2049" t="s">
        <v>183</v>
      </c>
      <c r="J2049" t="s">
        <v>174</v>
      </c>
      <c r="K2049" t="s">
        <v>644</v>
      </c>
      <c r="O2049">
        <v>0</v>
      </c>
      <c r="U2049" t="s">
        <v>81</v>
      </c>
    </row>
    <row r="2050" spans="1:21" x14ac:dyDescent="0.25">
      <c r="A2050" s="33">
        <v>2053</v>
      </c>
      <c r="B2050" s="24">
        <v>44226</v>
      </c>
      <c r="C2050" t="s">
        <v>181</v>
      </c>
      <c r="D2050" t="s">
        <v>41</v>
      </c>
      <c r="E2050">
        <v>2000714120</v>
      </c>
      <c r="F2050">
        <v>1030</v>
      </c>
      <c r="G2050">
        <v>180</v>
      </c>
      <c r="H2050">
        <v>0</v>
      </c>
      <c r="I2050" t="s">
        <v>183</v>
      </c>
      <c r="J2050" t="s">
        <v>698</v>
      </c>
      <c r="K2050" t="s">
        <v>786</v>
      </c>
      <c r="O2050">
        <v>0</v>
      </c>
      <c r="U2050" t="s">
        <v>81</v>
      </c>
    </row>
    <row r="2051" spans="1:21" x14ac:dyDescent="0.25">
      <c r="A2051" s="33">
        <v>2054</v>
      </c>
      <c r="B2051" s="24">
        <v>44226</v>
      </c>
      <c r="C2051" t="s">
        <v>181</v>
      </c>
      <c r="D2051" t="s">
        <v>41</v>
      </c>
      <c r="E2051">
        <v>2000714543</v>
      </c>
      <c r="F2051">
        <v>240</v>
      </c>
      <c r="G2051">
        <v>120</v>
      </c>
      <c r="H2051">
        <v>0</v>
      </c>
      <c r="I2051" t="s">
        <v>183</v>
      </c>
      <c r="J2051" t="s">
        <v>687</v>
      </c>
      <c r="K2051" t="s">
        <v>792</v>
      </c>
      <c r="O2051">
        <v>0</v>
      </c>
      <c r="U2051" t="s">
        <v>81</v>
      </c>
    </row>
    <row r="2052" spans="1:21" x14ac:dyDescent="0.25">
      <c r="A2052" s="33">
        <v>2055</v>
      </c>
      <c r="B2052" s="24">
        <v>44226</v>
      </c>
      <c r="C2052" t="s">
        <v>181</v>
      </c>
      <c r="D2052" t="s">
        <v>41</v>
      </c>
      <c r="E2052">
        <v>2000713129</v>
      </c>
      <c r="F2052">
        <v>500</v>
      </c>
      <c r="G2052">
        <v>45</v>
      </c>
      <c r="H2052">
        <v>0</v>
      </c>
      <c r="I2052" t="s">
        <v>693</v>
      </c>
      <c r="J2052" t="s">
        <v>698</v>
      </c>
      <c r="K2052" t="s">
        <v>699</v>
      </c>
      <c r="O2052">
        <v>0</v>
      </c>
      <c r="U2052" t="s">
        <v>81</v>
      </c>
    </row>
    <row r="2053" spans="1:21" x14ac:dyDescent="0.25">
      <c r="A2053" s="33">
        <v>2056</v>
      </c>
      <c r="B2053" s="24">
        <v>44226</v>
      </c>
      <c r="C2053" t="s">
        <v>181</v>
      </c>
      <c r="D2053" t="s">
        <v>41</v>
      </c>
      <c r="E2053">
        <v>2000714120</v>
      </c>
      <c r="F2053">
        <v>1030</v>
      </c>
      <c r="G2053">
        <v>489</v>
      </c>
      <c r="H2053">
        <v>0</v>
      </c>
      <c r="I2053" t="s">
        <v>693</v>
      </c>
      <c r="J2053" t="s">
        <v>698</v>
      </c>
      <c r="K2053" t="s">
        <v>786</v>
      </c>
      <c r="O2053">
        <v>0</v>
      </c>
      <c r="U2053" t="s">
        <v>81</v>
      </c>
    </row>
    <row r="2054" spans="1:21" x14ac:dyDescent="0.25">
      <c r="A2054" s="33">
        <v>2057</v>
      </c>
      <c r="B2054" s="24">
        <v>44226</v>
      </c>
      <c r="C2054" t="s">
        <v>181</v>
      </c>
      <c r="D2054" t="s">
        <v>41</v>
      </c>
      <c r="E2054">
        <v>2000714533</v>
      </c>
      <c r="F2054">
        <v>136</v>
      </c>
      <c r="G2054">
        <v>86</v>
      </c>
      <c r="H2054">
        <v>0</v>
      </c>
      <c r="I2054" t="s">
        <v>693</v>
      </c>
      <c r="J2054" t="s">
        <v>170</v>
      </c>
      <c r="K2054" t="s">
        <v>206</v>
      </c>
      <c r="O2054">
        <v>0</v>
      </c>
      <c r="U2054" t="s">
        <v>81</v>
      </c>
    </row>
    <row r="2055" spans="1:21" x14ac:dyDescent="0.25">
      <c r="A2055" s="33">
        <v>2058</v>
      </c>
      <c r="B2055" s="24">
        <v>44226</v>
      </c>
      <c r="C2055" t="s">
        <v>181</v>
      </c>
      <c r="D2055" t="s">
        <v>41</v>
      </c>
      <c r="E2055">
        <v>2000712674</v>
      </c>
      <c r="F2055">
        <v>674</v>
      </c>
      <c r="G2055">
        <v>6</v>
      </c>
      <c r="H2055">
        <v>0</v>
      </c>
      <c r="I2055" t="s">
        <v>693</v>
      </c>
      <c r="J2055" t="s">
        <v>170</v>
      </c>
      <c r="K2055" t="s">
        <v>206</v>
      </c>
      <c r="O2055">
        <v>0</v>
      </c>
      <c r="U2055" t="s">
        <v>81</v>
      </c>
    </row>
    <row r="2056" spans="1:21" x14ac:dyDescent="0.25">
      <c r="A2056" s="33">
        <v>2059</v>
      </c>
      <c r="B2056" s="24">
        <v>44226</v>
      </c>
      <c r="C2056" t="s">
        <v>181</v>
      </c>
      <c r="D2056" t="s">
        <v>41</v>
      </c>
      <c r="E2056">
        <v>2000714568</v>
      </c>
      <c r="F2056">
        <v>3600</v>
      </c>
      <c r="G2056">
        <v>240</v>
      </c>
      <c r="H2056">
        <v>0</v>
      </c>
      <c r="I2056" t="s">
        <v>198</v>
      </c>
      <c r="J2056" t="s">
        <v>169</v>
      </c>
      <c r="K2056" t="s">
        <v>652</v>
      </c>
      <c r="O2056">
        <v>0</v>
      </c>
      <c r="U2056" t="s">
        <v>81</v>
      </c>
    </row>
    <row r="2057" spans="1:21" x14ac:dyDescent="0.25">
      <c r="A2057" s="33">
        <v>2060</v>
      </c>
      <c r="B2057" s="24">
        <v>44226</v>
      </c>
      <c r="C2057" t="s">
        <v>181</v>
      </c>
      <c r="D2057" t="s">
        <v>41</v>
      </c>
      <c r="E2057">
        <v>2000714220</v>
      </c>
      <c r="F2057">
        <v>576</v>
      </c>
      <c r="G2057">
        <v>45</v>
      </c>
      <c r="H2057">
        <v>0</v>
      </c>
      <c r="I2057" t="s">
        <v>198</v>
      </c>
      <c r="J2057" t="s">
        <v>698</v>
      </c>
      <c r="K2057" t="s">
        <v>700</v>
      </c>
      <c r="O2057">
        <v>0</v>
      </c>
      <c r="U2057" t="s">
        <v>81</v>
      </c>
    </row>
    <row r="2058" spans="1:21" ht="45" x14ac:dyDescent="0.25">
      <c r="A2058" s="33">
        <v>2061</v>
      </c>
      <c r="B2058" s="24">
        <v>44226</v>
      </c>
      <c r="C2058" t="s">
        <v>181</v>
      </c>
      <c r="D2058" t="s">
        <v>41</v>
      </c>
      <c r="E2058">
        <v>2000714131</v>
      </c>
      <c r="F2058">
        <v>920</v>
      </c>
      <c r="G2058">
        <v>520</v>
      </c>
      <c r="H2058">
        <v>0</v>
      </c>
      <c r="I2058" t="s">
        <v>198</v>
      </c>
      <c r="J2058" t="s">
        <v>745</v>
      </c>
      <c r="K2058" t="s">
        <v>879</v>
      </c>
      <c r="O2058">
        <v>0</v>
      </c>
      <c r="T2058" s="62" t="s">
        <v>775</v>
      </c>
      <c r="U2058" t="s">
        <v>81</v>
      </c>
    </row>
    <row r="2059" spans="1:21" x14ac:dyDescent="0.25">
      <c r="A2059" s="33">
        <v>2062</v>
      </c>
      <c r="B2059" s="24">
        <v>44226</v>
      </c>
      <c r="C2059" t="s">
        <v>181</v>
      </c>
      <c r="D2059" t="s">
        <v>41</v>
      </c>
      <c r="E2059">
        <v>2000711854</v>
      </c>
      <c r="F2059">
        <v>1808</v>
      </c>
      <c r="G2059">
        <v>208</v>
      </c>
      <c r="H2059">
        <v>0</v>
      </c>
      <c r="I2059" t="s">
        <v>198</v>
      </c>
      <c r="J2059" t="s">
        <v>203</v>
      </c>
      <c r="K2059" t="s">
        <v>788</v>
      </c>
      <c r="O2059">
        <v>0</v>
      </c>
      <c r="U2059" t="s">
        <v>81</v>
      </c>
    </row>
    <row r="2060" spans="1:21" x14ac:dyDescent="0.25">
      <c r="A2060" s="33">
        <v>2063</v>
      </c>
      <c r="B2060" s="24">
        <v>44226</v>
      </c>
      <c r="C2060" t="s">
        <v>181</v>
      </c>
      <c r="D2060" t="s">
        <v>41</v>
      </c>
      <c r="E2060">
        <v>2000714127</v>
      </c>
      <c r="F2060">
        <v>3008</v>
      </c>
      <c r="G2060">
        <v>400</v>
      </c>
      <c r="H2060">
        <v>0</v>
      </c>
      <c r="I2060" t="s">
        <v>198</v>
      </c>
      <c r="J2060" t="s">
        <v>203</v>
      </c>
      <c r="K2060" t="s">
        <v>788</v>
      </c>
      <c r="O2060">
        <v>0</v>
      </c>
      <c r="U2060" t="s">
        <v>81</v>
      </c>
    </row>
    <row r="2061" spans="1:21" x14ac:dyDescent="0.25">
      <c r="A2061" s="33">
        <v>2064</v>
      </c>
      <c r="B2061" s="24">
        <v>44226</v>
      </c>
      <c r="C2061" t="s">
        <v>181</v>
      </c>
      <c r="D2061" t="s">
        <v>41</v>
      </c>
      <c r="E2061">
        <v>2000714193</v>
      </c>
      <c r="F2061">
        <v>1270</v>
      </c>
      <c r="G2061">
        <v>200</v>
      </c>
      <c r="H2061">
        <v>0</v>
      </c>
      <c r="I2061" t="s">
        <v>198</v>
      </c>
      <c r="J2061" t="s">
        <v>172</v>
      </c>
      <c r="K2061" t="s">
        <v>725</v>
      </c>
      <c r="O2061">
        <v>0</v>
      </c>
      <c r="U2061" t="s">
        <v>81</v>
      </c>
    </row>
    <row r="2062" spans="1:21" x14ac:dyDescent="0.25">
      <c r="A2062" s="33">
        <v>2065</v>
      </c>
      <c r="B2062" s="24">
        <v>44226</v>
      </c>
      <c r="C2062" t="s">
        <v>181</v>
      </c>
      <c r="D2062" t="s">
        <v>41</v>
      </c>
      <c r="E2062">
        <v>2000711826</v>
      </c>
      <c r="F2062">
        <v>1440</v>
      </c>
      <c r="G2062">
        <v>240</v>
      </c>
      <c r="H2062">
        <v>0</v>
      </c>
      <c r="I2062" t="s">
        <v>198</v>
      </c>
      <c r="J2062" t="s">
        <v>203</v>
      </c>
      <c r="K2062" t="s">
        <v>640</v>
      </c>
      <c r="O2062">
        <v>0</v>
      </c>
      <c r="U2062" t="s">
        <v>81</v>
      </c>
    </row>
    <row r="2063" spans="1:21" x14ac:dyDescent="0.25">
      <c r="A2063" s="33">
        <v>2066</v>
      </c>
      <c r="B2063" s="24">
        <v>44226</v>
      </c>
      <c r="C2063" t="s">
        <v>181</v>
      </c>
      <c r="D2063" t="s">
        <v>41</v>
      </c>
      <c r="E2063">
        <v>2000714198</v>
      </c>
      <c r="F2063">
        <v>890</v>
      </c>
      <c r="G2063">
        <v>100</v>
      </c>
      <c r="H2063">
        <v>0</v>
      </c>
      <c r="I2063" t="s">
        <v>198</v>
      </c>
      <c r="J2063" t="s">
        <v>196</v>
      </c>
      <c r="K2063" t="s">
        <v>684</v>
      </c>
      <c r="O2063">
        <v>0</v>
      </c>
      <c r="U2063" t="s">
        <v>81</v>
      </c>
    </row>
    <row r="2064" spans="1:21" ht="45" x14ac:dyDescent="0.25">
      <c r="A2064" s="33">
        <v>2067</v>
      </c>
      <c r="B2064" s="24">
        <v>44226</v>
      </c>
      <c r="C2064" t="s">
        <v>181</v>
      </c>
      <c r="D2064" t="s">
        <v>41</v>
      </c>
      <c r="E2064">
        <v>2000714200</v>
      </c>
      <c r="F2064">
        <v>890</v>
      </c>
      <c r="G2064">
        <v>150</v>
      </c>
      <c r="H2064">
        <v>0</v>
      </c>
      <c r="I2064" t="s">
        <v>198</v>
      </c>
      <c r="J2064" t="s">
        <v>196</v>
      </c>
      <c r="K2064" t="s">
        <v>685</v>
      </c>
      <c r="O2064">
        <v>0</v>
      </c>
      <c r="T2064" s="62" t="s">
        <v>775</v>
      </c>
      <c r="U2064" t="s">
        <v>81</v>
      </c>
    </row>
    <row r="2065" spans="1:21" x14ac:dyDescent="0.25">
      <c r="A2065" s="33">
        <v>2068</v>
      </c>
      <c r="B2065" s="24">
        <v>44226</v>
      </c>
      <c r="C2065" t="s">
        <v>181</v>
      </c>
      <c r="D2065" t="s">
        <v>51</v>
      </c>
      <c r="E2065">
        <v>2000713483</v>
      </c>
      <c r="F2065">
        <v>270</v>
      </c>
      <c r="G2065">
        <v>42</v>
      </c>
      <c r="H2065">
        <v>0</v>
      </c>
      <c r="I2065" t="s">
        <v>706</v>
      </c>
      <c r="J2065" t="s">
        <v>669</v>
      </c>
      <c r="K2065" t="s">
        <v>801</v>
      </c>
      <c r="O2065">
        <v>0</v>
      </c>
      <c r="U2065" t="s">
        <v>81</v>
      </c>
    </row>
    <row r="2066" spans="1:21" x14ac:dyDescent="0.25">
      <c r="A2066" s="33">
        <v>2069</v>
      </c>
      <c r="B2066" s="24">
        <v>44226</v>
      </c>
      <c r="C2066" t="s">
        <v>181</v>
      </c>
      <c r="D2066" t="s">
        <v>51</v>
      </c>
      <c r="E2066">
        <v>2000713475</v>
      </c>
      <c r="F2066">
        <v>500</v>
      </c>
      <c r="G2066">
        <v>150</v>
      </c>
      <c r="H2066">
        <v>0</v>
      </c>
      <c r="I2066" t="s">
        <v>706</v>
      </c>
      <c r="J2066" t="s">
        <v>673</v>
      </c>
      <c r="K2066" t="s">
        <v>760</v>
      </c>
      <c r="O2066">
        <v>0</v>
      </c>
      <c r="U2066" t="s">
        <v>81</v>
      </c>
    </row>
    <row r="2067" spans="1:21" x14ac:dyDescent="0.25">
      <c r="A2067" s="33">
        <v>2070</v>
      </c>
      <c r="B2067" s="24">
        <v>44226</v>
      </c>
      <c r="C2067" t="s">
        <v>181</v>
      </c>
      <c r="D2067" t="s">
        <v>51</v>
      </c>
      <c r="E2067">
        <v>2000714400</v>
      </c>
      <c r="F2067">
        <v>200</v>
      </c>
      <c r="G2067">
        <v>178</v>
      </c>
      <c r="H2067">
        <v>0</v>
      </c>
      <c r="I2067" t="s">
        <v>706</v>
      </c>
      <c r="J2067" t="s">
        <v>673</v>
      </c>
      <c r="K2067" t="s">
        <v>791</v>
      </c>
      <c r="O2067">
        <v>0</v>
      </c>
      <c r="U2067" t="s">
        <v>81</v>
      </c>
    </row>
    <row r="2068" spans="1:21" x14ac:dyDescent="0.25">
      <c r="A2068" s="33">
        <v>2071</v>
      </c>
      <c r="B2068" s="24">
        <v>44226</v>
      </c>
      <c r="C2068" t="s">
        <v>181</v>
      </c>
      <c r="D2068" t="s">
        <v>51</v>
      </c>
      <c r="E2068">
        <v>2000714437</v>
      </c>
      <c r="F2068">
        <v>288</v>
      </c>
      <c r="G2068">
        <v>96</v>
      </c>
      <c r="H2068">
        <v>0</v>
      </c>
      <c r="I2068" t="s">
        <v>706</v>
      </c>
      <c r="J2068" t="s">
        <v>667</v>
      </c>
      <c r="K2068" t="s">
        <v>711</v>
      </c>
      <c r="O2068">
        <v>0</v>
      </c>
      <c r="U2068" t="s">
        <v>81</v>
      </c>
    </row>
    <row r="2069" spans="1:21" x14ac:dyDescent="0.25">
      <c r="A2069" s="33">
        <v>2072</v>
      </c>
      <c r="B2069" s="24">
        <v>44226</v>
      </c>
      <c r="C2069" t="s">
        <v>181</v>
      </c>
      <c r="D2069" t="s">
        <v>51</v>
      </c>
      <c r="E2069">
        <v>2000714290</v>
      </c>
      <c r="F2069">
        <v>70</v>
      </c>
      <c r="G2069">
        <v>40</v>
      </c>
      <c r="H2069">
        <v>0</v>
      </c>
      <c r="I2069" t="s">
        <v>706</v>
      </c>
      <c r="J2069" t="s">
        <v>669</v>
      </c>
      <c r="K2069" t="s">
        <v>778</v>
      </c>
      <c r="O2069">
        <v>0</v>
      </c>
      <c r="U2069" t="s">
        <v>81</v>
      </c>
    </row>
    <row r="2070" spans="1:21" x14ac:dyDescent="0.25">
      <c r="A2070" s="33">
        <v>2073</v>
      </c>
      <c r="B2070" s="24">
        <v>44226</v>
      </c>
      <c r="C2070" t="s">
        <v>181</v>
      </c>
      <c r="D2070" t="s">
        <v>51</v>
      </c>
      <c r="E2070">
        <v>2000713671</v>
      </c>
      <c r="F2070">
        <v>350</v>
      </c>
      <c r="G2070">
        <v>140</v>
      </c>
      <c r="H2070">
        <v>0</v>
      </c>
      <c r="I2070" t="s">
        <v>706</v>
      </c>
      <c r="J2070" t="s">
        <v>667</v>
      </c>
      <c r="K2070" t="s">
        <v>882</v>
      </c>
      <c r="O2070">
        <v>0</v>
      </c>
      <c r="U2070" t="s">
        <v>81</v>
      </c>
    </row>
    <row r="2071" spans="1:21" x14ac:dyDescent="0.25">
      <c r="A2071" s="33">
        <v>2074</v>
      </c>
      <c r="B2071" s="24">
        <v>44226</v>
      </c>
      <c r="C2071" t="s">
        <v>181</v>
      </c>
      <c r="D2071" t="s">
        <v>51</v>
      </c>
      <c r="E2071">
        <v>2000709358</v>
      </c>
      <c r="F2071">
        <v>360</v>
      </c>
      <c r="G2071">
        <v>3</v>
      </c>
      <c r="H2071">
        <v>0</v>
      </c>
      <c r="I2071" t="s">
        <v>706</v>
      </c>
      <c r="J2071" t="s">
        <v>770</v>
      </c>
      <c r="K2071" t="s">
        <v>777</v>
      </c>
      <c r="O2071">
        <v>0</v>
      </c>
      <c r="U2071" t="s">
        <v>81</v>
      </c>
    </row>
    <row r="2072" spans="1:21" x14ac:dyDescent="0.25">
      <c r="A2072" s="33">
        <v>2075</v>
      </c>
      <c r="B2072" s="24">
        <v>44226</v>
      </c>
      <c r="C2072" t="s">
        <v>181</v>
      </c>
      <c r="D2072" t="s">
        <v>51</v>
      </c>
      <c r="E2072">
        <v>2000714427</v>
      </c>
      <c r="F2072">
        <v>800</v>
      </c>
      <c r="G2072">
        <v>150</v>
      </c>
      <c r="H2072">
        <v>0</v>
      </c>
      <c r="I2072" t="s">
        <v>706</v>
      </c>
      <c r="J2072" t="s">
        <v>667</v>
      </c>
      <c r="K2072" t="s">
        <v>730</v>
      </c>
      <c r="O2072">
        <v>0</v>
      </c>
      <c r="U2072" t="s">
        <v>81</v>
      </c>
    </row>
    <row r="2073" spans="1:21" x14ac:dyDescent="0.25">
      <c r="A2073" s="33">
        <v>2076</v>
      </c>
      <c r="B2073" s="24">
        <v>44226</v>
      </c>
      <c r="C2073" t="s">
        <v>181</v>
      </c>
      <c r="D2073" t="s">
        <v>51</v>
      </c>
      <c r="E2073">
        <v>2000713469</v>
      </c>
      <c r="F2073">
        <v>750</v>
      </c>
      <c r="G2073">
        <v>100</v>
      </c>
      <c r="H2073">
        <v>0</v>
      </c>
      <c r="I2073" t="s">
        <v>706</v>
      </c>
      <c r="J2073" t="s">
        <v>967</v>
      </c>
      <c r="K2073" t="s">
        <v>672</v>
      </c>
      <c r="O2073">
        <v>0</v>
      </c>
      <c r="U2073" t="s">
        <v>81</v>
      </c>
    </row>
    <row r="2074" spans="1:21" x14ac:dyDescent="0.25">
      <c r="A2074" s="33">
        <v>2077</v>
      </c>
      <c r="B2074" s="24">
        <v>44227</v>
      </c>
      <c r="C2074" t="s">
        <v>39</v>
      </c>
      <c r="D2074" t="s">
        <v>41</v>
      </c>
      <c r="E2074">
        <v>2000713482</v>
      </c>
      <c r="F2074">
        <v>488</v>
      </c>
      <c r="G2074">
        <v>90</v>
      </c>
      <c r="H2074">
        <v>0</v>
      </c>
      <c r="I2074" t="s">
        <v>168</v>
      </c>
      <c r="J2074" t="s">
        <v>203</v>
      </c>
      <c r="K2074" t="s">
        <v>891</v>
      </c>
      <c r="O2074">
        <v>0</v>
      </c>
      <c r="U2074" t="s">
        <v>81</v>
      </c>
    </row>
    <row r="2075" spans="1:21" x14ac:dyDescent="0.25">
      <c r="A2075" s="33">
        <v>2078</v>
      </c>
      <c r="B2075" s="24">
        <v>44227</v>
      </c>
      <c r="C2075" t="s">
        <v>39</v>
      </c>
      <c r="D2075" t="s">
        <v>41</v>
      </c>
      <c r="E2075">
        <v>2000713178</v>
      </c>
      <c r="F2075">
        <v>500</v>
      </c>
      <c r="G2075">
        <v>30</v>
      </c>
      <c r="H2075">
        <v>0</v>
      </c>
      <c r="I2075" t="s">
        <v>168</v>
      </c>
      <c r="J2075" t="s">
        <v>203</v>
      </c>
      <c r="K2075" t="s">
        <v>891</v>
      </c>
      <c r="O2075">
        <v>0</v>
      </c>
      <c r="U2075" t="s">
        <v>81</v>
      </c>
    </row>
    <row r="2076" spans="1:21" x14ac:dyDescent="0.25">
      <c r="A2076" s="33">
        <v>2079</v>
      </c>
      <c r="B2076" s="24">
        <v>44227</v>
      </c>
      <c r="C2076" t="s">
        <v>39</v>
      </c>
      <c r="D2076" t="s">
        <v>51</v>
      </c>
      <c r="E2076">
        <v>2000714287</v>
      </c>
      <c r="F2076">
        <v>700</v>
      </c>
      <c r="G2076">
        <v>175</v>
      </c>
      <c r="H2076">
        <v>0</v>
      </c>
      <c r="I2076" t="s">
        <v>168</v>
      </c>
      <c r="J2076" t="s">
        <v>709</v>
      </c>
      <c r="K2076" t="s">
        <v>743</v>
      </c>
      <c r="O2076">
        <v>0</v>
      </c>
      <c r="U2076" t="s">
        <v>81</v>
      </c>
    </row>
    <row r="2077" spans="1:21" x14ac:dyDescent="0.25">
      <c r="A2077" s="33">
        <v>2080</v>
      </c>
      <c r="B2077" s="24">
        <v>44227</v>
      </c>
      <c r="C2077" t="s">
        <v>39</v>
      </c>
      <c r="D2077" t="s">
        <v>51</v>
      </c>
      <c r="E2077">
        <v>2000713671</v>
      </c>
      <c r="F2077">
        <v>350</v>
      </c>
      <c r="G2077">
        <v>70</v>
      </c>
      <c r="H2077">
        <v>0</v>
      </c>
      <c r="I2077" t="s">
        <v>168</v>
      </c>
      <c r="J2077" t="s">
        <v>667</v>
      </c>
      <c r="K2077" t="s">
        <v>882</v>
      </c>
      <c r="O2077">
        <v>0</v>
      </c>
      <c r="U2077" t="s">
        <v>81</v>
      </c>
    </row>
    <row r="2078" spans="1:21" x14ac:dyDescent="0.25">
      <c r="A2078" s="33">
        <v>2081</v>
      </c>
      <c r="B2078" s="24">
        <v>44227</v>
      </c>
      <c r="C2078" t="s">
        <v>39</v>
      </c>
      <c r="D2078" t="s">
        <v>51</v>
      </c>
      <c r="E2078">
        <v>2000713469</v>
      </c>
      <c r="F2078">
        <v>750</v>
      </c>
      <c r="G2078">
        <v>210</v>
      </c>
      <c r="H2078">
        <v>0</v>
      </c>
      <c r="I2078" t="s">
        <v>168</v>
      </c>
      <c r="J2078" t="s">
        <v>673</v>
      </c>
      <c r="K2078" t="s">
        <v>672</v>
      </c>
      <c r="O2078">
        <v>0</v>
      </c>
      <c r="U2078" t="s">
        <v>81</v>
      </c>
    </row>
    <row r="2079" spans="1:21" ht="30" x14ac:dyDescent="0.25">
      <c r="A2079" s="33">
        <v>2082</v>
      </c>
      <c r="B2079" s="24">
        <v>44227</v>
      </c>
      <c r="C2079" t="s">
        <v>39</v>
      </c>
      <c r="D2079" t="s">
        <v>51</v>
      </c>
      <c r="E2079">
        <v>2000713475</v>
      </c>
      <c r="F2079">
        <v>500</v>
      </c>
      <c r="G2079">
        <v>50</v>
      </c>
      <c r="H2079">
        <v>0</v>
      </c>
      <c r="I2079" t="s">
        <v>168</v>
      </c>
      <c r="J2079" t="s">
        <v>673</v>
      </c>
      <c r="K2079" t="s">
        <v>760</v>
      </c>
      <c r="O2079">
        <v>0</v>
      </c>
      <c r="T2079" s="62" t="s">
        <v>723</v>
      </c>
      <c r="U2079" t="s">
        <v>81</v>
      </c>
    </row>
    <row r="2080" spans="1:21" x14ac:dyDescent="0.25">
      <c r="A2080" s="33">
        <v>2083</v>
      </c>
      <c r="B2080" s="24">
        <v>44227</v>
      </c>
      <c r="C2080" t="s">
        <v>39</v>
      </c>
      <c r="D2080" t="s">
        <v>51</v>
      </c>
      <c r="E2080">
        <v>2000713068</v>
      </c>
      <c r="F2080">
        <v>3800</v>
      </c>
      <c r="G2080">
        <v>120</v>
      </c>
      <c r="H2080">
        <v>0</v>
      </c>
      <c r="I2080" t="s">
        <v>168</v>
      </c>
      <c r="J2080" t="s">
        <v>667</v>
      </c>
      <c r="K2080" t="s">
        <v>730</v>
      </c>
      <c r="O2080">
        <v>0</v>
      </c>
      <c r="U2080" t="s">
        <v>81</v>
      </c>
    </row>
    <row r="2081" spans="1:21" x14ac:dyDescent="0.25">
      <c r="A2081" s="33">
        <v>2084</v>
      </c>
      <c r="B2081" s="24">
        <v>44228</v>
      </c>
      <c r="C2081" t="s">
        <v>39</v>
      </c>
      <c r="D2081" t="s">
        <v>41</v>
      </c>
      <c r="E2081">
        <v>2000713482</v>
      </c>
      <c r="F2081">
        <v>488</v>
      </c>
      <c r="G2081">
        <v>150</v>
      </c>
      <c r="H2081">
        <v>0</v>
      </c>
      <c r="I2081" t="s">
        <v>184</v>
      </c>
      <c r="J2081" t="s">
        <v>203</v>
      </c>
      <c r="K2081" t="s">
        <v>891</v>
      </c>
      <c r="O2081">
        <v>0</v>
      </c>
      <c r="U2081" t="s">
        <v>81</v>
      </c>
    </row>
    <row r="2082" spans="1:21" x14ac:dyDescent="0.25">
      <c r="A2082" s="33">
        <v>2085</v>
      </c>
      <c r="B2082" s="24">
        <v>44228</v>
      </c>
      <c r="C2082" t="s">
        <v>39</v>
      </c>
      <c r="D2082" t="s">
        <v>41</v>
      </c>
      <c r="E2082">
        <v>2000713858</v>
      </c>
      <c r="F2082">
        <v>656</v>
      </c>
      <c r="G2082">
        <v>497</v>
      </c>
      <c r="H2082">
        <v>0</v>
      </c>
      <c r="I2082" t="s">
        <v>184</v>
      </c>
      <c r="J2082" t="s">
        <v>203</v>
      </c>
      <c r="K2082" t="s">
        <v>793</v>
      </c>
      <c r="O2082">
        <v>0</v>
      </c>
      <c r="U2082" t="s">
        <v>81</v>
      </c>
    </row>
    <row r="2083" spans="1:21" x14ac:dyDescent="0.25">
      <c r="A2083" s="33">
        <v>2086</v>
      </c>
      <c r="B2083" s="24">
        <v>44228</v>
      </c>
      <c r="C2083" t="s">
        <v>39</v>
      </c>
      <c r="D2083" t="s">
        <v>41</v>
      </c>
      <c r="E2083">
        <v>2000712814</v>
      </c>
      <c r="F2083">
        <v>4200</v>
      </c>
      <c r="G2083">
        <v>240</v>
      </c>
      <c r="H2083">
        <v>0</v>
      </c>
      <c r="I2083" t="s">
        <v>198</v>
      </c>
      <c r="J2083" t="s">
        <v>199</v>
      </c>
      <c r="K2083" t="s">
        <v>660</v>
      </c>
      <c r="O2083">
        <v>0</v>
      </c>
      <c r="U2083" t="s">
        <v>81</v>
      </c>
    </row>
    <row r="2084" spans="1:21" x14ac:dyDescent="0.25">
      <c r="A2084" s="33">
        <v>2087</v>
      </c>
      <c r="B2084" s="24">
        <v>44228</v>
      </c>
      <c r="C2084" t="s">
        <v>39</v>
      </c>
      <c r="D2084" t="s">
        <v>41</v>
      </c>
      <c r="E2084">
        <v>2000714127</v>
      </c>
      <c r="F2084">
        <v>3008</v>
      </c>
      <c r="G2084">
        <v>50</v>
      </c>
      <c r="H2084">
        <v>0</v>
      </c>
      <c r="I2084" t="s">
        <v>198</v>
      </c>
      <c r="J2084" t="s">
        <v>203</v>
      </c>
      <c r="K2084" t="s">
        <v>788</v>
      </c>
      <c r="O2084">
        <v>0</v>
      </c>
      <c r="U2084" t="s">
        <v>81</v>
      </c>
    </row>
    <row r="2085" spans="1:21" x14ac:dyDescent="0.25">
      <c r="A2085" s="33">
        <v>2088</v>
      </c>
      <c r="B2085" s="24">
        <v>44228</v>
      </c>
      <c r="C2085" t="s">
        <v>39</v>
      </c>
      <c r="D2085" t="s">
        <v>41</v>
      </c>
      <c r="E2085">
        <v>2000714921</v>
      </c>
      <c r="F2085">
        <v>48</v>
      </c>
      <c r="G2085">
        <v>48</v>
      </c>
      <c r="H2085">
        <v>0</v>
      </c>
      <c r="I2085" t="s">
        <v>198</v>
      </c>
      <c r="J2085" t="s">
        <v>174</v>
      </c>
      <c r="K2085" t="s">
        <v>763</v>
      </c>
      <c r="O2085">
        <v>0</v>
      </c>
      <c r="U2085" t="s">
        <v>81</v>
      </c>
    </row>
    <row r="2086" spans="1:21" x14ac:dyDescent="0.25">
      <c r="A2086" s="33">
        <v>2089</v>
      </c>
      <c r="B2086" s="24">
        <v>44228</v>
      </c>
      <c r="C2086" t="s">
        <v>39</v>
      </c>
      <c r="D2086" t="s">
        <v>41</v>
      </c>
      <c r="E2086">
        <v>2000714534</v>
      </c>
      <c r="F2086">
        <v>856</v>
      </c>
      <c r="G2086">
        <v>180</v>
      </c>
      <c r="H2086">
        <v>0</v>
      </c>
      <c r="I2086" t="s">
        <v>198</v>
      </c>
      <c r="J2086" t="s">
        <v>170</v>
      </c>
      <c r="K2086" t="s">
        <v>899</v>
      </c>
      <c r="O2086">
        <v>0</v>
      </c>
      <c r="U2086" t="s">
        <v>81</v>
      </c>
    </row>
    <row r="2087" spans="1:21" x14ac:dyDescent="0.25">
      <c r="A2087" s="33">
        <v>2090</v>
      </c>
      <c r="B2087" s="24">
        <v>44228</v>
      </c>
      <c r="C2087" t="s">
        <v>39</v>
      </c>
      <c r="D2087" t="s">
        <v>41</v>
      </c>
      <c r="E2087">
        <v>2000714534</v>
      </c>
      <c r="F2087">
        <v>856</v>
      </c>
      <c r="G2087">
        <v>90</v>
      </c>
      <c r="H2087">
        <v>0</v>
      </c>
      <c r="I2087" t="s">
        <v>759</v>
      </c>
      <c r="J2087" t="s">
        <v>170</v>
      </c>
      <c r="K2087" t="s">
        <v>899</v>
      </c>
      <c r="O2087">
        <v>0</v>
      </c>
      <c r="U2087" t="s">
        <v>81</v>
      </c>
    </row>
    <row r="2088" spans="1:21" x14ac:dyDescent="0.25">
      <c r="A2088" s="33">
        <v>2091</v>
      </c>
      <c r="B2088" s="24">
        <v>44228</v>
      </c>
      <c r="C2088" t="s">
        <v>39</v>
      </c>
      <c r="D2088" t="s">
        <v>41</v>
      </c>
      <c r="E2088">
        <v>2000714921</v>
      </c>
      <c r="F2088">
        <v>48</v>
      </c>
      <c r="G2088">
        <v>48</v>
      </c>
      <c r="H2088">
        <v>0</v>
      </c>
      <c r="I2088" t="s">
        <v>759</v>
      </c>
      <c r="J2088" t="s">
        <v>174</v>
      </c>
      <c r="K2088" t="s">
        <v>763</v>
      </c>
      <c r="O2088">
        <v>0</v>
      </c>
      <c r="U2088" t="s">
        <v>83</v>
      </c>
    </row>
    <row r="2089" spans="1:21" x14ac:dyDescent="0.25">
      <c r="A2089" s="33">
        <v>2092</v>
      </c>
      <c r="B2089" s="24">
        <v>44228</v>
      </c>
      <c r="C2089" t="s">
        <v>39</v>
      </c>
      <c r="D2089" t="s">
        <v>41</v>
      </c>
      <c r="E2089">
        <v>2000714220</v>
      </c>
      <c r="F2089">
        <v>576</v>
      </c>
      <c r="G2089">
        <v>90</v>
      </c>
      <c r="H2089">
        <v>0</v>
      </c>
      <c r="I2089" t="s">
        <v>693</v>
      </c>
      <c r="J2089" t="s">
        <v>698</v>
      </c>
      <c r="K2089" t="s">
        <v>700</v>
      </c>
      <c r="O2089">
        <v>0</v>
      </c>
      <c r="U2089" t="s">
        <v>81</v>
      </c>
    </row>
    <row r="2090" spans="1:21" x14ac:dyDescent="0.25">
      <c r="A2090" s="33">
        <v>2093</v>
      </c>
      <c r="B2090" s="24">
        <v>44228</v>
      </c>
      <c r="C2090" t="s">
        <v>39</v>
      </c>
      <c r="D2090" t="s">
        <v>41</v>
      </c>
      <c r="E2090">
        <v>2000714159</v>
      </c>
      <c r="F2090">
        <v>1500</v>
      </c>
      <c r="G2090">
        <v>60</v>
      </c>
      <c r="H2090">
        <v>0</v>
      </c>
      <c r="I2090" t="s">
        <v>693</v>
      </c>
      <c r="J2090" t="s">
        <v>687</v>
      </c>
      <c r="K2090" t="s">
        <v>688</v>
      </c>
      <c r="O2090">
        <v>0</v>
      </c>
      <c r="U2090" t="s">
        <v>81</v>
      </c>
    </row>
    <row r="2091" spans="1:21" x14ac:dyDescent="0.25">
      <c r="A2091" s="33">
        <v>2094</v>
      </c>
      <c r="B2091" s="24">
        <v>44228</v>
      </c>
      <c r="C2091" t="s">
        <v>39</v>
      </c>
      <c r="D2091" t="s">
        <v>41</v>
      </c>
      <c r="E2091">
        <v>2000713991</v>
      </c>
      <c r="F2091">
        <v>580</v>
      </c>
      <c r="G2091">
        <v>80</v>
      </c>
      <c r="H2091">
        <v>0</v>
      </c>
      <c r="I2091" t="s">
        <v>693</v>
      </c>
      <c r="J2091" t="s">
        <v>172</v>
      </c>
      <c r="K2091" t="s">
        <v>692</v>
      </c>
      <c r="O2091">
        <v>0</v>
      </c>
      <c r="U2091" t="s">
        <v>81</v>
      </c>
    </row>
    <row r="2092" spans="1:21" x14ac:dyDescent="0.25">
      <c r="A2092" s="33">
        <v>2095</v>
      </c>
      <c r="B2092" s="24">
        <v>44228</v>
      </c>
      <c r="C2092" t="s">
        <v>39</v>
      </c>
      <c r="D2092" t="s">
        <v>41</v>
      </c>
      <c r="E2092">
        <v>2000714119</v>
      </c>
      <c r="F2092">
        <v>814</v>
      </c>
      <c r="G2092">
        <v>307</v>
      </c>
      <c r="H2092">
        <v>1</v>
      </c>
      <c r="I2092" t="s">
        <v>693</v>
      </c>
      <c r="J2092" t="s">
        <v>174</v>
      </c>
      <c r="K2092" t="s">
        <v>205</v>
      </c>
      <c r="L2092" t="s">
        <v>88</v>
      </c>
      <c r="N2092" t="s">
        <v>860</v>
      </c>
      <c r="O2092">
        <v>1</v>
      </c>
      <c r="P2092" t="s">
        <v>968</v>
      </c>
      <c r="Q2092" t="s">
        <v>969</v>
      </c>
      <c r="R2092">
        <v>6400357704</v>
      </c>
      <c r="S2092" s="36">
        <v>0.70486111111111116</v>
      </c>
      <c r="U2092" t="s">
        <v>81</v>
      </c>
    </row>
    <row r="2093" spans="1:21" x14ac:dyDescent="0.25">
      <c r="A2093" s="33">
        <v>2096</v>
      </c>
      <c r="B2093" s="24">
        <v>44228</v>
      </c>
      <c r="C2093" t="s">
        <v>39</v>
      </c>
      <c r="D2093" t="s">
        <v>41</v>
      </c>
      <c r="E2093">
        <v>2000714543</v>
      </c>
      <c r="F2093">
        <v>240</v>
      </c>
      <c r="G2093">
        <v>78</v>
      </c>
      <c r="H2093">
        <v>0</v>
      </c>
      <c r="I2093" t="s">
        <v>696</v>
      </c>
      <c r="J2093" t="s">
        <v>174</v>
      </c>
      <c r="K2093" t="s">
        <v>792</v>
      </c>
      <c r="O2093">
        <v>0</v>
      </c>
      <c r="U2093" t="s">
        <v>81</v>
      </c>
    </row>
    <row r="2094" spans="1:21" x14ac:dyDescent="0.25">
      <c r="A2094" s="33">
        <v>2097</v>
      </c>
      <c r="B2094" s="24">
        <v>44228</v>
      </c>
      <c r="C2094" t="s">
        <v>39</v>
      </c>
      <c r="D2094" t="s">
        <v>41</v>
      </c>
      <c r="E2094">
        <v>2000714544</v>
      </c>
      <c r="F2094">
        <v>40</v>
      </c>
      <c r="G2094">
        <v>40</v>
      </c>
      <c r="H2094">
        <v>0</v>
      </c>
      <c r="I2094" t="s">
        <v>696</v>
      </c>
      <c r="J2094" t="s">
        <v>174</v>
      </c>
      <c r="K2094" t="s">
        <v>187</v>
      </c>
      <c r="O2094">
        <v>0</v>
      </c>
      <c r="U2094" t="s">
        <v>81</v>
      </c>
    </row>
    <row r="2095" spans="1:21" x14ac:dyDescent="0.25">
      <c r="A2095" s="33">
        <v>2098</v>
      </c>
      <c r="B2095" s="24">
        <v>44228</v>
      </c>
      <c r="C2095" t="s">
        <v>39</v>
      </c>
      <c r="D2095" t="s">
        <v>41</v>
      </c>
      <c r="E2095">
        <v>2000714220</v>
      </c>
      <c r="F2095">
        <v>576</v>
      </c>
      <c r="G2095">
        <v>33</v>
      </c>
      <c r="H2095">
        <v>0</v>
      </c>
      <c r="I2095" t="s">
        <v>696</v>
      </c>
      <c r="J2095" t="s">
        <v>698</v>
      </c>
      <c r="K2095" t="s">
        <v>700</v>
      </c>
      <c r="O2095">
        <v>0</v>
      </c>
      <c r="U2095" t="s">
        <v>81</v>
      </c>
    </row>
    <row r="2096" spans="1:21" x14ac:dyDescent="0.25">
      <c r="A2096" s="33">
        <v>2099</v>
      </c>
      <c r="B2096" s="24">
        <v>44228</v>
      </c>
      <c r="C2096" t="s">
        <v>39</v>
      </c>
      <c r="D2096" t="s">
        <v>41</v>
      </c>
      <c r="E2096">
        <v>2000714119</v>
      </c>
      <c r="F2096">
        <v>814</v>
      </c>
      <c r="G2096">
        <v>90</v>
      </c>
      <c r="H2096">
        <v>0</v>
      </c>
      <c r="I2096" t="s">
        <v>696</v>
      </c>
      <c r="J2096" t="s">
        <v>174</v>
      </c>
      <c r="K2096" t="s">
        <v>205</v>
      </c>
      <c r="O2096">
        <v>0</v>
      </c>
      <c r="U2096" t="s">
        <v>81</v>
      </c>
    </row>
    <row r="2097" spans="1:21" x14ac:dyDescent="0.25">
      <c r="A2097" s="33">
        <v>2100</v>
      </c>
      <c r="B2097" s="24">
        <v>44228</v>
      </c>
      <c r="C2097" t="s">
        <v>39</v>
      </c>
      <c r="D2097" t="s">
        <v>41</v>
      </c>
      <c r="E2097">
        <v>2000714728</v>
      </c>
      <c r="F2097">
        <v>360</v>
      </c>
      <c r="G2097">
        <v>160</v>
      </c>
      <c r="H2097">
        <v>0</v>
      </c>
      <c r="I2097" t="s">
        <v>696</v>
      </c>
      <c r="J2097" t="s">
        <v>174</v>
      </c>
      <c r="K2097" t="s">
        <v>188</v>
      </c>
      <c r="O2097">
        <v>0</v>
      </c>
      <c r="U2097" t="s">
        <v>81</v>
      </c>
    </row>
    <row r="2098" spans="1:21" x14ac:dyDescent="0.25">
      <c r="A2098" s="33">
        <v>2101</v>
      </c>
      <c r="B2098" s="24">
        <v>44228</v>
      </c>
      <c r="C2098" t="s">
        <v>39</v>
      </c>
      <c r="D2098" t="s">
        <v>41</v>
      </c>
      <c r="E2098">
        <v>2000714543</v>
      </c>
      <c r="F2098">
        <v>240</v>
      </c>
      <c r="G2098">
        <v>40</v>
      </c>
      <c r="H2098">
        <v>0</v>
      </c>
      <c r="I2098" t="s">
        <v>183</v>
      </c>
      <c r="J2098" t="s">
        <v>174</v>
      </c>
      <c r="K2098" t="s">
        <v>792</v>
      </c>
      <c r="O2098">
        <v>0</v>
      </c>
      <c r="U2098" t="s">
        <v>81</v>
      </c>
    </row>
    <row r="2099" spans="1:21" x14ac:dyDescent="0.25">
      <c r="A2099" s="33">
        <v>2102</v>
      </c>
      <c r="B2099" s="24">
        <v>44228</v>
      </c>
      <c r="C2099" t="s">
        <v>39</v>
      </c>
      <c r="D2099" t="s">
        <v>41</v>
      </c>
      <c r="E2099">
        <v>2000714728</v>
      </c>
      <c r="F2099">
        <v>360</v>
      </c>
      <c r="G2099">
        <v>80</v>
      </c>
      <c r="H2099">
        <v>0</v>
      </c>
      <c r="I2099" t="s">
        <v>183</v>
      </c>
      <c r="J2099" t="s">
        <v>174</v>
      </c>
      <c r="K2099" t="s">
        <v>188</v>
      </c>
      <c r="O2099">
        <v>0</v>
      </c>
      <c r="U2099" t="s">
        <v>81</v>
      </c>
    </row>
    <row r="2100" spans="1:21" x14ac:dyDescent="0.25">
      <c r="A2100" s="33">
        <v>2103</v>
      </c>
      <c r="B2100" s="24">
        <v>44228</v>
      </c>
      <c r="C2100" t="s">
        <v>39</v>
      </c>
      <c r="D2100" t="s">
        <v>41</v>
      </c>
      <c r="E2100">
        <v>2000711826</v>
      </c>
      <c r="F2100">
        <v>1440</v>
      </c>
      <c r="G2100">
        <v>240</v>
      </c>
      <c r="H2100">
        <v>0</v>
      </c>
      <c r="I2100" t="s">
        <v>183</v>
      </c>
      <c r="J2100" t="s">
        <v>203</v>
      </c>
      <c r="K2100" t="s">
        <v>640</v>
      </c>
      <c r="O2100">
        <v>0</v>
      </c>
      <c r="U2100" t="s">
        <v>81</v>
      </c>
    </row>
    <row r="2101" spans="1:21" x14ac:dyDescent="0.25">
      <c r="A2101" s="33">
        <v>2104</v>
      </c>
      <c r="B2101" s="24">
        <v>44228</v>
      </c>
      <c r="C2101" t="s">
        <v>39</v>
      </c>
      <c r="D2101" t="s">
        <v>41</v>
      </c>
      <c r="E2101">
        <v>2000713864</v>
      </c>
      <c r="F2101">
        <v>2640</v>
      </c>
      <c r="G2101">
        <v>240</v>
      </c>
      <c r="H2101">
        <v>0</v>
      </c>
      <c r="I2101" t="s">
        <v>183</v>
      </c>
      <c r="J2101" t="s">
        <v>203</v>
      </c>
      <c r="K2101" t="s">
        <v>640</v>
      </c>
      <c r="O2101">
        <v>0</v>
      </c>
      <c r="U2101" t="s">
        <v>81</v>
      </c>
    </row>
    <row r="2102" spans="1:21" x14ac:dyDescent="0.25">
      <c r="A2102" s="33">
        <v>2105</v>
      </c>
      <c r="B2102" s="24">
        <v>44228</v>
      </c>
      <c r="C2102" t="s">
        <v>39</v>
      </c>
      <c r="D2102" t="s">
        <v>41</v>
      </c>
      <c r="E2102">
        <v>2000714569</v>
      </c>
      <c r="F2102">
        <v>7890</v>
      </c>
      <c r="G2102">
        <v>300</v>
      </c>
      <c r="H2102">
        <v>0</v>
      </c>
      <c r="I2102" t="s">
        <v>183</v>
      </c>
      <c r="J2102" t="s">
        <v>200</v>
      </c>
      <c r="K2102" t="s">
        <v>737</v>
      </c>
      <c r="O2102">
        <v>0</v>
      </c>
      <c r="U2102" t="s">
        <v>81</v>
      </c>
    </row>
    <row r="2103" spans="1:21" x14ac:dyDescent="0.25">
      <c r="A2103" s="33">
        <v>2106</v>
      </c>
      <c r="B2103" s="24">
        <v>44228</v>
      </c>
      <c r="C2103" t="s">
        <v>39</v>
      </c>
      <c r="D2103" t="s">
        <v>41</v>
      </c>
      <c r="E2103">
        <v>2000714127</v>
      </c>
      <c r="F2103">
        <v>3008</v>
      </c>
      <c r="G2103">
        <v>350</v>
      </c>
      <c r="H2103">
        <v>0</v>
      </c>
      <c r="I2103" t="s">
        <v>183</v>
      </c>
      <c r="J2103" t="s">
        <v>203</v>
      </c>
      <c r="K2103" t="s">
        <v>788</v>
      </c>
      <c r="O2103">
        <v>0</v>
      </c>
      <c r="U2103" t="s">
        <v>81</v>
      </c>
    </row>
    <row r="2104" spans="1:21" x14ac:dyDescent="0.25">
      <c r="A2104" s="33">
        <v>2107</v>
      </c>
      <c r="B2104" s="24">
        <v>44228</v>
      </c>
      <c r="C2104" t="s">
        <v>39</v>
      </c>
      <c r="D2104" t="s">
        <v>41</v>
      </c>
      <c r="E2104">
        <v>2000714470</v>
      </c>
      <c r="F2104">
        <v>2060</v>
      </c>
      <c r="G2104">
        <v>150</v>
      </c>
      <c r="H2104">
        <v>0</v>
      </c>
      <c r="I2104" t="s">
        <v>183</v>
      </c>
      <c r="J2104" t="s">
        <v>193</v>
      </c>
      <c r="K2104" t="s">
        <v>683</v>
      </c>
      <c r="O2104">
        <v>0</v>
      </c>
      <c r="U2104" t="s">
        <v>81</v>
      </c>
    </row>
    <row r="2105" spans="1:21" x14ac:dyDescent="0.25">
      <c r="A2105" s="33">
        <v>2108</v>
      </c>
      <c r="B2105" s="24">
        <v>44228</v>
      </c>
      <c r="C2105" t="s">
        <v>39</v>
      </c>
      <c r="D2105" t="s">
        <v>41</v>
      </c>
      <c r="E2105">
        <v>2000713859</v>
      </c>
      <c r="F2105">
        <v>1800</v>
      </c>
      <c r="G2105">
        <v>150</v>
      </c>
      <c r="H2105">
        <v>0</v>
      </c>
      <c r="I2105" t="s">
        <v>183</v>
      </c>
      <c r="J2105" t="s">
        <v>196</v>
      </c>
      <c r="K2105" t="s">
        <v>738</v>
      </c>
      <c r="O2105">
        <v>0</v>
      </c>
      <c r="U2105" t="s">
        <v>81</v>
      </c>
    </row>
    <row r="2106" spans="1:21" x14ac:dyDescent="0.25">
      <c r="A2106" s="33">
        <v>2109</v>
      </c>
      <c r="B2106" s="24">
        <v>44228</v>
      </c>
      <c r="C2106" t="s">
        <v>39</v>
      </c>
      <c r="D2106" t="s">
        <v>41</v>
      </c>
      <c r="E2106">
        <v>2000715080</v>
      </c>
      <c r="F2106">
        <v>1800</v>
      </c>
      <c r="G2106">
        <v>200</v>
      </c>
      <c r="H2106">
        <v>0</v>
      </c>
      <c r="I2106" t="s">
        <v>183</v>
      </c>
      <c r="J2106" t="s">
        <v>645</v>
      </c>
      <c r="K2106" t="s">
        <v>739</v>
      </c>
      <c r="O2106">
        <v>0</v>
      </c>
      <c r="U2106" t="s">
        <v>81</v>
      </c>
    </row>
    <row r="2107" spans="1:21" x14ac:dyDescent="0.25">
      <c r="A2107" s="33">
        <v>2110</v>
      </c>
      <c r="B2107" s="24">
        <v>44228</v>
      </c>
      <c r="C2107" t="s">
        <v>39</v>
      </c>
      <c r="D2107" t="s">
        <v>41</v>
      </c>
      <c r="E2107">
        <v>2000714159</v>
      </c>
      <c r="F2107">
        <v>1500</v>
      </c>
      <c r="G2107">
        <v>60</v>
      </c>
      <c r="H2107">
        <v>0</v>
      </c>
      <c r="I2107" t="s">
        <v>185</v>
      </c>
      <c r="J2107" t="s">
        <v>687</v>
      </c>
      <c r="K2107" t="s">
        <v>688</v>
      </c>
      <c r="O2107">
        <v>0</v>
      </c>
      <c r="U2107" t="s">
        <v>81</v>
      </c>
    </row>
    <row r="2108" spans="1:21" x14ac:dyDescent="0.25">
      <c r="A2108" s="33">
        <v>2111</v>
      </c>
      <c r="B2108" s="24">
        <v>44228</v>
      </c>
      <c r="C2108" t="s">
        <v>39</v>
      </c>
      <c r="D2108" t="s">
        <v>41</v>
      </c>
      <c r="E2108">
        <v>2000714809</v>
      </c>
      <c r="F2108">
        <v>100</v>
      </c>
      <c r="G2108">
        <v>20</v>
      </c>
      <c r="H2108">
        <v>0</v>
      </c>
      <c r="I2108" t="s">
        <v>185</v>
      </c>
      <c r="J2108" t="s">
        <v>645</v>
      </c>
      <c r="K2108" t="s">
        <v>752</v>
      </c>
      <c r="O2108">
        <v>0</v>
      </c>
      <c r="U2108" t="s">
        <v>81</v>
      </c>
    </row>
    <row r="2109" spans="1:21" x14ac:dyDescent="0.25">
      <c r="A2109" s="33">
        <v>2112</v>
      </c>
      <c r="B2109" s="24">
        <v>44228</v>
      </c>
      <c r="C2109" t="s">
        <v>39</v>
      </c>
      <c r="D2109" t="s">
        <v>41</v>
      </c>
      <c r="E2109">
        <v>2000713697</v>
      </c>
      <c r="F2109">
        <v>2000</v>
      </c>
      <c r="G2109">
        <v>60</v>
      </c>
      <c r="H2109">
        <v>0</v>
      </c>
      <c r="I2109" t="s">
        <v>185</v>
      </c>
      <c r="J2109" t="s">
        <v>169</v>
      </c>
      <c r="K2109" t="s">
        <v>179</v>
      </c>
      <c r="O2109">
        <v>0</v>
      </c>
      <c r="U2109" t="s">
        <v>81</v>
      </c>
    </row>
    <row r="2110" spans="1:21" x14ac:dyDescent="0.25">
      <c r="A2110" s="33">
        <v>2113</v>
      </c>
      <c r="B2110" s="24">
        <v>44228</v>
      </c>
      <c r="C2110" t="s">
        <v>39</v>
      </c>
      <c r="D2110" t="s">
        <v>41</v>
      </c>
      <c r="E2110">
        <v>2000714215</v>
      </c>
      <c r="F2110">
        <v>440</v>
      </c>
      <c r="G2110">
        <v>80</v>
      </c>
      <c r="H2110">
        <v>0</v>
      </c>
      <c r="I2110" t="s">
        <v>185</v>
      </c>
      <c r="J2110" t="s">
        <v>645</v>
      </c>
      <c r="K2110" t="s">
        <v>646</v>
      </c>
      <c r="O2110">
        <v>0</v>
      </c>
      <c r="U2110" t="s">
        <v>81</v>
      </c>
    </row>
    <row r="2111" spans="1:21" x14ac:dyDescent="0.25">
      <c r="A2111" s="33">
        <v>2114</v>
      </c>
      <c r="B2111" s="24">
        <v>44228</v>
      </c>
      <c r="C2111" t="s">
        <v>39</v>
      </c>
      <c r="D2111" t="s">
        <v>41</v>
      </c>
      <c r="E2111">
        <v>2000714595</v>
      </c>
      <c r="F2111">
        <v>5424</v>
      </c>
      <c r="G2111">
        <v>160</v>
      </c>
      <c r="H2111">
        <v>0</v>
      </c>
      <c r="I2111" t="s">
        <v>185</v>
      </c>
      <c r="J2111" t="s">
        <v>200</v>
      </c>
      <c r="K2111" t="s">
        <v>653</v>
      </c>
      <c r="O2111">
        <v>0</v>
      </c>
      <c r="U2111" t="s">
        <v>81</v>
      </c>
    </row>
    <row r="2112" spans="1:21" x14ac:dyDescent="0.25">
      <c r="A2112" s="33">
        <v>2115</v>
      </c>
      <c r="B2112" s="24">
        <v>44228</v>
      </c>
      <c r="C2112" t="s">
        <v>39</v>
      </c>
      <c r="D2112" t="s">
        <v>41</v>
      </c>
      <c r="E2112">
        <v>2000714596</v>
      </c>
      <c r="F2112">
        <v>2768</v>
      </c>
      <c r="G2112">
        <v>120</v>
      </c>
      <c r="H2112">
        <v>0</v>
      </c>
      <c r="I2112" t="s">
        <v>185</v>
      </c>
      <c r="J2112" t="s">
        <v>655</v>
      </c>
      <c r="K2112" t="s">
        <v>656</v>
      </c>
      <c r="O2112">
        <v>0</v>
      </c>
      <c r="U2112" t="s">
        <v>81</v>
      </c>
    </row>
    <row r="2113" spans="1:21" x14ac:dyDescent="0.25">
      <c r="A2113" s="33">
        <v>2116</v>
      </c>
      <c r="B2113" s="24">
        <v>44228</v>
      </c>
      <c r="C2113" t="s">
        <v>39</v>
      </c>
      <c r="D2113" t="s">
        <v>41</v>
      </c>
      <c r="E2113">
        <v>2000714217</v>
      </c>
      <c r="F2113">
        <v>550</v>
      </c>
      <c r="G2113">
        <v>80</v>
      </c>
      <c r="H2113">
        <v>0</v>
      </c>
      <c r="I2113" t="s">
        <v>185</v>
      </c>
      <c r="J2113" t="s">
        <v>645</v>
      </c>
      <c r="K2113" t="s">
        <v>646</v>
      </c>
      <c r="O2113">
        <v>0</v>
      </c>
      <c r="U2113" t="s">
        <v>81</v>
      </c>
    </row>
    <row r="2114" spans="1:21" x14ac:dyDescent="0.25">
      <c r="A2114" s="33">
        <v>2117</v>
      </c>
      <c r="B2114" s="24">
        <v>44228</v>
      </c>
      <c r="C2114" t="s">
        <v>39</v>
      </c>
      <c r="D2114" t="s">
        <v>41</v>
      </c>
      <c r="E2114">
        <v>2000714218</v>
      </c>
      <c r="F2114">
        <v>730</v>
      </c>
      <c r="G2114">
        <v>40</v>
      </c>
      <c r="H2114">
        <v>0</v>
      </c>
      <c r="I2114" t="s">
        <v>185</v>
      </c>
      <c r="J2114" t="s">
        <v>645</v>
      </c>
      <c r="K2114" t="s">
        <v>765</v>
      </c>
      <c r="O2114">
        <v>0</v>
      </c>
      <c r="U2114" t="s">
        <v>81</v>
      </c>
    </row>
    <row r="2115" spans="1:21" x14ac:dyDescent="0.25">
      <c r="A2115" s="33">
        <v>2118</v>
      </c>
      <c r="B2115" s="24">
        <v>44228</v>
      </c>
      <c r="C2115" t="s">
        <v>39</v>
      </c>
      <c r="D2115" t="s">
        <v>51</v>
      </c>
      <c r="E2115">
        <v>2000714287</v>
      </c>
      <c r="F2115">
        <v>700</v>
      </c>
      <c r="G2115">
        <v>105</v>
      </c>
      <c r="H2115">
        <v>0</v>
      </c>
      <c r="I2115" t="s">
        <v>706</v>
      </c>
      <c r="J2115" t="s">
        <v>709</v>
      </c>
      <c r="K2115" t="s">
        <v>743</v>
      </c>
      <c r="O2115">
        <v>0</v>
      </c>
      <c r="U2115" t="s">
        <v>81</v>
      </c>
    </row>
    <row r="2116" spans="1:21" x14ac:dyDescent="0.25">
      <c r="A2116" s="33">
        <v>2119</v>
      </c>
      <c r="B2116" s="24">
        <v>44228</v>
      </c>
      <c r="C2116" t="s">
        <v>39</v>
      </c>
      <c r="D2116" t="s">
        <v>51</v>
      </c>
      <c r="E2116">
        <v>2000714285</v>
      </c>
      <c r="F2116">
        <v>545</v>
      </c>
      <c r="G2116">
        <v>160</v>
      </c>
      <c r="H2116">
        <v>0</v>
      </c>
      <c r="I2116" t="s">
        <v>706</v>
      </c>
      <c r="J2116" t="s">
        <v>673</v>
      </c>
      <c r="K2116" t="s">
        <v>674</v>
      </c>
      <c r="O2116">
        <v>0</v>
      </c>
      <c r="U2116" t="s">
        <v>81</v>
      </c>
    </row>
    <row r="2117" spans="1:21" x14ac:dyDescent="0.25">
      <c r="A2117" s="33">
        <v>2120</v>
      </c>
      <c r="B2117" s="24">
        <v>44228</v>
      </c>
      <c r="C2117" t="s">
        <v>39</v>
      </c>
      <c r="D2117" t="s">
        <v>51</v>
      </c>
      <c r="E2117">
        <v>2000714289</v>
      </c>
      <c r="F2117">
        <v>780</v>
      </c>
      <c r="G2117">
        <v>200</v>
      </c>
      <c r="H2117">
        <v>0</v>
      </c>
      <c r="I2117" t="s">
        <v>706</v>
      </c>
      <c r="J2117" t="s">
        <v>673</v>
      </c>
      <c r="K2117" t="s">
        <v>742</v>
      </c>
      <c r="O2117">
        <v>0</v>
      </c>
      <c r="U2117" t="s">
        <v>81</v>
      </c>
    </row>
    <row r="2118" spans="1:21" x14ac:dyDescent="0.25">
      <c r="A2118" s="33">
        <v>2121</v>
      </c>
      <c r="B2118" s="24">
        <v>44228</v>
      </c>
      <c r="C2118" t="s">
        <v>39</v>
      </c>
      <c r="D2118" t="s">
        <v>51</v>
      </c>
      <c r="E2118">
        <v>2000714666</v>
      </c>
      <c r="F2118">
        <v>400</v>
      </c>
      <c r="G2118">
        <v>175</v>
      </c>
      <c r="H2118">
        <v>0</v>
      </c>
      <c r="I2118" t="s">
        <v>706</v>
      </c>
      <c r="J2118" t="s">
        <v>667</v>
      </c>
      <c r="K2118" t="s">
        <v>671</v>
      </c>
      <c r="O2118">
        <v>0</v>
      </c>
      <c r="U2118" t="s">
        <v>81</v>
      </c>
    </row>
    <row r="2119" spans="1:21" x14ac:dyDescent="0.25">
      <c r="A2119" s="33">
        <v>2122</v>
      </c>
      <c r="B2119" s="24">
        <v>44228</v>
      </c>
      <c r="C2119" t="s">
        <v>39</v>
      </c>
      <c r="D2119" t="s">
        <v>51</v>
      </c>
      <c r="E2119">
        <v>2000713639</v>
      </c>
      <c r="F2119">
        <v>620</v>
      </c>
      <c r="G2119">
        <v>50</v>
      </c>
      <c r="H2119">
        <v>0</v>
      </c>
      <c r="I2119" t="s">
        <v>706</v>
      </c>
      <c r="J2119" t="s">
        <v>676</v>
      </c>
      <c r="K2119" t="s">
        <v>677</v>
      </c>
      <c r="O2119">
        <v>0</v>
      </c>
      <c r="U2119" t="s">
        <v>81</v>
      </c>
    </row>
    <row r="2120" spans="1:21" x14ac:dyDescent="0.25">
      <c r="A2120" s="33">
        <v>2123</v>
      </c>
      <c r="B2120" s="24">
        <v>44228</v>
      </c>
      <c r="C2120" t="s">
        <v>39</v>
      </c>
      <c r="D2120" t="s">
        <v>51</v>
      </c>
      <c r="E2120">
        <v>2000713640</v>
      </c>
      <c r="F2120">
        <v>620</v>
      </c>
      <c r="G2120">
        <v>60</v>
      </c>
      <c r="H2120">
        <v>0</v>
      </c>
      <c r="I2120" t="s">
        <v>706</v>
      </c>
      <c r="J2120" t="s">
        <v>676</v>
      </c>
      <c r="K2120" t="s">
        <v>677</v>
      </c>
      <c r="O2120">
        <v>0</v>
      </c>
      <c r="U2120" t="s">
        <v>81</v>
      </c>
    </row>
    <row r="2121" spans="1:21" x14ac:dyDescent="0.25">
      <c r="A2121" s="33">
        <v>2124</v>
      </c>
      <c r="B2121" s="24">
        <v>44228</v>
      </c>
      <c r="C2121" t="s">
        <v>39</v>
      </c>
      <c r="D2121" t="s">
        <v>41</v>
      </c>
      <c r="E2121">
        <v>2000713178</v>
      </c>
      <c r="F2121">
        <v>500</v>
      </c>
      <c r="G2121">
        <v>1</v>
      </c>
      <c r="H2121">
        <v>1</v>
      </c>
      <c r="I2121" t="s">
        <v>168</v>
      </c>
      <c r="J2121" t="s">
        <v>203</v>
      </c>
      <c r="K2121" t="s">
        <v>891</v>
      </c>
      <c r="L2121" t="s">
        <v>132</v>
      </c>
      <c r="N2121" t="s">
        <v>970</v>
      </c>
      <c r="O2121">
        <v>1</v>
      </c>
      <c r="P2121" t="s">
        <v>971</v>
      </c>
      <c r="S2121" s="36">
        <v>0.3576388888888889</v>
      </c>
      <c r="T2121" t="s">
        <v>972</v>
      </c>
      <c r="U2121" t="s">
        <v>81</v>
      </c>
    </row>
    <row r="2122" spans="1:21" x14ac:dyDescent="0.25">
      <c r="A2122" s="33">
        <v>2125</v>
      </c>
      <c r="B2122" s="24">
        <v>44228</v>
      </c>
      <c r="C2122" t="s">
        <v>181</v>
      </c>
      <c r="D2122" t="s">
        <v>41</v>
      </c>
      <c r="E2122">
        <v>2000713858</v>
      </c>
      <c r="F2122">
        <v>656</v>
      </c>
      <c r="G2122">
        <v>90</v>
      </c>
      <c r="H2122">
        <v>0</v>
      </c>
      <c r="I2122" t="s">
        <v>178</v>
      </c>
      <c r="J2122" t="s">
        <v>203</v>
      </c>
      <c r="K2122" t="s">
        <v>793</v>
      </c>
      <c r="O2122">
        <v>0</v>
      </c>
      <c r="U2122" t="s">
        <v>81</v>
      </c>
    </row>
    <row r="2123" spans="1:21" x14ac:dyDescent="0.25">
      <c r="A2123" s="33">
        <v>2126</v>
      </c>
      <c r="B2123" s="24">
        <v>44228</v>
      </c>
      <c r="C2123" t="s">
        <v>181</v>
      </c>
      <c r="D2123" t="s">
        <v>41</v>
      </c>
      <c r="E2123">
        <v>2000713482</v>
      </c>
      <c r="F2123">
        <v>488</v>
      </c>
      <c r="G2123">
        <v>125</v>
      </c>
      <c r="H2123">
        <v>1</v>
      </c>
      <c r="I2123" t="s">
        <v>178</v>
      </c>
      <c r="J2123" t="s">
        <v>203</v>
      </c>
      <c r="K2123" t="s">
        <v>891</v>
      </c>
      <c r="L2123" t="s">
        <v>87</v>
      </c>
      <c r="N2123" t="s">
        <v>973</v>
      </c>
      <c r="O2123">
        <v>1</v>
      </c>
      <c r="P2123" t="s">
        <v>974</v>
      </c>
      <c r="R2123">
        <v>4130002623</v>
      </c>
      <c r="S2123" s="36">
        <v>8.3333333333333329E-2</v>
      </c>
      <c r="U2123" t="s">
        <v>81</v>
      </c>
    </row>
    <row r="2124" spans="1:21" x14ac:dyDescent="0.25">
      <c r="A2124" s="33">
        <v>2127</v>
      </c>
      <c r="B2124" s="24">
        <v>44228</v>
      </c>
      <c r="C2124" t="s">
        <v>181</v>
      </c>
      <c r="D2124" t="s">
        <v>41</v>
      </c>
      <c r="E2124">
        <v>2000714679</v>
      </c>
      <c r="F2124">
        <v>90</v>
      </c>
      <c r="G2124">
        <v>90</v>
      </c>
      <c r="H2124">
        <v>0</v>
      </c>
      <c r="I2124" t="s">
        <v>178</v>
      </c>
      <c r="J2124" t="s">
        <v>203</v>
      </c>
      <c r="K2124" t="s">
        <v>891</v>
      </c>
      <c r="O2124">
        <v>0</v>
      </c>
      <c r="U2124" t="s">
        <v>81</v>
      </c>
    </row>
    <row r="2125" spans="1:21" x14ac:dyDescent="0.25">
      <c r="A2125" s="33">
        <v>2128</v>
      </c>
      <c r="B2125" s="24">
        <v>44228</v>
      </c>
      <c r="C2125" t="s">
        <v>181</v>
      </c>
      <c r="D2125" t="s">
        <v>41</v>
      </c>
      <c r="E2125">
        <v>2000714678</v>
      </c>
      <c r="F2125">
        <v>950</v>
      </c>
      <c r="G2125">
        <v>150</v>
      </c>
      <c r="H2125">
        <v>0</v>
      </c>
      <c r="I2125" t="s">
        <v>178</v>
      </c>
      <c r="J2125" t="s">
        <v>203</v>
      </c>
      <c r="K2125" t="s">
        <v>785</v>
      </c>
      <c r="O2125">
        <v>0</v>
      </c>
      <c r="U2125" t="s">
        <v>81</v>
      </c>
    </row>
    <row r="2126" spans="1:21" x14ac:dyDescent="0.25">
      <c r="A2126" s="33">
        <v>2129</v>
      </c>
      <c r="B2126" s="24">
        <v>44228</v>
      </c>
      <c r="C2126" t="s">
        <v>181</v>
      </c>
      <c r="D2126" t="s">
        <v>41</v>
      </c>
      <c r="E2126">
        <v>2000714545</v>
      </c>
      <c r="F2126">
        <v>200</v>
      </c>
      <c r="G2126">
        <v>40</v>
      </c>
      <c r="H2126">
        <v>0</v>
      </c>
      <c r="I2126" t="s">
        <v>178</v>
      </c>
      <c r="J2126" t="s">
        <v>174</v>
      </c>
      <c r="K2126" t="s">
        <v>805</v>
      </c>
      <c r="O2126">
        <v>0</v>
      </c>
      <c r="U2126" t="s">
        <v>81</v>
      </c>
    </row>
    <row r="2127" spans="1:21" x14ac:dyDescent="0.25">
      <c r="A2127" s="33">
        <v>2130</v>
      </c>
      <c r="B2127" s="24">
        <v>44228</v>
      </c>
      <c r="C2127" t="s">
        <v>181</v>
      </c>
      <c r="D2127" t="s">
        <v>41</v>
      </c>
      <c r="E2127">
        <v>2000719635</v>
      </c>
      <c r="F2127">
        <v>646</v>
      </c>
      <c r="G2127">
        <v>2</v>
      </c>
      <c r="H2127">
        <v>0</v>
      </c>
      <c r="I2127" t="s">
        <v>180</v>
      </c>
      <c r="J2127" t="s">
        <v>174</v>
      </c>
      <c r="K2127" t="s">
        <v>188</v>
      </c>
      <c r="O2127">
        <v>0</v>
      </c>
      <c r="U2127" t="s">
        <v>81</v>
      </c>
    </row>
    <row r="2128" spans="1:21" x14ac:dyDescent="0.25">
      <c r="A2128" s="33">
        <v>2131</v>
      </c>
      <c r="B2128" s="24">
        <v>44228</v>
      </c>
      <c r="C2128" t="s">
        <v>181</v>
      </c>
      <c r="D2128" t="s">
        <v>41</v>
      </c>
      <c r="E2128">
        <v>2000714546</v>
      </c>
      <c r="F2128">
        <v>160</v>
      </c>
      <c r="G2128">
        <v>160</v>
      </c>
      <c r="H2128">
        <v>0</v>
      </c>
      <c r="I2128" t="s">
        <v>180</v>
      </c>
      <c r="J2128" t="s">
        <v>174</v>
      </c>
      <c r="K2128" t="s">
        <v>735</v>
      </c>
      <c r="O2128">
        <v>0</v>
      </c>
      <c r="U2128" t="s">
        <v>81</v>
      </c>
    </row>
    <row r="2129" spans="1:21" ht="30" x14ac:dyDescent="0.25">
      <c r="A2129" s="33">
        <v>2132</v>
      </c>
      <c r="B2129" s="24">
        <v>44228</v>
      </c>
      <c r="C2129" t="s">
        <v>181</v>
      </c>
      <c r="D2129" t="s">
        <v>41</v>
      </c>
      <c r="E2129">
        <v>2000714729</v>
      </c>
      <c r="F2129">
        <v>400</v>
      </c>
      <c r="G2129">
        <v>60</v>
      </c>
      <c r="H2129">
        <v>0</v>
      </c>
      <c r="I2129" t="s">
        <v>180</v>
      </c>
      <c r="J2129" t="s">
        <v>174</v>
      </c>
      <c r="K2129" t="s">
        <v>186</v>
      </c>
      <c r="O2129">
        <v>0</v>
      </c>
      <c r="T2129" s="62" t="s">
        <v>723</v>
      </c>
      <c r="U2129" t="s">
        <v>81</v>
      </c>
    </row>
    <row r="2130" spans="1:21" x14ac:dyDescent="0.25">
      <c r="A2130" s="33">
        <v>2133</v>
      </c>
      <c r="B2130" s="24">
        <v>44228</v>
      </c>
      <c r="C2130" t="s">
        <v>181</v>
      </c>
      <c r="D2130" t="s">
        <v>41</v>
      </c>
      <c r="E2130">
        <v>2000714571</v>
      </c>
      <c r="F2130">
        <v>3000</v>
      </c>
      <c r="G2130">
        <v>200</v>
      </c>
      <c r="H2130">
        <v>0</v>
      </c>
      <c r="I2130" t="s">
        <v>201</v>
      </c>
      <c r="J2130" t="s">
        <v>172</v>
      </c>
      <c r="K2130" t="s">
        <v>729</v>
      </c>
      <c r="O2130">
        <v>0</v>
      </c>
      <c r="U2130" t="s">
        <v>81</v>
      </c>
    </row>
    <row r="2131" spans="1:21" x14ac:dyDescent="0.25">
      <c r="A2131" s="33">
        <v>2134</v>
      </c>
      <c r="B2131" s="24">
        <v>44228</v>
      </c>
      <c r="C2131" t="s">
        <v>181</v>
      </c>
      <c r="D2131" t="s">
        <v>41</v>
      </c>
      <c r="E2131">
        <v>2000714567</v>
      </c>
      <c r="F2131">
        <v>3200</v>
      </c>
      <c r="G2131">
        <v>200</v>
      </c>
      <c r="H2131">
        <v>0</v>
      </c>
      <c r="I2131" t="s">
        <v>201</v>
      </c>
      <c r="J2131" t="s">
        <v>172</v>
      </c>
      <c r="K2131" t="s">
        <v>814</v>
      </c>
      <c r="O2131">
        <v>0</v>
      </c>
      <c r="U2131" t="s">
        <v>81</v>
      </c>
    </row>
    <row r="2132" spans="1:21" x14ac:dyDescent="0.25">
      <c r="A2132" s="33">
        <v>2135</v>
      </c>
      <c r="B2132" s="24">
        <v>44228</v>
      </c>
      <c r="C2132" t="s">
        <v>181</v>
      </c>
      <c r="D2132" t="s">
        <v>41</v>
      </c>
      <c r="E2132">
        <v>2000714192</v>
      </c>
      <c r="F2132">
        <v>1090</v>
      </c>
      <c r="G2132">
        <v>200</v>
      </c>
      <c r="H2132">
        <v>0</v>
      </c>
      <c r="I2132" t="s">
        <v>201</v>
      </c>
      <c r="J2132" t="s">
        <v>172</v>
      </c>
      <c r="K2132" t="s">
        <v>725</v>
      </c>
      <c r="O2132">
        <v>0</v>
      </c>
      <c r="U2132" t="s">
        <v>81</v>
      </c>
    </row>
    <row r="2133" spans="1:21" x14ac:dyDescent="0.25">
      <c r="A2133" s="33">
        <v>2136</v>
      </c>
      <c r="B2133" s="24">
        <v>44228</v>
      </c>
      <c r="C2133" t="s">
        <v>181</v>
      </c>
      <c r="D2133" t="s">
        <v>41</v>
      </c>
      <c r="E2133">
        <v>2000713861</v>
      </c>
      <c r="F2133">
        <v>4032</v>
      </c>
      <c r="G2133">
        <v>200</v>
      </c>
      <c r="H2133">
        <v>0</v>
      </c>
      <c r="I2133" t="s">
        <v>201</v>
      </c>
      <c r="J2133" t="s">
        <v>645</v>
      </c>
      <c r="K2133" t="s">
        <v>659</v>
      </c>
      <c r="O2133">
        <v>0</v>
      </c>
      <c r="U2133" t="s">
        <v>81</v>
      </c>
    </row>
    <row r="2134" spans="1:21" x14ac:dyDescent="0.25">
      <c r="A2134" s="33">
        <v>2137</v>
      </c>
      <c r="B2134" s="24">
        <v>44228</v>
      </c>
      <c r="C2134" t="s">
        <v>181</v>
      </c>
      <c r="D2134" t="s">
        <v>41</v>
      </c>
      <c r="E2134">
        <v>2000714597</v>
      </c>
      <c r="F2134">
        <v>5344</v>
      </c>
      <c r="G2134">
        <v>200</v>
      </c>
      <c r="H2134">
        <v>0</v>
      </c>
      <c r="I2134" t="s">
        <v>201</v>
      </c>
      <c r="J2134" t="s">
        <v>200</v>
      </c>
      <c r="K2134" t="s">
        <v>653</v>
      </c>
      <c r="O2134">
        <v>0</v>
      </c>
      <c r="U2134" t="s">
        <v>81</v>
      </c>
    </row>
    <row r="2135" spans="1:21" x14ac:dyDescent="0.25">
      <c r="A2135" s="33">
        <v>2138</v>
      </c>
      <c r="B2135" s="24">
        <v>44228</v>
      </c>
      <c r="C2135" t="s">
        <v>181</v>
      </c>
      <c r="D2135" t="s">
        <v>41</v>
      </c>
      <c r="E2135">
        <v>2000713862</v>
      </c>
      <c r="F2135">
        <v>2640</v>
      </c>
      <c r="G2135">
        <v>240</v>
      </c>
      <c r="H2135">
        <v>0</v>
      </c>
      <c r="I2135" t="s">
        <v>201</v>
      </c>
      <c r="J2135" t="s">
        <v>203</v>
      </c>
      <c r="K2135" t="s">
        <v>640</v>
      </c>
      <c r="O2135">
        <v>0</v>
      </c>
      <c r="U2135" t="s">
        <v>81</v>
      </c>
    </row>
    <row r="2136" spans="1:21" x14ac:dyDescent="0.25">
      <c r="A2136" s="33">
        <v>2139</v>
      </c>
      <c r="B2136" s="24">
        <v>44228</v>
      </c>
      <c r="C2136" t="s">
        <v>181</v>
      </c>
      <c r="D2136" t="s">
        <v>41</v>
      </c>
      <c r="E2136">
        <v>2000714830</v>
      </c>
      <c r="F2136">
        <v>1650</v>
      </c>
      <c r="G2136">
        <v>200</v>
      </c>
      <c r="H2136">
        <v>0</v>
      </c>
      <c r="I2136" t="s">
        <v>201</v>
      </c>
      <c r="J2136" t="s">
        <v>193</v>
      </c>
      <c r="K2136" t="s">
        <v>686</v>
      </c>
      <c r="O2136">
        <v>0</v>
      </c>
      <c r="U2136" t="s">
        <v>81</v>
      </c>
    </row>
    <row r="2137" spans="1:21" x14ac:dyDescent="0.25">
      <c r="A2137" s="33">
        <v>2140</v>
      </c>
      <c r="B2137" s="24">
        <v>44228</v>
      </c>
      <c r="C2137" t="s">
        <v>181</v>
      </c>
      <c r="D2137" t="s">
        <v>41</v>
      </c>
      <c r="E2137">
        <v>2000714566</v>
      </c>
      <c r="F2137">
        <v>1800</v>
      </c>
      <c r="G2137">
        <v>200</v>
      </c>
      <c r="H2137">
        <v>0</v>
      </c>
      <c r="I2137" t="s">
        <v>201</v>
      </c>
      <c r="J2137" t="s">
        <v>195</v>
      </c>
      <c r="K2137" t="s">
        <v>210</v>
      </c>
      <c r="O2137">
        <v>0</v>
      </c>
      <c r="U2137" t="s">
        <v>81</v>
      </c>
    </row>
    <row r="2138" spans="1:21" x14ac:dyDescent="0.25">
      <c r="A2138" s="33">
        <v>2141</v>
      </c>
      <c r="B2138" s="24">
        <v>44228</v>
      </c>
      <c r="C2138" t="s">
        <v>181</v>
      </c>
      <c r="D2138" t="s">
        <v>41</v>
      </c>
      <c r="E2138">
        <v>2000714130</v>
      </c>
      <c r="F2138">
        <v>920</v>
      </c>
      <c r="G2138">
        <v>120</v>
      </c>
      <c r="H2138">
        <v>0</v>
      </c>
      <c r="I2138" t="s">
        <v>201</v>
      </c>
      <c r="J2138" t="s">
        <v>745</v>
      </c>
      <c r="K2138" t="s">
        <v>746</v>
      </c>
      <c r="O2138">
        <v>0</v>
      </c>
      <c r="U2138" t="s">
        <v>81</v>
      </c>
    </row>
    <row r="2139" spans="1:21" x14ac:dyDescent="0.25">
      <c r="A2139" s="33">
        <v>2142</v>
      </c>
      <c r="B2139" s="24">
        <v>44228</v>
      </c>
      <c r="C2139" t="s">
        <v>181</v>
      </c>
      <c r="D2139" t="s">
        <v>41</v>
      </c>
      <c r="E2139">
        <v>2000714127</v>
      </c>
      <c r="F2139">
        <v>3008</v>
      </c>
      <c r="G2139">
        <v>50</v>
      </c>
      <c r="H2139">
        <v>0</v>
      </c>
      <c r="I2139" t="s">
        <v>201</v>
      </c>
      <c r="J2139" t="s">
        <v>203</v>
      </c>
      <c r="K2139" t="s">
        <v>788</v>
      </c>
      <c r="O2139">
        <v>0</v>
      </c>
      <c r="U2139" t="s">
        <v>81</v>
      </c>
    </row>
    <row r="2140" spans="1:21" x14ac:dyDescent="0.25">
      <c r="A2140" s="33">
        <v>2143</v>
      </c>
      <c r="B2140" s="24">
        <v>44228</v>
      </c>
      <c r="C2140" t="s">
        <v>181</v>
      </c>
      <c r="D2140" t="s">
        <v>41</v>
      </c>
      <c r="E2140">
        <v>2000713858</v>
      </c>
      <c r="F2140">
        <v>656</v>
      </c>
      <c r="G2140">
        <v>60</v>
      </c>
      <c r="H2140">
        <v>0</v>
      </c>
      <c r="I2140" t="s">
        <v>191</v>
      </c>
      <c r="J2140" t="s">
        <v>203</v>
      </c>
      <c r="K2140" t="s">
        <v>793</v>
      </c>
      <c r="O2140">
        <v>0</v>
      </c>
      <c r="U2140" t="s">
        <v>81</v>
      </c>
    </row>
    <row r="2141" spans="1:21" x14ac:dyDescent="0.25">
      <c r="A2141" s="33">
        <v>2144</v>
      </c>
      <c r="B2141" s="24">
        <v>44228</v>
      </c>
      <c r="C2141" t="s">
        <v>181</v>
      </c>
      <c r="D2141" t="s">
        <v>41</v>
      </c>
      <c r="E2141">
        <v>2000714534</v>
      </c>
      <c r="F2141">
        <v>856</v>
      </c>
      <c r="G2141">
        <v>175</v>
      </c>
      <c r="H2141">
        <v>0</v>
      </c>
      <c r="I2141" t="s">
        <v>191</v>
      </c>
      <c r="J2141" t="s">
        <v>170</v>
      </c>
      <c r="K2141" t="s">
        <v>732</v>
      </c>
      <c r="O2141">
        <v>0</v>
      </c>
      <c r="U2141" t="s">
        <v>81</v>
      </c>
    </row>
    <row r="2142" spans="1:21" x14ac:dyDescent="0.25">
      <c r="A2142" s="33">
        <v>2145</v>
      </c>
      <c r="B2142" s="24">
        <v>44228</v>
      </c>
      <c r="C2142" t="s">
        <v>181</v>
      </c>
      <c r="D2142" t="s">
        <v>41</v>
      </c>
      <c r="E2142">
        <v>2000714119</v>
      </c>
      <c r="F2142">
        <v>814</v>
      </c>
      <c r="G2142">
        <v>134</v>
      </c>
      <c r="H2142">
        <v>0</v>
      </c>
      <c r="I2142" t="s">
        <v>191</v>
      </c>
      <c r="J2142" t="s">
        <v>174</v>
      </c>
      <c r="K2142" t="s">
        <v>205</v>
      </c>
      <c r="O2142">
        <v>0</v>
      </c>
      <c r="U2142" t="s">
        <v>81</v>
      </c>
    </row>
    <row r="2143" spans="1:21" x14ac:dyDescent="0.25">
      <c r="A2143" s="33">
        <v>2146</v>
      </c>
      <c r="B2143" s="24">
        <v>44228</v>
      </c>
      <c r="C2143" t="s">
        <v>181</v>
      </c>
      <c r="D2143" t="s">
        <v>41</v>
      </c>
      <c r="E2143">
        <v>2000714723</v>
      </c>
      <c r="F2143">
        <v>500</v>
      </c>
      <c r="G2143">
        <v>356</v>
      </c>
      <c r="H2143">
        <v>0</v>
      </c>
      <c r="I2143" t="s">
        <v>191</v>
      </c>
      <c r="J2143" t="s">
        <v>170</v>
      </c>
      <c r="K2143" t="s">
        <v>171</v>
      </c>
      <c r="O2143">
        <v>0</v>
      </c>
      <c r="U2143" t="s">
        <v>81</v>
      </c>
    </row>
    <row r="2144" spans="1:21" x14ac:dyDescent="0.25">
      <c r="A2144" s="33">
        <v>2147</v>
      </c>
      <c r="B2144" s="24">
        <v>44228</v>
      </c>
      <c r="C2144" t="s">
        <v>181</v>
      </c>
      <c r="D2144" t="s">
        <v>41</v>
      </c>
      <c r="E2144">
        <v>2000714534</v>
      </c>
      <c r="F2144">
        <v>856</v>
      </c>
      <c r="G2144">
        <v>405</v>
      </c>
      <c r="H2144">
        <v>0</v>
      </c>
      <c r="I2144" t="s">
        <v>661</v>
      </c>
      <c r="J2144" t="s">
        <v>170</v>
      </c>
      <c r="K2144" t="s">
        <v>732</v>
      </c>
      <c r="O2144">
        <v>0</v>
      </c>
      <c r="U2144" t="s">
        <v>81</v>
      </c>
    </row>
    <row r="2145" spans="1:21" x14ac:dyDescent="0.25">
      <c r="A2145" s="33">
        <v>2148</v>
      </c>
      <c r="B2145" s="24">
        <v>44228</v>
      </c>
      <c r="C2145" t="s">
        <v>181</v>
      </c>
      <c r="D2145" t="s">
        <v>41</v>
      </c>
      <c r="E2145">
        <v>2000714119</v>
      </c>
      <c r="F2145">
        <v>814</v>
      </c>
      <c r="G2145">
        <v>90</v>
      </c>
      <c r="H2145">
        <v>0</v>
      </c>
      <c r="I2145" t="s">
        <v>661</v>
      </c>
      <c r="J2145" t="s">
        <v>174</v>
      </c>
      <c r="K2145" t="s">
        <v>205</v>
      </c>
      <c r="O2145">
        <v>0</v>
      </c>
      <c r="U2145" t="s">
        <v>81</v>
      </c>
    </row>
    <row r="2146" spans="1:21" x14ac:dyDescent="0.25">
      <c r="A2146" s="33">
        <v>2149</v>
      </c>
      <c r="B2146" s="24">
        <v>44228</v>
      </c>
      <c r="C2146" t="s">
        <v>181</v>
      </c>
      <c r="D2146" t="s">
        <v>41</v>
      </c>
      <c r="E2146">
        <v>2000714723</v>
      </c>
      <c r="F2146">
        <v>500</v>
      </c>
      <c r="G2146">
        <v>95</v>
      </c>
      <c r="H2146">
        <v>0</v>
      </c>
      <c r="I2146" t="s">
        <v>661</v>
      </c>
      <c r="J2146" t="s">
        <v>170</v>
      </c>
      <c r="K2146" t="s">
        <v>171</v>
      </c>
      <c r="O2146">
        <v>0</v>
      </c>
      <c r="U2146" t="s">
        <v>81</v>
      </c>
    </row>
    <row r="2147" spans="1:21" x14ac:dyDescent="0.25">
      <c r="A2147" s="33">
        <v>2150</v>
      </c>
      <c r="B2147" s="24">
        <v>44228</v>
      </c>
      <c r="C2147" t="s">
        <v>181</v>
      </c>
      <c r="D2147" t="s">
        <v>41</v>
      </c>
      <c r="E2147">
        <v>2000714526</v>
      </c>
      <c r="F2147">
        <v>1000</v>
      </c>
      <c r="G2147">
        <v>80</v>
      </c>
      <c r="H2147">
        <v>0</v>
      </c>
      <c r="I2147" t="s">
        <v>194</v>
      </c>
      <c r="J2147" t="s">
        <v>169</v>
      </c>
      <c r="K2147" t="s">
        <v>179</v>
      </c>
      <c r="O2147">
        <v>0</v>
      </c>
      <c r="U2147" t="s">
        <v>81</v>
      </c>
    </row>
    <row r="2148" spans="1:21" x14ac:dyDescent="0.25">
      <c r="A2148" s="33">
        <v>2151</v>
      </c>
      <c r="B2148" s="24">
        <v>44228</v>
      </c>
      <c r="C2148" t="s">
        <v>181</v>
      </c>
      <c r="D2148" t="s">
        <v>41</v>
      </c>
      <c r="E2148">
        <v>2000715052</v>
      </c>
      <c r="F2148">
        <v>900</v>
      </c>
      <c r="G2148">
        <v>80</v>
      </c>
      <c r="H2148">
        <v>0</v>
      </c>
      <c r="I2148" t="s">
        <v>194</v>
      </c>
      <c r="J2148" t="s">
        <v>169</v>
      </c>
      <c r="K2148" t="s">
        <v>190</v>
      </c>
      <c r="O2148">
        <v>0</v>
      </c>
      <c r="U2148" t="s">
        <v>81</v>
      </c>
    </row>
    <row r="2149" spans="1:21" x14ac:dyDescent="0.25">
      <c r="A2149" s="33">
        <v>2152</v>
      </c>
      <c r="B2149" s="24">
        <v>44228</v>
      </c>
      <c r="C2149" t="s">
        <v>181</v>
      </c>
      <c r="D2149" t="s">
        <v>41</v>
      </c>
      <c r="E2149">
        <v>2000714735</v>
      </c>
      <c r="F2149">
        <v>3000</v>
      </c>
      <c r="G2149">
        <v>120</v>
      </c>
      <c r="H2149">
        <v>0</v>
      </c>
      <c r="I2149" t="s">
        <v>194</v>
      </c>
      <c r="J2149" t="s">
        <v>687</v>
      </c>
      <c r="K2149" t="s">
        <v>688</v>
      </c>
      <c r="O2149">
        <v>0</v>
      </c>
      <c r="U2149" t="s">
        <v>81</v>
      </c>
    </row>
    <row r="2150" spans="1:21" x14ac:dyDescent="0.25">
      <c r="A2150" s="33">
        <v>2153</v>
      </c>
      <c r="B2150" s="24">
        <v>44228</v>
      </c>
      <c r="C2150" t="s">
        <v>181</v>
      </c>
      <c r="D2150" t="s">
        <v>41</v>
      </c>
      <c r="E2150">
        <v>2000714545</v>
      </c>
      <c r="F2150">
        <v>2000</v>
      </c>
      <c r="G2150">
        <v>160</v>
      </c>
      <c r="H2150">
        <v>0</v>
      </c>
      <c r="I2150" t="s">
        <v>194</v>
      </c>
      <c r="J2150" t="s">
        <v>174</v>
      </c>
      <c r="K2150" t="s">
        <v>805</v>
      </c>
      <c r="O2150">
        <v>0</v>
      </c>
      <c r="U2150" t="s">
        <v>81</v>
      </c>
    </row>
    <row r="2151" spans="1:21" x14ac:dyDescent="0.25">
      <c r="A2151" s="33">
        <v>2154</v>
      </c>
      <c r="B2151" s="24">
        <v>44228</v>
      </c>
      <c r="C2151" t="s">
        <v>181</v>
      </c>
      <c r="D2151" t="s">
        <v>41</v>
      </c>
      <c r="E2151">
        <v>2000714728</v>
      </c>
      <c r="F2151">
        <v>360</v>
      </c>
      <c r="G2151">
        <v>120</v>
      </c>
      <c r="H2151">
        <v>0</v>
      </c>
      <c r="I2151" t="s">
        <v>666</v>
      </c>
      <c r="J2151" t="s">
        <v>174</v>
      </c>
      <c r="K2151" t="s">
        <v>188</v>
      </c>
      <c r="O2151">
        <v>0</v>
      </c>
      <c r="U2151" t="s">
        <v>81</v>
      </c>
    </row>
    <row r="2152" spans="1:21" x14ac:dyDescent="0.25">
      <c r="A2152" s="33">
        <v>2155</v>
      </c>
      <c r="B2152" s="24">
        <v>44228</v>
      </c>
      <c r="C2152" t="s">
        <v>181</v>
      </c>
      <c r="D2152" t="s">
        <v>41</v>
      </c>
      <c r="E2152">
        <v>2000715065</v>
      </c>
      <c r="F2152">
        <v>2300</v>
      </c>
      <c r="G2152">
        <v>130</v>
      </c>
      <c r="H2152">
        <v>0</v>
      </c>
      <c r="I2152" t="s">
        <v>642</v>
      </c>
      <c r="J2152" t="s">
        <v>172</v>
      </c>
      <c r="K2152" t="s">
        <v>724</v>
      </c>
      <c r="O2152">
        <v>0</v>
      </c>
      <c r="U2152" t="s">
        <v>81</v>
      </c>
    </row>
    <row r="2153" spans="1:21" x14ac:dyDescent="0.25">
      <c r="A2153" s="33">
        <v>2156</v>
      </c>
      <c r="B2153" s="24">
        <v>44228</v>
      </c>
      <c r="C2153" t="s">
        <v>181</v>
      </c>
      <c r="D2153" t="s">
        <v>41</v>
      </c>
      <c r="E2153">
        <v>2000714218</v>
      </c>
      <c r="F2153">
        <v>730</v>
      </c>
      <c r="G2153">
        <v>70</v>
      </c>
      <c r="H2153">
        <v>0</v>
      </c>
      <c r="I2153" t="s">
        <v>642</v>
      </c>
      <c r="J2153" t="s">
        <v>645</v>
      </c>
      <c r="K2153" t="s">
        <v>765</v>
      </c>
      <c r="O2153">
        <v>0</v>
      </c>
      <c r="U2153" t="s">
        <v>81</v>
      </c>
    </row>
    <row r="2154" spans="1:21" x14ac:dyDescent="0.25">
      <c r="A2154" s="33">
        <v>2157</v>
      </c>
      <c r="B2154" s="24">
        <v>44228</v>
      </c>
      <c r="C2154" t="s">
        <v>181</v>
      </c>
      <c r="D2154" t="s">
        <v>41</v>
      </c>
      <c r="E2154">
        <v>2000714808</v>
      </c>
      <c r="F2154">
        <v>580</v>
      </c>
      <c r="G2154">
        <v>80</v>
      </c>
      <c r="H2154">
        <v>0</v>
      </c>
      <c r="I2154" t="s">
        <v>642</v>
      </c>
      <c r="J2154" t="s">
        <v>645</v>
      </c>
      <c r="K2154" t="s">
        <v>719</v>
      </c>
      <c r="O2154">
        <v>0</v>
      </c>
      <c r="U2154" t="s">
        <v>81</v>
      </c>
    </row>
    <row r="2155" spans="1:21" x14ac:dyDescent="0.25">
      <c r="A2155" s="33">
        <v>2158</v>
      </c>
      <c r="B2155" s="24">
        <v>44228</v>
      </c>
      <c r="C2155" t="s">
        <v>181</v>
      </c>
      <c r="D2155" t="s">
        <v>41</v>
      </c>
      <c r="E2155">
        <v>2000714680</v>
      </c>
      <c r="F2155">
        <v>2070</v>
      </c>
      <c r="G2155">
        <v>130</v>
      </c>
      <c r="H2155">
        <v>0</v>
      </c>
      <c r="I2155" t="s">
        <v>642</v>
      </c>
      <c r="J2155" t="s">
        <v>645</v>
      </c>
      <c r="K2155" t="s">
        <v>790</v>
      </c>
      <c r="O2155">
        <v>0</v>
      </c>
      <c r="U2155" t="s">
        <v>81</v>
      </c>
    </row>
    <row r="2156" spans="1:21" x14ac:dyDescent="0.25">
      <c r="A2156" s="33">
        <v>2159</v>
      </c>
      <c r="B2156" s="24">
        <v>44228</v>
      </c>
      <c r="C2156" t="s">
        <v>181</v>
      </c>
      <c r="D2156" t="s">
        <v>41</v>
      </c>
      <c r="E2156">
        <v>2000714831</v>
      </c>
      <c r="F2156">
        <v>1650</v>
      </c>
      <c r="G2156">
        <v>80</v>
      </c>
      <c r="H2156">
        <v>0</v>
      </c>
      <c r="I2156" t="s">
        <v>642</v>
      </c>
      <c r="J2156" t="s">
        <v>193</v>
      </c>
      <c r="K2156" t="s">
        <v>647</v>
      </c>
      <c r="O2156">
        <v>0</v>
      </c>
      <c r="U2156" t="s">
        <v>81</v>
      </c>
    </row>
    <row r="2157" spans="1:21" x14ac:dyDescent="0.25">
      <c r="A2157" s="33">
        <v>2160</v>
      </c>
      <c r="B2157" s="24">
        <v>44228</v>
      </c>
      <c r="C2157" t="s">
        <v>181</v>
      </c>
      <c r="D2157" t="s">
        <v>41</v>
      </c>
      <c r="E2157">
        <v>2000715155</v>
      </c>
      <c r="F2157">
        <v>400</v>
      </c>
      <c r="G2157">
        <v>60</v>
      </c>
      <c r="H2157">
        <v>0</v>
      </c>
      <c r="I2157" t="s">
        <v>642</v>
      </c>
      <c r="J2157" t="s">
        <v>175</v>
      </c>
      <c r="K2157" t="s">
        <v>758</v>
      </c>
      <c r="O2157">
        <v>0</v>
      </c>
      <c r="U2157" t="s">
        <v>81</v>
      </c>
    </row>
    <row r="2158" spans="1:21" x14ac:dyDescent="0.25">
      <c r="A2158" s="33">
        <v>2161</v>
      </c>
      <c r="B2158" s="24">
        <v>44228</v>
      </c>
      <c r="C2158" t="s">
        <v>181</v>
      </c>
      <c r="D2158" t="s">
        <v>51</v>
      </c>
      <c r="E2158">
        <v>2000714666</v>
      </c>
      <c r="F2158">
        <v>400</v>
      </c>
      <c r="G2158">
        <v>105</v>
      </c>
      <c r="H2158">
        <v>0</v>
      </c>
      <c r="I2158" t="s">
        <v>168</v>
      </c>
      <c r="J2158" t="s">
        <v>667</v>
      </c>
      <c r="K2158" t="s">
        <v>975</v>
      </c>
      <c r="O2158">
        <v>0</v>
      </c>
      <c r="U2158" t="s">
        <v>81</v>
      </c>
    </row>
    <row r="2159" spans="1:21" x14ac:dyDescent="0.25">
      <c r="A2159" s="33">
        <v>2162</v>
      </c>
      <c r="B2159" s="24">
        <v>44228</v>
      </c>
      <c r="C2159" t="s">
        <v>181</v>
      </c>
      <c r="D2159" t="s">
        <v>51</v>
      </c>
      <c r="E2159">
        <v>2000714288</v>
      </c>
      <c r="F2159">
        <v>474</v>
      </c>
      <c r="G2159">
        <v>90</v>
      </c>
      <c r="H2159">
        <v>0</v>
      </c>
      <c r="I2159" t="s">
        <v>168</v>
      </c>
      <c r="J2159" t="s">
        <v>709</v>
      </c>
      <c r="K2159" t="s">
        <v>710</v>
      </c>
      <c r="O2159">
        <v>0</v>
      </c>
      <c r="U2159" t="s">
        <v>81</v>
      </c>
    </row>
    <row r="2160" spans="1:21" x14ac:dyDescent="0.25">
      <c r="A2160" s="33">
        <v>2163</v>
      </c>
      <c r="B2160" s="24">
        <v>44228</v>
      </c>
      <c r="C2160" t="s">
        <v>181</v>
      </c>
      <c r="D2160" t="s">
        <v>51</v>
      </c>
      <c r="E2160">
        <v>2000713640</v>
      </c>
      <c r="F2160">
        <v>620</v>
      </c>
      <c r="G2160">
        <v>120</v>
      </c>
      <c r="H2160">
        <v>0</v>
      </c>
      <c r="I2160" t="s">
        <v>168</v>
      </c>
      <c r="J2160" t="s">
        <v>676</v>
      </c>
      <c r="K2160" t="s">
        <v>677</v>
      </c>
      <c r="O2160">
        <v>0</v>
      </c>
      <c r="U2160" t="s">
        <v>81</v>
      </c>
    </row>
    <row r="2161" spans="1:21" x14ac:dyDescent="0.25">
      <c r="A2161" s="33">
        <v>2164</v>
      </c>
      <c r="B2161" s="24">
        <v>44228</v>
      </c>
      <c r="C2161" t="s">
        <v>181</v>
      </c>
      <c r="D2161" t="s">
        <v>51</v>
      </c>
      <c r="E2161">
        <v>2000714289</v>
      </c>
      <c r="F2161">
        <v>780</v>
      </c>
      <c r="G2161">
        <v>100</v>
      </c>
      <c r="H2161">
        <v>0</v>
      </c>
      <c r="I2161" t="s">
        <v>168</v>
      </c>
      <c r="J2161" t="s">
        <v>673</v>
      </c>
      <c r="K2161" t="s">
        <v>742</v>
      </c>
      <c r="O2161">
        <v>0</v>
      </c>
      <c r="U2161" t="s">
        <v>81</v>
      </c>
    </row>
    <row r="2162" spans="1:21" x14ac:dyDescent="0.25">
      <c r="A2162" s="33">
        <v>2165</v>
      </c>
      <c r="B2162" s="24">
        <v>44228</v>
      </c>
      <c r="C2162" t="s">
        <v>181</v>
      </c>
      <c r="D2162" t="s">
        <v>51</v>
      </c>
      <c r="E2162">
        <v>2000714913</v>
      </c>
      <c r="F2162">
        <v>410</v>
      </c>
      <c r="G2162">
        <v>150</v>
      </c>
      <c r="H2162">
        <v>0</v>
      </c>
      <c r="I2162" t="s">
        <v>168</v>
      </c>
      <c r="J2162" t="s">
        <v>667</v>
      </c>
      <c r="K2162" t="s">
        <v>848</v>
      </c>
      <c r="O2162">
        <v>0</v>
      </c>
      <c r="U2162" t="s">
        <v>81</v>
      </c>
    </row>
    <row r="2163" spans="1:21" x14ac:dyDescent="0.25">
      <c r="A2163" s="33">
        <v>2166</v>
      </c>
      <c r="B2163" s="24">
        <v>44228</v>
      </c>
      <c r="C2163" t="s">
        <v>181</v>
      </c>
      <c r="D2163" t="s">
        <v>51</v>
      </c>
      <c r="E2163">
        <v>2000713640</v>
      </c>
      <c r="F2163">
        <v>620</v>
      </c>
      <c r="G2163">
        <v>80</v>
      </c>
      <c r="H2163">
        <v>0</v>
      </c>
      <c r="I2163" t="s">
        <v>168</v>
      </c>
      <c r="J2163" t="s">
        <v>676</v>
      </c>
      <c r="K2163" t="s">
        <v>677</v>
      </c>
      <c r="O2163">
        <v>0</v>
      </c>
      <c r="U2163" t="s">
        <v>81</v>
      </c>
    </row>
    <row r="2164" spans="1:21" x14ac:dyDescent="0.25">
      <c r="A2164" s="33">
        <v>2167</v>
      </c>
      <c r="B2164" s="24">
        <v>44228</v>
      </c>
      <c r="C2164" t="s">
        <v>181</v>
      </c>
      <c r="D2164" t="s">
        <v>51</v>
      </c>
      <c r="E2164">
        <v>2000713664</v>
      </c>
      <c r="F2164">
        <v>350</v>
      </c>
      <c r="G2164">
        <v>10</v>
      </c>
      <c r="H2164">
        <v>0</v>
      </c>
      <c r="I2164" t="s">
        <v>168</v>
      </c>
      <c r="J2164" t="s">
        <v>669</v>
      </c>
      <c r="K2164" t="s">
        <v>670</v>
      </c>
      <c r="O2164">
        <v>0</v>
      </c>
      <c r="U2164" t="s">
        <v>81</v>
      </c>
    </row>
    <row r="2165" spans="1:21" x14ac:dyDescent="0.25">
      <c r="A2165" s="33">
        <v>2169</v>
      </c>
      <c r="B2165" s="24">
        <v>44229</v>
      </c>
      <c r="C2165" t="s">
        <v>39</v>
      </c>
      <c r="D2165" t="s">
        <v>41</v>
      </c>
      <c r="E2165">
        <v>2000714827</v>
      </c>
      <c r="F2165">
        <v>1650</v>
      </c>
      <c r="G2165">
        <v>150</v>
      </c>
      <c r="H2165">
        <v>0</v>
      </c>
      <c r="I2165" t="s">
        <v>680</v>
      </c>
      <c r="J2165" t="s">
        <v>193</v>
      </c>
      <c r="K2165" t="s">
        <v>176</v>
      </c>
      <c r="O2165">
        <v>0</v>
      </c>
      <c r="U2165" t="s">
        <v>81</v>
      </c>
    </row>
    <row r="2166" spans="1:21" x14ac:dyDescent="0.25">
      <c r="A2166" s="33">
        <v>2170</v>
      </c>
      <c r="B2166" s="24">
        <v>44229</v>
      </c>
      <c r="C2166" t="s">
        <v>39</v>
      </c>
      <c r="D2166" t="s">
        <v>41</v>
      </c>
      <c r="E2166">
        <v>2000715063</v>
      </c>
      <c r="F2166">
        <v>2300</v>
      </c>
      <c r="G2166">
        <v>300</v>
      </c>
      <c r="H2166">
        <v>0</v>
      </c>
      <c r="I2166" t="s">
        <v>680</v>
      </c>
      <c r="J2166" t="s">
        <v>172</v>
      </c>
      <c r="K2166" t="s">
        <v>725</v>
      </c>
      <c r="O2166">
        <v>0</v>
      </c>
      <c r="U2166" t="s">
        <v>81</v>
      </c>
    </row>
    <row r="2167" spans="1:21" x14ac:dyDescent="0.25">
      <c r="A2167" s="33">
        <v>2171</v>
      </c>
      <c r="B2167" s="24">
        <v>44229</v>
      </c>
      <c r="C2167" t="s">
        <v>39</v>
      </c>
      <c r="D2167" t="s">
        <v>41</v>
      </c>
      <c r="E2167">
        <v>2000714572</v>
      </c>
      <c r="F2167">
        <v>300</v>
      </c>
      <c r="G2167">
        <v>150</v>
      </c>
      <c r="H2167">
        <v>0</v>
      </c>
      <c r="I2167" t="s">
        <v>680</v>
      </c>
      <c r="J2167" t="s">
        <v>169</v>
      </c>
      <c r="K2167" t="s">
        <v>867</v>
      </c>
      <c r="O2167">
        <v>0</v>
      </c>
      <c r="U2167" t="s">
        <v>81</v>
      </c>
    </row>
    <row r="2168" spans="1:21" x14ac:dyDescent="0.25">
      <c r="A2168" s="33">
        <v>2172</v>
      </c>
      <c r="B2168" s="24">
        <v>44229</v>
      </c>
      <c r="C2168" t="s">
        <v>39</v>
      </c>
      <c r="D2168" t="s">
        <v>41</v>
      </c>
      <c r="E2168">
        <v>2000714730</v>
      </c>
      <c r="F2168">
        <v>400</v>
      </c>
      <c r="G2168">
        <v>200</v>
      </c>
      <c r="H2168">
        <v>0</v>
      </c>
      <c r="I2168" t="s">
        <v>184</v>
      </c>
      <c r="J2168" t="s">
        <v>174</v>
      </c>
      <c r="K2168" t="s">
        <v>792</v>
      </c>
      <c r="O2168">
        <v>0</v>
      </c>
      <c r="U2168" t="s">
        <v>81</v>
      </c>
    </row>
    <row r="2169" spans="1:21" x14ac:dyDescent="0.25">
      <c r="A2169" s="33">
        <v>2173</v>
      </c>
      <c r="B2169" s="24">
        <v>44229</v>
      </c>
      <c r="C2169" t="s">
        <v>39</v>
      </c>
      <c r="D2169" t="s">
        <v>41</v>
      </c>
      <c r="E2169">
        <v>2000714729</v>
      </c>
      <c r="F2169">
        <v>400</v>
      </c>
      <c r="G2169">
        <v>157</v>
      </c>
      <c r="H2169">
        <v>0</v>
      </c>
      <c r="I2169" t="s">
        <v>184</v>
      </c>
      <c r="J2169" t="s">
        <v>174</v>
      </c>
      <c r="K2169" t="s">
        <v>186</v>
      </c>
      <c r="O2169">
        <v>0</v>
      </c>
      <c r="U2169" t="s">
        <v>81</v>
      </c>
    </row>
    <row r="2170" spans="1:21" x14ac:dyDescent="0.25">
      <c r="A2170" s="33">
        <v>2174</v>
      </c>
      <c r="B2170" s="24">
        <v>44229</v>
      </c>
      <c r="C2170" t="s">
        <v>39</v>
      </c>
      <c r="D2170" t="s">
        <v>41</v>
      </c>
      <c r="E2170">
        <v>2000714732</v>
      </c>
      <c r="F2170">
        <v>640</v>
      </c>
      <c r="G2170">
        <v>120</v>
      </c>
      <c r="H2170">
        <v>0</v>
      </c>
      <c r="I2170" t="s">
        <v>184</v>
      </c>
      <c r="J2170" t="s">
        <v>174</v>
      </c>
      <c r="K2170" t="s">
        <v>177</v>
      </c>
      <c r="O2170">
        <v>0</v>
      </c>
      <c r="U2170" t="s">
        <v>81</v>
      </c>
    </row>
    <row r="2171" spans="1:21" x14ac:dyDescent="0.25">
      <c r="A2171" s="33">
        <v>2175</v>
      </c>
      <c r="B2171" s="24">
        <v>44229</v>
      </c>
      <c r="C2171" t="s">
        <v>39</v>
      </c>
      <c r="D2171" t="s">
        <v>41</v>
      </c>
      <c r="E2171">
        <v>2000710518</v>
      </c>
      <c r="F2171">
        <v>390</v>
      </c>
      <c r="G2171">
        <v>3</v>
      </c>
      <c r="H2171">
        <v>0</v>
      </c>
      <c r="I2171" t="s">
        <v>184</v>
      </c>
      <c r="J2171" t="s">
        <v>203</v>
      </c>
      <c r="K2171" t="s">
        <v>785</v>
      </c>
      <c r="O2171">
        <v>0</v>
      </c>
      <c r="U2171" t="s">
        <v>81</v>
      </c>
    </row>
    <row r="2172" spans="1:21" x14ac:dyDescent="0.25">
      <c r="A2172" s="33">
        <v>2176</v>
      </c>
      <c r="B2172" s="24">
        <v>44229</v>
      </c>
      <c r="C2172" t="s">
        <v>39</v>
      </c>
      <c r="D2172" t="s">
        <v>41</v>
      </c>
      <c r="E2172">
        <v>2000708054</v>
      </c>
      <c r="F2172">
        <v>420</v>
      </c>
      <c r="G2172">
        <v>5</v>
      </c>
      <c r="H2172">
        <v>0</v>
      </c>
      <c r="I2172" t="s">
        <v>184</v>
      </c>
      <c r="J2172" t="s">
        <v>203</v>
      </c>
      <c r="K2172" t="s">
        <v>785</v>
      </c>
      <c r="O2172">
        <v>0</v>
      </c>
      <c r="U2172" t="s">
        <v>81</v>
      </c>
    </row>
    <row r="2173" spans="1:21" x14ac:dyDescent="0.25">
      <c r="A2173" s="33">
        <v>2177</v>
      </c>
      <c r="B2173" s="24">
        <v>44229</v>
      </c>
      <c r="C2173" t="s">
        <v>39</v>
      </c>
      <c r="D2173" t="s">
        <v>41</v>
      </c>
      <c r="E2173">
        <v>2000714678</v>
      </c>
      <c r="F2173">
        <v>950</v>
      </c>
      <c r="G2173">
        <v>90</v>
      </c>
      <c r="H2173">
        <v>0</v>
      </c>
      <c r="I2173" t="s">
        <v>184</v>
      </c>
      <c r="J2173" t="s">
        <v>203</v>
      </c>
      <c r="K2173" t="s">
        <v>785</v>
      </c>
      <c r="O2173">
        <v>0</v>
      </c>
      <c r="U2173" t="s">
        <v>81</v>
      </c>
    </row>
    <row r="2174" spans="1:21" x14ac:dyDescent="0.25">
      <c r="A2174" s="33">
        <v>2178</v>
      </c>
      <c r="B2174" s="24">
        <v>44229</v>
      </c>
      <c r="C2174" t="s">
        <v>39</v>
      </c>
      <c r="D2174" t="s">
        <v>41</v>
      </c>
      <c r="E2174">
        <v>2000714121</v>
      </c>
      <c r="F2174">
        <v>1530</v>
      </c>
      <c r="G2174">
        <v>150</v>
      </c>
      <c r="H2174">
        <v>0</v>
      </c>
      <c r="I2174" t="s">
        <v>759</v>
      </c>
      <c r="J2174" t="s">
        <v>170</v>
      </c>
      <c r="K2174" t="s">
        <v>899</v>
      </c>
      <c r="O2174">
        <v>0</v>
      </c>
      <c r="U2174" t="s">
        <v>81</v>
      </c>
    </row>
    <row r="2175" spans="1:21" x14ac:dyDescent="0.25">
      <c r="A2175" s="33">
        <v>2179</v>
      </c>
      <c r="B2175" s="24">
        <v>44229</v>
      </c>
      <c r="C2175" t="s">
        <v>39</v>
      </c>
      <c r="D2175" t="s">
        <v>41</v>
      </c>
      <c r="E2175">
        <v>2000714723</v>
      </c>
      <c r="F2175">
        <v>500</v>
      </c>
      <c r="G2175">
        <v>45</v>
      </c>
      <c r="H2175">
        <v>0</v>
      </c>
      <c r="I2175" t="s">
        <v>696</v>
      </c>
      <c r="J2175" t="s">
        <v>170</v>
      </c>
      <c r="K2175" t="s">
        <v>171</v>
      </c>
      <c r="O2175">
        <v>0</v>
      </c>
      <c r="U2175" t="s">
        <v>81</v>
      </c>
    </row>
    <row r="2176" spans="1:21" x14ac:dyDescent="0.25">
      <c r="A2176" s="33">
        <v>2180</v>
      </c>
      <c r="B2176" s="24">
        <v>44229</v>
      </c>
      <c r="C2176" t="s">
        <v>39</v>
      </c>
      <c r="D2176" t="s">
        <v>41</v>
      </c>
      <c r="E2176">
        <v>2000714730</v>
      </c>
      <c r="F2176">
        <v>400</v>
      </c>
      <c r="G2176">
        <v>200</v>
      </c>
      <c r="H2176">
        <v>1</v>
      </c>
      <c r="I2176" t="s">
        <v>696</v>
      </c>
      <c r="J2176" t="s">
        <v>174</v>
      </c>
      <c r="K2176" t="s">
        <v>792</v>
      </c>
      <c r="L2176" t="s">
        <v>88</v>
      </c>
      <c r="N2176" t="s">
        <v>976</v>
      </c>
      <c r="O2176">
        <v>1</v>
      </c>
      <c r="P2176" t="s">
        <v>977</v>
      </c>
      <c r="Q2176" t="s">
        <v>978</v>
      </c>
      <c r="R2176" t="s">
        <v>979</v>
      </c>
      <c r="S2176" s="36">
        <v>0.52222222222222225</v>
      </c>
      <c r="U2176" t="s">
        <v>81</v>
      </c>
    </row>
    <row r="2177" spans="1:21" x14ac:dyDescent="0.25">
      <c r="A2177" s="33">
        <v>2181</v>
      </c>
      <c r="B2177" s="24">
        <v>44229</v>
      </c>
      <c r="C2177" t="s">
        <v>39</v>
      </c>
      <c r="D2177" t="s">
        <v>41</v>
      </c>
      <c r="E2177">
        <v>2000714729</v>
      </c>
      <c r="F2177">
        <v>400</v>
      </c>
      <c r="G2177">
        <v>120</v>
      </c>
      <c r="H2177">
        <v>0</v>
      </c>
      <c r="I2177" t="s">
        <v>696</v>
      </c>
      <c r="J2177" t="s">
        <v>174</v>
      </c>
      <c r="K2177" t="s">
        <v>186</v>
      </c>
      <c r="O2177">
        <v>0</v>
      </c>
      <c r="U2177" t="s">
        <v>81</v>
      </c>
    </row>
    <row r="2178" spans="1:21" x14ac:dyDescent="0.25">
      <c r="A2178" s="33">
        <v>2182</v>
      </c>
      <c r="B2178" s="24">
        <v>44229</v>
      </c>
      <c r="C2178" t="s">
        <v>39</v>
      </c>
      <c r="D2178" t="s">
        <v>41</v>
      </c>
      <c r="E2178">
        <v>2000714121</v>
      </c>
      <c r="F2178">
        <v>1530</v>
      </c>
      <c r="G2178">
        <v>135</v>
      </c>
      <c r="H2178">
        <v>0</v>
      </c>
      <c r="I2178" t="s">
        <v>696</v>
      </c>
      <c r="J2178" t="s">
        <v>170</v>
      </c>
      <c r="K2178" t="s">
        <v>899</v>
      </c>
      <c r="O2178">
        <v>0</v>
      </c>
      <c r="U2178" t="s">
        <v>81</v>
      </c>
    </row>
    <row r="2179" spans="1:21" x14ac:dyDescent="0.25">
      <c r="A2179" s="33">
        <v>2183</v>
      </c>
      <c r="B2179" s="24">
        <v>44229</v>
      </c>
      <c r="C2179" t="s">
        <v>39</v>
      </c>
      <c r="D2179" t="s">
        <v>41</v>
      </c>
      <c r="E2179">
        <v>2000714729</v>
      </c>
      <c r="F2179">
        <v>400</v>
      </c>
      <c r="G2179">
        <v>60</v>
      </c>
      <c r="H2179">
        <v>0</v>
      </c>
      <c r="I2179" t="s">
        <v>198</v>
      </c>
      <c r="J2179" t="s">
        <v>174</v>
      </c>
      <c r="K2179" t="s">
        <v>186</v>
      </c>
      <c r="O2179">
        <v>0</v>
      </c>
      <c r="U2179" t="s">
        <v>81</v>
      </c>
    </row>
    <row r="2180" spans="1:21" x14ac:dyDescent="0.25">
      <c r="A2180" s="33">
        <v>2184</v>
      </c>
      <c r="B2180" s="24">
        <v>44229</v>
      </c>
      <c r="C2180" t="s">
        <v>39</v>
      </c>
      <c r="D2180" t="s">
        <v>41</v>
      </c>
      <c r="E2180">
        <v>2000714121</v>
      </c>
      <c r="F2180">
        <v>1530</v>
      </c>
      <c r="G2180">
        <v>45</v>
      </c>
      <c r="H2180">
        <v>0</v>
      </c>
      <c r="I2180" t="s">
        <v>198</v>
      </c>
      <c r="J2180" t="s">
        <v>170</v>
      </c>
      <c r="K2180" t="s">
        <v>899</v>
      </c>
      <c r="O2180">
        <v>0</v>
      </c>
      <c r="U2180" t="s">
        <v>81</v>
      </c>
    </row>
    <row r="2181" spans="1:21" x14ac:dyDescent="0.25">
      <c r="A2181" s="33">
        <v>2185</v>
      </c>
      <c r="B2181" s="24">
        <v>44229</v>
      </c>
      <c r="C2181" t="s">
        <v>39</v>
      </c>
      <c r="D2181" t="s">
        <v>41</v>
      </c>
      <c r="E2181">
        <v>2000714732</v>
      </c>
      <c r="F2181">
        <v>640</v>
      </c>
      <c r="G2181">
        <v>80</v>
      </c>
      <c r="H2181">
        <v>0</v>
      </c>
      <c r="I2181" t="s">
        <v>198</v>
      </c>
      <c r="J2181" t="s">
        <v>174</v>
      </c>
      <c r="K2181" t="s">
        <v>177</v>
      </c>
      <c r="O2181">
        <v>0</v>
      </c>
      <c r="U2181" t="s">
        <v>81</v>
      </c>
    </row>
    <row r="2182" spans="1:21" x14ac:dyDescent="0.25">
      <c r="A2182" s="33">
        <v>2186</v>
      </c>
      <c r="B2182" s="24">
        <v>44229</v>
      </c>
      <c r="C2182" t="s">
        <v>39</v>
      </c>
      <c r="D2182" t="s">
        <v>41</v>
      </c>
      <c r="E2182">
        <v>2000714733</v>
      </c>
      <c r="F2182">
        <v>230</v>
      </c>
      <c r="G2182">
        <v>110</v>
      </c>
      <c r="H2182">
        <v>0</v>
      </c>
      <c r="I2182" t="s">
        <v>198</v>
      </c>
      <c r="J2182" t="s">
        <v>174</v>
      </c>
      <c r="K2182" t="s">
        <v>763</v>
      </c>
      <c r="O2182">
        <v>0</v>
      </c>
      <c r="U2182" t="s">
        <v>81</v>
      </c>
    </row>
    <row r="2183" spans="1:21" x14ac:dyDescent="0.25">
      <c r="A2183" s="33">
        <v>2187</v>
      </c>
      <c r="B2183" s="24">
        <v>44229</v>
      </c>
      <c r="C2183" t="s">
        <v>39</v>
      </c>
      <c r="D2183" t="s">
        <v>41</v>
      </c>
      <c r="E2183">
        <v>2000714121</v>
      </c>
      <c r="F2183">
        <v>1530</v>
      </c>
      <c r="G2183">
        <v>450</v>
      </c>
      <c r="H2183">
        <v>0</v>
      </c>
      <c r="I2183" t="s">
        <v>693</v>
      </c>
      <c r="J2183" t="s">
        <v>170</v>
      </c>
      <c r="K2183" t="s">
        <v>899</v>
      </c>
      <c r="O2183">
        <v>0</v>
      </c>
      <c r="U2183" t="s">
        <v>81</v>
      </c>
    </row>
    <row r="2184" spans="1:21" x14ac:dyDescent="0.25">
      <c r="A2184" s="33">
        <v>2188</v>
      </c>
      <c r="B2184" s="24">
        <v>44229</v>
      </c>
      <c r="C2184" t="s">
        <v>39</v>
      </c>
      <c r="D2184" t="s">
        <v>41</v>
      </c>
      <c r="E2184">
        <v>2000714831</v>
      </c>
      <c r="F2184">
        <v>1650</v>
      </c>
      <c r="G2184">
        <v>40</v>
      </c>
      <c r="H2184">
        <v>0</v>
      </c>
      <c r="I2184" t="s">
        <v>185</v>
      </c>
      <c r="J2184" t="s">
        <v>193</v>
      </c>
      <c r="K2184" t="s">
        <v>647</v>
      </c>
      <c r="O2184">
        <v>0</v>
      </c>
      <c r="U2184" t="s">
        <v>81</v>
      </c>
    </row>
    <row r="2185" spans="1:21" x14ac:dyDescent="0.25">
      <c r="A2185" s="33">
        <v>2189</v>
      </c>
      <c r="B2185" s="24">
        <v>44229</v>
      </c>
      <c r="C2185" t="s">
        <v>39</v>
      </c>
      <c r="D2185" t="s">
        <v>41</v>
      </c>
      <c r="E2185">
        <v>2000715178</v>
      </c>
      <c r="F2185">
        <v>2000</v>
      </c>
      <c r="G2185">
        <v>100</v>
      </c>
      <c r="H2185">
        <v>0</v>
      </c>
      <c r="I2185" t="s">
        <v>185</v>
      </c>
      <c r="J2185" t="s">
        <v>169</v>
      </c>
      <c r="K2185" t="s">
        <v>190</v>
      </c>
      <c r="O2185">
        <v>0</v>
      </c>
      <c r="U2185" t="s">
        <v>81</v>
      </c>
    </row>
    <row r="2186" spans="1:21" x14ac:dyDescent="0.25">
      <c r="A2186" s="33">
        <v>2190</v>
      </c>
      <c r="B2186" s="24">
        <v>44229</v>
      </c>
      <c r="C2186" t="s">
        <v>39</v>
      </c>
      <c r="D2186" t="s">
        <v>41</v>
      </c>
      <c r="E2186">
        <v>2000715155</v>
      </c>
      <c r="F2186">
        <v>400</v>
      </c>
      <c r="G2186">
        <v>20</v>
      </c>
      <c r="H2186">
        <v>0</v>
      </c>
      <c r="I2186" t="s">
        <v>185</v>
      </c>
      <c r="J2186" t="s">
        <v>175</v>
      </c>
      <c r="K2186" t="s">
        <v>758</v>
      </c>
      <c r="O2186">
        <v>0</v>
      </c>
      <c r="U2186" t="s">
        <v>81</v>
      </c>
    </row>
    <row r="2187" spans="1:21" x14ac:dyDescent="0.25">
      <c r="A2187" s="33">
        <v>2191</v>
      </c>
      <c r="B2187" s="24">
        <v>44229</v>
      </c>
      <c r="C2187" t="s">
        <v>39</v>
      </c>
      <c r="D2187" t="s">
        <v>41</v>
      </c>
      <c r="E2187">
        <v>2000715156</v>
      </c>
      <c r="F2187">
        <v>680</v>
      </c>
      <c r="G2187">
        <v>80</v>
      </c>
      <c r="H2187">
        <v>0</v>
      </c>
      <c r="I2187" t="s">
        <v>185</v>
      </c>
      <c r="J2187" t="s">
        <v>645</v>
      </c>
      <c r="K2187" t="s">
        <v>690</v>
      </c>
      <c r="O2187">
        <v>0</v>
      </c>
      <c r="U2187" t="s">
        <v>81</v>
      </c>
    </row>
    <row r="2188" spans="1:21" x14ac:dyDescent="0.25">
      <c r="A2188" s="33">
        <v>2192</v>
      </c>
      <c r="B2188" s="24">
        <v>44229</v>
      </c>
      <c r="C2188" t="s">
        <v>39</v>
      </c>
      <c r="D2188" t="s">
        <v>41</v>
      </c>
      <c r="E2188">
        <v>2000714527</v>
      </c>
      <c r="F2188">
        <v>2100</v>
      </c>
      <c r="G2188">
        <v>120</v>
      </c>
      <c r="H2188">
        <v>0</v>
      </c>
      <c r="I2188" t="s">
        <v>185</v>
      </c>
      <c r="J2188" t="s">
        <v>169</v>
      </c>
      <c r="K2188" t="s">
        <v>179</v>
      </c>
      <c r="O2188">
        <v>0</v>
      </c>
      <c r="U2188" t="s">
        <v>81</v>
      </c>
    </row>
    <row r="2189" spans="1:21" x14ac:dyDescent="0.25">
      <c r="A2189" s="33">
        <v>2193</v>
      </c>
      <c r="B2189" s="24">
        <v>44229</v>
      </c>
      <c r="C2189" t="s">
        <v>39</v>
      </c>
      <c r="D2189" t="s">
        <v>41</v>
      </c>
      <c r="E2189">
        <v>2000714598</v>
      </c>
      <c r="F2189">
        <v>2704</v>
      </c>
      <c r="G2189">
        <v>80</v>
      </c>
      <c r="H2189">
        <v>0</v>
      </c>
      <c r="I2189" t="s">
        <v>185</v>
      </c>
      <c r="J2189" t="s">
        <v>655</v>
      </c>
      <c r="K2189" t="s">
        <v>656</v>
      </c>
      <c r="O2189">
        <v>0</v>
      </c>
      <c r="U2189" t="s">
        <v>81</v>
      </c>
    </row>
    <row r="2190" spans="1:21" x14ac:dyDescent="0.25">
      <c r="A2190" s="33">
        <v>2194</v>
      </c>
      <c r="B2190" s="24">
        <v>44229</v>
      </c>
      <c r="C2190" t="s">
        <v>39</v>
      </c>
      <c r="D2190" t="s">
        <v>51</v>
      </c>
      <c r="E2190">
        <v>2000713640</v>
      </c>
      <c r="F2190">
        <v>620</v>
      </c>
      <c r="G2190">
        <v>220</v>
      </c>
      <c r="H2190">
        <v>0</v>
      </c>
      <c r="I2190" t="s">
        <v>706</v>
      </c>
      <c r="J2190" t="s">
        <v>676</v>
      </c>
      <c r="K2190" t="s">
        <v>677</v>
      </c>
      <c r="O2190">
        <v>0</v>
      </c>
      <c r="U2190" t="s">
        <v>81</v>
      </c>
    </row>
    <row r="2191" spans="1:21" x14ac:dyDescent="0.25">
      <c r="A2191" s="33">
        <v>2195</v>
      </c>
      <c r="B2191" s="24">
        <v>44229</v>
      </c>
      <c r="C2191" t="s">
        <v>39</v>
      </c>
      <c r="D2191" t="s">
        <v>51</v>
      </c>
      <c r="E2191">
        <v>2000714428</v>
      </c>
      <c r="F2191">
        <v>800</v>
      </c>
      <c r="G2191">
        <v>175</v>
      </c>
      <c r="H2191">
        <v>0</v>
      </c>
      <c r="I2191" t="s">
        <v>706</v>
      </c>
      <c r="J2191" t="s">
        <v>667</v>
      </c>
      <c r="K2191" t="s">
        <v>671</v>
      </c>
      <c r="O2191">
        <v>0</v>
      </c>
      <c r="U2191" t="s">
        <v>81</v>
      </c>
    </row>
    <row r="2192" spans="1:21" x14ac:dyDescent="0.25">
      <c r="A2192" s="33">
        <v>2196</v>
      </c>
      <c r="B2192" s="24">
        <v>44229</v>
      </c>
      <c r="C2192" t="s">
        <v>39</v>
      </c>
      <c r="D2192" t="s">
        <v>51</v>
      </c>
      <c r="E2192">
        <v>2000714909</v>
      </c>
      <c r="F2192">
        <v>300</v>
      </c>
      <c r="G2192">
        <v>105</v>
      </c>
      <c r="H2192">
        <v>0</v>
      </c>
      <c r="I2192" t="s">
        <v>706</v>
      </c>
      <c r="J2192" t="s">
        <v>669</v>
      </c>
      <c r="K2192" t="s">
        <v>802</v>
      </c>
      <c r="O2192">
        <v>0</v>
      </c>
      <c r="U2192" t="s">
        <v>81</v>
      </c>
    </row>
    <row r="2193" spans="1:21" x14ac:dyDescent="0.25">
      <c r="A2193" s="33">
        <v>2197</v>
      </c>
      <c r="B2193" s="24">
        <v>44229</v>
      </c>
      <c r="C2193" t="s">
        <v>39</v>
      </c>
      <c r="D2193" t="s">
        <v>51</v>
      </c>
      <c r="E2193">
        <v>2000713639</v>
      </c>
      <c r="F2193">
        <v>620</v>
      </c>
      <c r="G2193">
        <v>140</v>
      </c>
      <c r="H2193">
        <v>0</v>
      </c>
      <c r="I2193" t="s">
        <v>706</v>
      </c>
      <c r="J2193" t="s">
        <v>676</v>
      </c>
      <c r="K2193" t="s">
        <v>677</v>
      </c>
      <c r="O2193">
        <v>0</v>
      </c>
      <c r="U2193" t="s">
        <v>81</v>
      </c>
    </row>
    <row r="2194" spans="1:21" x14ac:dyDescent="0.25">
      <c r="A2194" s="33">
        <v>2198</v>
      </c>
      <c r="B2194" s="24">
        <v>44229</v>
      </c>
      <c r="C2194" t="s">
        <v>39</v>
      </c>
      <c r="D2194" t="s">
        <v>51</v>
      </c>
      <c r="E2194">
        <v>2000714915</v>
      </c>
      <c r="F2194">
        <v>120</v>
      </c>
      <c r="G2194">
        <v>30</v>
      </c>
      <c r="H2194">
        <v>0</v>
      </c>
      <c r="I2194" t="s">
        <v>706</v>
      </c>
      <c r="J2194" t="s">
        <v>781</v>
      </c>
      <c r="K2194" t="s">
        <v>782</v>
      </c>
      <c r="O2194">
        <v>0</v>
      </c>
      <c r="U2194" t="s">
        <v>81</v>
      </c>
    </row>
    <row r="2195" spans="1:21" x14ac:dyDescent="0.25">
      <c r="A2195" s="33">
        <v>2199</v>
      </c>
      <c r="B2195" s="24">
        <v>44229</v>
      </c>
      <c r="C2195" t="s">
        <v>39</v>
      </c>
      <c r="D2195" t="s">
        <v>51</v>
      </c>
      <c r="E2195">
        <v>2000714910</v>
      </c>
      <c r="F2195">
        <v>1600</v>
      </c>
      <c r="G2195">
        <v>180</v>
      </c>
      <c r="H2195">
        <v>0</v>
      </c>
      <c r="I2195" t="s">
        <v>706</v>
      </c>
      <c r="J2195" t="s">
        <v>667</v>
      </c>
      <c r="K2195" t="s">
        <v>730</v>
      </c>
      <c r="O2195">
        <v>0</v>
      </c>
      <c r="U2195" t="s">
        <v>81</v>
      </c>
    </row>
    <row r="2196" spans="1:21" x14ac:dyDescent="0.25">
      <c r="A2196" s="33">
        <v>2200</v>
      </c>
      <c r="B2196" s="24">
        <v>44229</v>
      </c>
      <c r="C2196" t="s">
        <v>39</v>
      </c>
      <c r="D2196" t="s">
        <v>51</v>
      </c>
      <c r="E2196">
        <v>2000714907</v>
      </c>
      <c r="F2196">
        <v>1000</v>
      </c>
      <c r="G2196">
        <v>110</v>
      </c>
      <c r="H2196">
        <v>0</v>
      </c>
      <c r="I2196" t="s">
        <v>706</v>
      </c>
      <c r="J2196" t="s">
        <v>673</v>
      </c>
      <c r="K2196" t="s">
        <v>672</v>
      </c>
      <c r="O2196">
        <v>0</v>
      </c>
      <c r="U2196" t="s">
        <v>81</v>
      </c>
    </row>
    <row r="2197" spans="1:21" x14ac:dyDescent="0.25">
      <c r="A2197" s="33">
        <v>2201</v>
      </c>
      <c r="B2197" s="24">
        <v>44229</v>
      </c>
      <c r="C2197" t="s">
        <v>181</v>
      </c>
      <c r="D2197" t="s">
        <v>41</v>
      </c>
      <c r="E2197">
        <v>2000714678</v>
      </c>
      <c r="F2197">
        <v>950</v>
      </c>
      <c r="G2197">
        <v>338</v>
      </c>
      <c r="H2197">
        <v>0</v>
      </c>
      <c r="I2197" t="s">
        <v>191</v>
      </c>
      <c r="J2197" t="s">
        <v>203</v>
      </c>
      <c r="K2197" t="s">
        <v>785</v>
      </c>
      <c r="O2197">
        <v>0</v>
      </c>
      <c r="U2197" t="s">
        <v>81</v>
      </c>
    </row>
    <row r="2198" spans="1:21" x14ac:dyDescent="0.25">
      <c r="A2198" s="33">
        <v>2202</v>
      </c>
      <c r="B2198" s="24">
        <v>44229</v>
      </c>
      <c r="C2198" t="s">
        <v>181</v>
      </c>
      <c r="D2198" t="s">
        <v>41</v>
      </c>
      <c r="E2198">
        <v>2000714678</v>
      </c>
      <c r="F2198">
        <v>950</v>
      </c>
      <c r="G2198">
        <v>360</v>
      </c>
      <c r="H2198">
        <v>0</v>
      </c>
      <c r="I2198" t="s">
        <v>178</v>
      </c>
      <c r="J2198" t="s">
        <v>203</v>
      </c>
      <c r="K2198" t="s">
        <v>785</v>
      </c>
      <c r="O2198">
        <v>0</v>
      </c>
      <c r="U2198" t="s">
        <v>81</v>
      </c>
    </row>
    <row r="2199" spans="1:21" x14ac:dyDescent="0.25">
      <c r="A2199" s="33">
        <v>2203</v>
      </c>
      <c r="B2199" s="24">
        <v>44229</v>
      </c>
      <c r="C2199" t="s">
        <v>181</v>
      </c>
      <c r="D2199" t="s">
        <v>41</v>
      </c>
      <c r="E2199">
        <v>2000714725</v>
      </c>
      <c r="F2199">
        <v>720</v>
      </c>
      <c r="G2199">
        <v>90</v>
      </c>
      <c r="H2199">
        <v>0</v>
      </c>
      <c r="I2199" t="s">
        <v>178</v>
      </c>
      <c r="J2199" t="s">
        <v>641</v>
      </c>
      <c r="K2199" t="s">
        <v>205</v>
      </c>
      <c r="O2199">
        <v>0</v>
      </c>
      <c r="U2199" t="s">
        <v>81</v>
      </c>
    </row>
    <row r="2200" spans="1:21" x14ac:dyDescent="0.25">
      <c r="A2200" s="33">
        <v>2204</v>
      </c>
      <c r="B2200" s="24">
        <v>44229</v>
      </c>
      <c r="C2200" t="s">
        <v>181</v>
      </c>
      <c r="D2200" t="s">
        <v>41</v>
      </c>
      <c r="E2200">
        <v>2000715331</v>
      </c>
      <c r="F2200">
        <v>200</v>
      </c>
      <c r="G2200">
        <v>100</v>
      </c>
      <c r="H2200">
        <v>0</v>
      </c>
      <c r="I2200" t="s">
        <v>178</v>
      </c>
      <c r="J2200" t="s">
        <v>174</v>
      </c>
      <c r="K2200" t="s">
        <v>931</v>
      </c>
      <c r="O2200">
        <v>0</v>
      </c>
      <c r="U2200" t="s">
        <v>81</v>
      </c>
    </row>
    <row r="2201" spans="1:21" x14ac:dyDescent="0.25">
      <c r="A2201" s="33">
        <v>2205</v>
      </c>
      <c r="B2201" s="24">
        <v>44229</v>
      </c>
      <c r="C2201" t="s">
        <v>181</v>
      </c>
      <c r="D2201" t="s">
        <v>41</v>
      </c>
      <c r="E2201">
        <v>2000714121</v>
      </c>
      <c r="F2201">
        <v>1530</v>
      </c>
      <c r="G2201">
        <v>30</v>
      </c>
      <c r="H2201">
        <v>0</v>
      </c>
      <c r="I2201" t="s">
        <v>178</v>
      </c>
      <c r="J2201" t="s">
        <v>170</v>
      </c>
      <c r="K2201" t="s">
        <v>899</v>
      </c>
      <c r="O2201">
        <v>0</v>
      </c>
      <c r="U2201" t="s">
        <v>81</v>
      </c>
    </row>
    <row r="2202" spans="1:21" x14ac:dyDescent="0.25">
      <c r="A2202" s="33">
        <v>2206</v>
      </c>
      <c r="B2202" s="24">
        <v>44229</v>
      </c>
      <c r="C2202" t="s">
        <v>181</v>
      </c>
      <c r="D2202" t="s">
        <v>41</v>
      </c>
      <c r="E2202">
        <v>2000715082</v>
      </c>
      <c r="F2202">
        <v>1800</v>
      </c>
      <c r="G2202">
        <v>120</v>
      </c>
      <c r="H2202">
        <v>1</v>
      </c>
      <c r="I2202" t="s">
        <v>642</v>
      </c>
      <c r="J2202" t="s">
        <v>645</v>
      </c>
      <c r="K2202" t="s">
        <v>721</v>
      </c>
      <c r="L2202" t="s">
        <v>112</v>
      </c>
      <c r="N2202" t="s">
        <v>980</v>
      </c>
      <c r="O2202">
        <v>1</v>
      </c>
      <c r="P2202" t="s">
        <v>981</v>
      </c>
      <c r="Q2202" t="s">
        <v>982</v>
      </c>
      <c r="R2202">
        <v>2131191342</v>
      </c>
      <c r="S2202" s="36">
        <v>0.88541666666666663</v>
      </c>
      <c r="U2202" t="s">
        <v>81</v>
      </c>
    </row>
    <row r="2203" spans="1:21" x14ac:dyDescent="0.25">
      <c r="A2203" s="33">
        <v>2207</v>
      </c>
      <c r="B2203" s="24">
        <v>44229</v>
      </c>
      <c r="C2203" t="s">
        <v>181</v>
      </c>
      <c r="D2203" t="s">
        <v>41</v>
      </c>
      <c r="E2203">
        <v>2000715236</v>
      </c>
      <c r="F2203">
        <v>1600</v>
      </c>
      <c r="G2203">
        <v>120</v>
      </c>
      <c r="H2203">
        <v>0</v>
      </c>
      <c r="I2203" t="s">
        <v>642</v>
      </c>
      <c r="J2203" t="s">
        <v>193</v>
      </c>
      <c r="K2203" t="s">
        <v>647</v>
      </c>
      <c r="O2203">
        <v>0</v>
      </c>
      <c r="U2203" t="s">
        <v>81</v>
      </c>
    </row>
    <row r="2204" spans="1:21" x14ac:dyDescent="0.25">
      <c r="A2204" s="33">
        <v>2208</v>
      </c>
      <c r="B2204" s="24">
        <v>44229</v>
      </c>
      <c r="C2204" t="s">
        <v>181</v>
      </c>
      <c r="D2204" t="s">
        <v>41</v>
      </c>
      <c r="E2204">
        <v>2000715172</v>
      </c>
      <c r="F2204">
        <v>230</v>
      </c>
      <c r="G2204">
        <v>20</v>
      </c>
      <c r="H2204">
        <v>0</v>
      </c>
      <c r="I2204" t="s">
        <v>642</v>
      </c>
      <c r="J2204" t="s">
        <v>197</v>
      </c>
      <c r="K2204" t="s">
        <v>764</v>
      </c>
      <c r="O2204">
        <v>0</v>
      </c>
      <c r="U2204" t="s">
        <v>81</v>
      </c>
    </row>
    <row r="2205" spans="1:21" x14ac:dyDescent="0.25">
      <c r="A2205" s="33">
        <v>2209</v>
      </c>
      <c r="B2205" s="24">
        <v>44229</v>
      </c>
      <c r="C2205" t="s">
        <v>181</v>
      </c>
      <c r="D2205" t="s">
        <v>41</v>
      </c>
      <c r="E2205">
        <v>2000715174</v>
      </c>
      <c r="F2205">
        <v>870</v>
      </c>
      <c r="G2205">
        <v>120</v>
      </c>
      <c r="H2205">
        <v>0</v>
      </c>
      <c r="I2205" t="s">
        <v>642</v>
      </c>
      <c r="J2205" t="s">
        <v>645</v>
      </c>
      <c r="K2205" t="s">
        <v>718</v>
      </c>
      <c r="O2205">
        <v>0</v>
      </c>
      <c r="U2205" t="s">
        <v>81</v>
      </c>
    </row>
    <row r="2206" spans="1:21" x14ac:dyDescent="0.25">
      <c r="A2206" s="33">
        <v>2210</v>
      </c>
      <c r="B2206" s="24">
        <v>44229</v>
      </c>
      <c r="C2206" t="s">
        <v>181</v>
      </c>
      <c r="D2206" t="s">
        <v>41</v>
      </c>
      <c r="E2206">
        <v>2000715066</v>
      </c>
      <c r="F2206">
        <v>800</v>
      </c>
      <c r="G2206">
        <v>120</v>
      </c>
      <c r="H2206">
        <v>0</v>
      </c>
      <c r="I2206" t="s">
        <v>642</v>
      </c>
      <c r="J2206" t="s">
        <v>172</v>
      </c>
      <c r="K2206" t="s">
        <v>983</v>
      </c>
      <c r="O2206">
        <v>0</v>
      </c>
      <c r="U2206" t="s">
        <v>81</v>
      </c>
    </row>
    <row r="2207" spans="1:21" x14ac:dyDescent="0.25">
      <c r="A2207" s="33">
        <v>2211</v>
      </c>
      <c r="B2207" s="24">
        <v>44229</v>
      </c>
      <c r="C2207" t="s">
        <v>181</v>
      </c>
      <c r="D2207" t="s">
        <v>41</v>
      </c>
      <c r="E2207">
        <v>2000714724</v>
      </c>
      <c r="F2207">
        <v>360</v>
      </c>
      <c r="G2207">
        <v>45</v>
      </c>
      <c r="H2207">
        <v>0</v>
      </c>
      <c r="I2207" t="s">
        <v>180</v>
      </c>
      <c r="J2207" t="s">
        <v>170</v>
      </c>
      <c r="K2207" t="s">
        <v>697</v>
      </c>
      <c r="O2207">
        <v>0</v>
      </c>
      <c r="U2207" t="s">
        <v>81</v>
      </c>
    </row>
    <row r="2208" spans="1:21" x14ac:dyDescent="0.25">
      <c r="A2208" s="33">
        <v>2212</v>
      </c>
      <c r="B2208" s="24">
        <v>44229</v>
      </c>
      <c r="C2208" t="s">
        <v>181</v>
      </c>
      <c r="D2208" t="s">
        <v>41</v>
      </c>
      <c r="E2208">
        <v>2000714121</v>
      </c>
      <c r="F2208">
        <v>1530</v>
      </c>
      <c r="G2208">
        <v>45</v>
      </c>
      <c r="H2208">
        <v>0</v>
      </c>
      <c r="I2208" t="s">
        <v>180</v>
      </c>
      <c r="J2208" t="s">
        <v>170</v>
      </c>
      <c r="K2208" t="s">
        <v>899</v>
      </c>
      <c r="O2208">
        <v>0</v>
      </c>
      <c r="U2208" t="s">
        <v>81</v>
      </c>
    </row>
    <row r="2209" spans="1:21" x14ac:dyDescent="0.25">
      <c r="A2209" s="33">
        <v>2213</v>
      </c>
      <c r="B2209" s="24">
        <v>44229</v>
      </c>
      <c r="C2209" t="s">
        <v>181</v>
      </c>
      <c r="D2209" t="s">
        <v>41</v>
      </c>
      <c r="E2209">
        <v>2000714725</v>
      </c>
      <c r="F2209">
        <v>720</v>
      </c>
      <c r="G2209">
        <v>225</v>
      </c>
      <c r="H2209">
        <v>0</v>
      </c>
      <c r="I2209" t="s">
        <v>180</v>
      </c>
      <c r="J2209" t="s">
        <v>174</v>
      </c>
      <c r="K2209" t="s">
        <v>205</v>
      </c>
      <c r="O2209">
        <v>0</v>
      </c>
      <c r="U2209" t="s">
        <v>81</v>
      </c>
    </row>
    <row r="2210" spans="1:21" x14ac:dyDescent="0.25">
      <c r="A2210" s="33">
        <v>2214</v>
      </c>
      <c r="B2210" s="24">
        <v>44229</v>
      </c>
      <c r="C2210" t="s">
        <v>181</v>
      </c>
      <c r="D2210" t="s">
        <v>41</v>
      </c>
      <c r="E2210">
        <v>2000714121</v>
      </c>
      <c r="F2210">
        <v>1530</v>
      </c>
      <c r="G2210">
        <v>265</v>
      </c>
      <c r="H2210">
        <v>0</v>
      </c>
      <c r="I2210" t="s">
        <v>661</v>
      </c>
      <c r="J2210" t="s">
        <v>170</v>
      </c>
      <c r="K2210" t="s">
        <v>899</v>
      </c>
      <c r="O2210">
        <v>0</v>
      </c>
      <c r="U2210" t="s">
        <v>81</v>
      </c>
    </row>
    <row r="2211" spans="1:21" x14ac:dyDescent="0.25">
      <c r="A2211" s="33">
        <v>2215</v>
      </c>
      <c r="B2211" s="24">
        <v>44229</v>
      </c>
      <c r="C2211" t="s">
        <v>181</v>
      </c>
      <c r="D2211" t="s">
        <v>41</v>
      </c>
      <c r="E2211">
        <v>2000714724</v>
      </c>
      <c r="F2211">
        <v>360</v>
      </c>
      <c r="G2211">
        <v>312</v>
      </c>
      <c r="H2211">
        <v>0</v>
      </c>
      <c r="I2211" t="s">
        <v>661</v>
      </c>
      <c r="J2211" t="s">
        <v>170</v>
      </c>
      <c r="K2211" t="s">
        <v>697</v>
      </c>
      <c r="O2211">
        <v>0</v>
      </c>
      <c r="U2211" t="s">
        <v>81</v>
      </c>
    </row>
    <row r="2212" spans="1:21" x14ac:dyDescent="0.25">
      <c r="A2212" s="33">
        <v>2216</v>
      </c>
      <c r="B2212" s="24">
        <v>44229</v>
      </c>
      <c r="C2212" t="s">
        <v>181</v>
      </c>
      <c r="D2212" t="s">
        <v>41</v>
      </c>
      <c r="E2212">
        <v>2000714725</v>
      </c>
      <c r="F2212">
        <v>720</v>
      </c>
      <c r="G2212">
        <v>221</v>
      </c>
      <c r="H2212">
        <v>0</v>
      </c>
      <c r="I2212" t="s">
        <v>661</v>
      </c>
      <c r="J2212" t="s">
        <v>174</v>
      </c>
      <c r="K2212" t="s">
        <v>205</v>
      </c>
      <c r="O2212">
        <v>0</v>
      </c>
      <c r="U2212" t="s">
        <v>81</v>
      </c>
    </row>
    <row r="2213" spans="1:21" x14ac:dyDescent="0.25">
      <c r="A2213" s="33">
        <v>2217</v>
      </c>
      <c r="B2213" s="24">
        <v>44229</v>
      </c>
      <c r="C2213" t="s">
        <v>181</v>
      </c>
      <c r="D2213" t="s">
        <v>41</v>
      </c>
      <c r="E2213">
        <v>2000714121</v>
      </c>
      <c r="F2213">
        <v>1530</v>
      </c>
      <c r="G2213">
        <v>30</v>
      </c>
      <c r="H2213">
        <v>0</v>
      </c>
      <c r="I2213" t="s">
        <v>194</v>
      </c>
      <c r="J2213" t="s">
        <v>170</v>
      </c>
      <c r="K2213" t="s">
        <v>899</v>
      </c>
      <c r="O2213">
        <v>0</v>
      </c>
      <c r="U2213" t="s">
        <v>81</v>
      </c>
    </row>
    <row r="2214" spans="1:21" x14ac:dyDescent="0.25">
      <c r="A2214" s="33">
        <v>2218</v>
      </c>
      <c r="B2214" s="24">
        <v>44229</v>
      </c>
      <c r="C2214" t="s">
        <v>181</v>
      </c>
      <c r="D2214" t="s">
        <v>41</v>
      </c>
      <c r="E2214">
        <v>2000715214</v>
      </c>
      <c r="F2214">
        <v>330</v>
      </c>
      <c r="G2214">
        <v>80</v>
      </c>
      <c r="H2214">
        <v>0</v>
      </c>
      <c r="I2214" t="s">
        <v>194</v>
      </c>
      <c r="J2214" t="s">
        <v>169</v>
      </c>
      <c r="K2214" t="s">
        <v>637</v>
      </c>
      <c r="O2214">
        <v>0</v>
      </c>
      <c r="U2214" t="s">
        <v>81</v>
      </c>
    </row>
    <row r="2215" spans="1:21" x14ac:dyDescent="0.25">
      <c r="A2215" s="33">
        <v>2219</v>
      </c>
      <c r="B2215" s="24">
        <v>44229</v>
      </c>
      <c r="C2215" t="s">
        <v>181</v>
      </c>
      <c r="D2215" t="s">
        <v>41</v>
      </c>
      <c r="E2215">
        <v>2000714734</v>
      </c>
      <c r="F2215">
        <v>400</v>
      </c>
      <c r="G2215">
        <v>160</v>
      </c>
      <c r="H2215">
        <v>0</v>
      </c>
      <c r="I2215" t="s">
        <v>194</v>
      </c>
      <c r="J2215" t="s">
        <v>174</v>
      </c>
      <c r="K2215" t="s">
        <v>644</v>
      </c>
      <c r="O2215">
        <v>0</v>
      </c>
      <c r="U2215" t="s">
        <v>81</v>
      </c>
    </row>
    <row r="2216" spans="1:21" x14ac:dyDescent="0.25">
      <c r="A2216" s="33">
        <v>2220</v>
      </c>
      <c r="B2216" s="24">
        <v>44229</v>
      </c>
      <c r="C2216" t="s">
        <v>181</v>
      </c>
      <c r="D2216" t="s">
        <v>41</v>
      </c>
      <c r="E2216">
        <v>2000715178</v>
      </c>
      <c r="F2216">
        <v>2000</v>
      </c>
      <c r="G2216">
        <v>20</v>
      </c>
      <c r="H2216">
        <v>0</v>
      </c>
      <c r="I2216" t="s">
        <v>194</v>
      </c>
      <c r="J2216" t="s">
        <v>169</v>
      </c>
      <c r="K2216" t="s">
        <v>190</v>
      </c>
      <c r="O2216">
        <v>0</v>
      </c>
      <c r="U2216" t="s">
        <v>81</v>
      </c>
    </row>
    <row r="2217" spans="1:21" x14ac:dyDescent="0.25">
      <c r="A2217" s="33">
        <v>2221</v>
      </c>
      <c r="B2217" s="24">
        <v>44229</v>
      </c>
      <c r="C2217" t="s">
        <v>181</v>
      </c>
      <c r="D2217" t="s">
        <v>41</v>
      </c>
      <c r="E2217">
        <v>2000714725</v>
      </c>
      <c r="F2217">
        <v>720</v>
      </c>
      <c r="G2217">
        <v>90</v>
      </c>
      <c r="H2217">
        <v>0</v>
      </c>
      <c r="I2217" t="s">
        <v>194</v>
      </c>
      <c r="J2217" t="s">
        <v>174</v>
      </c>
      <c r="K2217" t="s">
        <v>205</v>
      </c>
      <c r="O2217">
        <v>0</v>
      </c>
      <c r="U2217" t="s">
        <v>81</v>
      </c>
    </row>
    <row r="2218" spans="1:21" x14ac:dyDescent="0.25">
      <c r="A2218" s="33">
        <v>2222</v>
      </c>
      <c r="B2218" s="24">
        <v>44229</v>
      </c>
      <c r="C2218" t="s">
        <v>181</v>
      </c>
      <c r="D2218" t="s">
        <v>41</v>
      </c>
      <c r="E2218">
        <v>2000714682</v>
      </c>
      <c r="F2218">
        <v>6600</v>
      </c>
      <c r="G2218">
        <v>300</v>
      </c>
      <c r="H2218">
        <v>0</v>
      </c>
      <c r="I2218" t="s">
        <v>201</v>
      </c>
      <c r="J2218" t="s">
        <v>200</v>
      </c>
      <c r="K2218" t="s">
        <v>737</v>
      </c>
      <c r="O2218">
        <v>0</v>
      </c>
      <c r="U2218" t="s">
        <v>81</v>
      </c>
    </row>
    <row r="2219" spans="1:21" x14ac:dyDescent="0.25">
      <c r="A2219" s="33">
        <v>2223</v>
      </c>
      <c r="B2219" s="24">
        <v>44229</v>
      </c>
      <c r="C2219" t="s">
        <v>181</v>
      </c>
      <c r="D2219" t="s">
        <v>41</v>
      </c>
      <c r="E2219">
        <v>2000715231</v>
      </c>
      <c r="F2219">
        <v>4800</v>
      </c>
      <c r="G2219">
        <v>300</v>
      </c>
      <c r="H2219">
        <v>0</v>
      </c>
      <c r="I2219" t="s">
        <v>201</v>
      </c>
      <c r="J2219" t="s">
        <v>172</v>
      </c>
      <c r="K2219" t="s">
        <v>814</v>
      </c>
      <c r="O2219">
        <v>0</v>
      </c>
      <c r="U2219" t="s">
        <v>81</v>
      </c>
    </row>
    <row r="2220" spans="1:21" x14ac:dyDescent="0.25">
      <c r="A2220" s="33">
        <v>2224</v>
      </c>
      <c r="B2220" s="24">
        <v>44229</v>
      </c>
      <c r="C2220" t="s">
        <v>181</v>
      </c>
      <c r="D2220" t="s">
        <v>41</v>
      </c>
      <c r="E2220">
        <v>2000713862</v>
      </c>
      <c r="F2220">
        <v>2640</v>
      </c>
      <c r="G2220">
        <v>480</v>
      </c>
      <c r="H2220">
        <v>0</v>
      </c>
      <c r="I2220" t="s">
        <v>201</v>
      </c>
      <c r="J2220" t="s">
        <v>203</v>
      </c>
      <c r="K2220" t="s">
        <v>640</v>
      </c>
      <c r="O2220">
        <v>0</v>
      </c>
      <c r="U2220" t="s">
        <v>81</v>
      </c>
    </row>
    <row r="2221" spans="1:21" x14ac:dyDescent="0.25">
      <c r="A2221" s="33">
        <v>2225</v>
      </c>
      <c r="B2221" s="24">
        <v>44229</v>
      </c>
      <c r="C2221" t="s">
        <v>181</v>
      </c>
      <c r="D2221" t="s">
        <v>41</v>
      </c>
      <c r="E2221">
        <v>2000715079</v>
      </c>
      <c r="F2221">
        <v>1800</v>
      </c>
      <c r="G2221">
        <v>200</v>
      </c>
      <c r="H2221">
        <v>0</v>
      </c>
      <c r="I2221" t="s">
        <v>201</v>
      </c>
      <c r="J2221" t="s">
        <v>645</v>
      </c>
      <c r="K2221" t="s">
        <v>756</v>
      </c>
      <c r="O2221">
        <v>0</v>
      </c>
      <c r="U2221" t="s">
        <v>81</v>
      </c>
    </row>
    <row r="2222" spans="1:21" x14ac:dyDescent="0.25">
      <c r="A2222" s="33">
        <v>2226</v>
      </c>
      <c r="B2222" s="24">
        <v>44229</v>
      </c>
      <c r="C2222" t="s">
        <v>181</v>
      </c>
      <c r="D2222" t="s">
        <v>41</v>
      </c>
      <c r="E2222">
        <v>2000714828</v>
      </c>
      <c r="F2222">
        <v>1650</v>
      </c>
      <c r="G2222">
        <v>200</v>
      </c>
      <c r="H2222">
        <v>0</v>
      </c>
      <c r="I2222" t="s">
        <v>201</v>
      </c>
      <c r="J2222" t="s">
        <v>193</v>
      </c>
      <c r="K2222" t="s">
        <v>683</v>
      </c>
      <c r="O2222">
        <v>0</v>
      </c>
      <c r="U2222" t="s">
        <v>81</v>
      </c>
    </row>
    <row r="2223" spans="1:21" x14ac:dyDescent="0.25">
      <c r="A2223" s="33">
        <v>2227</v>
      </c>
      <c r="B2223" s="24">
        <v>44229</v>
      </c>
      <c r="C2223" t="s">
        <v>181</v>
      </c>
      <c r="D2223" t="s">
        <v>41</v>
      </c>
      <c r="E2223">
        <v>2000715081</v>
      </c>
      <c r="F2223">
        <v>1800</v>
      </c>
      <c r="G2223">
        <v>150</v>
      </c>
      <c r="H2223">
        <v>0</v>
      </c>
      <c r="I2223" t="s">
        <v>201</v>
      </c>
      <c r="J2223" t="s">
        <v>645</v>
      </c>
      <c r="K2223" t="s">
        <v>984</v>
      </c>
      <c r="O2223">
        <v>0</v>
      </c>
      <c r="U2223" t="s">
        <v>81</v>
      </c>
    </row>
    <row r="2224" spans="1:21" x14ac:dyDescent="0.25">
      <c r="A2224" s="33">
        <v>2228</v>
      </c>
      <c r="B2224" s="24">
        <v>44229</v>
      </c>
      <c r="C2224" t="s">
        <v>181</v>
      </c>
      <c r="D2224" t="s">
        <v>41</v>
      </c>
      <c r="E2224">
        <v>2000714573</v>
      </c>
      <c r="F2224">
        <v>1776</v>
      </c>
      <c r="G2224">
        <v>400</v>
      </c>
      <c r="H2224">
        <v>0</v>
      </c>
      <c r="I2224" t="s">
        <v>201</v>
      </c>
      <c r="J2224" t="s">
        <v>203</v>
      </c>
      <c r="K2224" t="s">
        <v>788</v>
      </c>
      <c r="O2224">
        <v>0</v>
      </c>
      <c r="U2224" t="s">
        <v>81</v>
      </c>
    </row>
    <row r="2225" spans="1:21" x14ac:dyDescent="0.25">
      <c r="A2225" s="33">
        <v>2229</v>
      </c>
      <c r="B2225" s="24">
        <v>44229</v>
      </c>
      <c r="C2225" t="s">
        <v>181</v>
      </c>
      <c r="D2225" t="s">
        <v>41</v>
      </c>
      <c r="E2225">
        <v>2000714683</v>
      </c>
      <c r="F2225">
        <v>1760</v>
      </c>
      <c r="G2225">
        <v>150</v>
      </c>
      <c r="H2225">
        <v>0</v>
      </c>
      <c r="I2225" t="s">
        <v>201</v>
      </c>
      <c r="J2225" t="s">
        <v>645</v>
      </c>
      <c r="K2225" t="s">
        <v>813</v>
      </c>
      <c r="O2225">
        <v>0</v>
      </c>
      <c r="U2225" t="s">
        <v>81</v>
      </c>
    </row>
    <row r="2226" spans="1:21" x14ac:dyDescent="0.25">
      <c r="A2226" s="33">
        <v>2230</v>
      </c>
      <c r="B2226" s="24">
        <v>44229</v>
      </c>
      <c r="C2226" t="s">
        <v>181</v>
      </c>
      <c r="D2226" t="s">
        <v>41</v>
      </c>
      <c r="E2226">
        <v>2000714684</v>
      </c>
      <c r="F2226">
        <v>3600</v>
      </c>
      <c r="G2226">
        <v>240</v>
      </c>
      <c r="H2226">
        <v>0</v>
      </c>
      <c r="I2226" t="s">
        <v>201</v>
      </c>
      <c r="J2226" t="s">
        <v>169</v>
      </c>
      <c r="K2226" t="s">
        <v>652</v>
      </c>
      <c r="O2226">
        <v>0</v>
      </c>
      <c r="U2226" t="s">
        <v>81</v>
      </c>
    </row>
    <row r="2227" spans="1:21" x14ac:dyDescent="0.25">
      <c r="A2227" s="33">
        <v>2231</v>
      </c>
      <c r="B2227" s="24">
        <v>44229</v>
      </c>
      <c r="C2227" t="s">
        <v>181</v>
      </c>
      <c r="D2227" t="s">
        <v>41</v>
      </c>
      <c r="E2227">
        <v>2000714733</v>
      </c>
      <c r="F2227">
        <v>230</v>
      </c>
      <c r="G2227">
        <v>120</v>
      </c>
      <c r="H2227">
        <v>0</v>
      </c>
      <c r="I2227" t="s">
        <v>666</v>
      </c>
      <c r="J2227" t="s">
        <v>174</v>
      </c>
      <c r="K2227" t="s">
        <v>763</v>
      </c>
      <c r="O2227">
        <v>0</v>
      </c>
      <c r="U2227" t="s">
        <v>81</v>
      </c>
    </row>
    <row r="2228" spans="1:21" x14ac:dyDescent="0.25">
      <c r="A2228" s="33">
        <v>2232</v>
      </c>
      <c r="B2228" s="24">
        <v>44229</v>
      </c>
      <c r="C2228" t="s">
        <v>181</v>
      </c>
      <c r="D2228" t="s">
        <v>41</v>
      </c>
      <c r="E2228">
        <v>2000714734</v>
      </c>
      <c r="F2228">
        <v>400</v>
      </c>
      <c r="G2228">
        <v>235</v>
      </c>
      <c r="H2228">
        <v>0</v>
      </c>
      <c r="I2228" t="s">
        <v>666</v>
      </c>
      <c r="J2228" t="s">
        <v>174</v>
      </c>
      <c r="K2228" t="s">
        <v>644</v>
      </c>
      <c r="O2228">
        <v>0</v>
      </c>
      <c r="U2228" t="s">
        <v>81</v>
      </c>
    </row>
    <row r="2229" spans="1:21" x14ac:dyDescent="0.25">
      <c r="A2229" s="33">
        <v>2233</v>
      </c>
      <c r="B2229" s="24">
        <v>44229</v>
      </c>
      <c r="C2229" t="s">
        <v>181</v>
      </c>
      <c r="D2229" t="s">
        <v>41</v>
      </c>
      <c r="E2229">
        <v>2000714598</v>
      </c>
      <c r="F2229">
        <v>2704</v>
      </c>
      <c r="G2229">
        <v>40</v>
      </c>
      <c r="H2229">
        <v>0</v>
      </c>
      <c r="I2229" t="s">
        <v>666</v>
      </c>
      <c r="J2229" t="s">
        <v>655</v>
      </c>
      <c r="K2229" t="s">
        <v>656</v>
      </c>
      <c r="O2229">
        <v>0</v>
      </c>
      <c r="U2229" t="s">
        <v>81</v>
      </c>
    </row>
    <row r="2230" spans="1:21" x14ac:dyDescent="0.25">
      <c r="A2230" s="33">
        <v>2234</v>
      </c>
      <c r="B2230" s="24">
        <v>44229</v>
      </c>
      <c r="C2230" t="s">
        <v>181</v>
      </c>
      <c r="D2230" t="s">
        <v>41</v>
      </c>
      <c r="E2230">
        <v>2000713789</v>
      </c>
      <c r="F2230">
        <v>680</v>
      </c>
      <c r="G2230">
        <v>2</v>
      </c>
      <c r="H2230">
        <v>0</v>
      </c>
      <c r="I2230" t="s">
        <v>666</v>
      </c>
      <c r="J2230" t="s">
        <v>174</v>
      </c>
      <c r="K2230" t="s">
        <v>763</v>
      </c>
      <c r="O2230">
        <v>0</v>
      </c>
      <c r="U2230" t="s">
        <v>81</v>
      </c>
    </row>
    <row r="2231" spans="1:21" x14ac:dyDescent="0.25">
      <c r="A2231" s="33">
        <v>2235</v>
      </c>
      <c r="B2231" s="24">
        <v>44229</v>
      </c>
      <c r="C2231" t="s">
        <v>181</v>
      </c>
      <c r="D2231" t="s">
        <v>41</v>
      </c>
      <c r="E2231">
        <v>2000714731</v>
      </c>
      <c r="F2231">
        <v>40</v>
      </c>
      <c r="G2231">
        <v>39</v>
      </c>
      <c r="H2231">
        <v>0</v>
      </c>
      <c r="I2231" t="s">
        <v>666</v>
      </c>
      <c r="J2231" t="s">
        <v>174</v>
      </c>
      <c r="K2231" t="s">
        <v>893</v>
      </c>
      <c r="O2231">
        <v>0</v>
      </c>
      <c r="U2231" t="s">
        <v>81</v>
      </c>
    </row>
    <row r="2232" spans="1:21" x14ac:dyDescent="0.25">
      <c r="A2232" s="33">
        <v>2236</v>
      </c>
      <c r="B2232" s="24">
        <v>44229</v>
      </c>
      <c r="C2232" t="s">
        <v>181</v>
      </c>
      <c r="D2232" t="s">
        <v>41</v>
      </c>
      <c r="E2232">
        <v>2000715331</v>
      </c>
      <c r="F2232">
        <v>200</v>
      </c>
      <c r="G2232">
        <v>20</v>
      </c>
      <c r="H2232">
        <v>0</v>
      </c>
      <c r="I2232" t="s">
        <v>666</v>
      </c>
      <c r="J2232" t="s">
        <v>174</v>
      </c>
      <c r="K2232" t="s">
        <v>931</v>
      </c>
      <c r="O2232">
        <v>0</v>
      </c>
      <c r="U2232" t="s">
        <v>81</v>
      </c>
    </row>
    <row r="2233" spans="1:21" x14ac:dyDescent="0.25">
      <c r="A2233" s="33">
        <v>2237</v>
      </c>
      <c r="B2233" s="24">
        <v>44229</v>
      </c>
      <c r="C2233" t="s">
        <v>181</v>
      </c>
      <c r="D2233" t="s">
        <v>51</v>
      </c>
      <c r="E2233">
        <v>2000713639</v>
      </c>
      <c r="F2233">
        <v>620</v>
      </c>
      <c r="G2233">
        <v>220</v>
      </c>
      <c r="H2233">
        <v>0</v>
      </c>
      <c r="I2233" t="s">
        <v>168</v>
      </c>
      <c r="J2233" t="s">
        <v>676</v>
      </c>
      <c r="K2233" t="s">
        <v>677</v>
      </c>
      <c r="O2233">
        <v>0</v>
      </c>
      <c r="U2233" t="s">
        <v>81</v>
      </c>
    </row>
    <row r="2234" spans="1:21" x14ac:dyDescent="0.25">
      <c r="A2234" s="33">
        <v>2238</v>
      </c>
      <c r="B2234" s="24">
        <v>44229</v>
      </c>
      <c r="C2234" t="s">
        <v>181</v>
      </c>
      <c r="D2234" t="s">
        <v>51</v>
      </c>
      <c r="E2234">
        <v>2000714427</v>
      </c>
      <c r="F2234">
        <v>800</v>
      </c>
      <c r="G2234">
        <v>120</v>
      </c>
      <c r="H2234">
        <v>0</v>
      </c>
      <c r="I2234" t="s">
        <v>168</v>
      </c>
      <c r="J2234" t="s">
        <v>667</v>
      </c>
      <c r="K2234" t="s">
        <v>730</v>
      </c>
      <c r="O2234">
        <v>0</v>
      </c>
      <c r="U2234" t="s">
        <v>81</v>
      </c>
    </row>
    <row r="2235" spans="1:21" ht="45" x14ac:dyDescent="0.25">
      <c r="A2235" s="33">
        <v>2239</v>
      </c>
      <c r="B2235" s="24">
        <v>44229</v>
      </c>
      <c r="C2235" t="s">
        <v>181</v>
      </c>
      <c r="D2235" t="s">
        <v>51</v>
      </c>
      <c r="E2235">
        <v>2000714428</v>
      </c>
      <c r="F2235">
        <v>800</v>
      </c>
      <c r="G2235">
        <v>140</v>
      </c>
      <c r="H2235">
        <v>0</v>
      </c>
      <c r="I2235" t="s">
        <v>168</v>
      </c>
      <c r="J2235" t="s">
        <v>667</v>
      </c>
      <c r="K2235" t="s">
        <v>671</v>
      </c>
      <c r="O2235">
        <v>0</v>
      </c>
      <c r="T2235" s="62" t="s">
        <v>775</v>
      </c>
      <c r="U2235" t="s">
        <v>81</v>
      </c>
    </row>
    <row r="2236" spans="1:21" x14ac:dyDescent="0.25">
      <c r="A2236" s="33">
        <v>2240</v>
      </c>
      <c r="B2236" s="24">
        <v>44229</v>
      </c>
      <c r="C2236" t="s">
        <v>181</v>
      </c>
      <c r="D2236" t="s">
        <v>51</v>
      </c>
      <c r="E2236">
        <v>2000714907</v>
      </c>
      <c r="F2236">
        <v>1000</v>
      </c>
      <c r="G2236">
        <v>80</v>
      </c>
      <c r="H2236">
        <v>0</v>
      </c>
      <c r="I2236" t="s">
        <v>168</v>
      </c>
      <c r="J2236" t="s">
        <v>673</v>
      </c>
      <c r="K2236" t="s">
        <v>985</v>
      </c>
      <c r="O2236">
        <v>0</v>
      </c>
      <c r="U2236" t="s">
        <v>81</v>
      </c>
    </row>
    <row r="2237" spans="1:21" x14ac:dyDescent="0.25">
      <c r="A2237" s="33">
        <v>2241</v>
      </c>
      <c r="B2237" s="24">
        <v>44229</v>
      </c>
      <c r="C2237" t="s">
        <v>181</v>
      </c>
      <c r="D2237" t="s">
        <v>51</v>
      </c>
      <c r="E2237">
        <v>2000714436</v>
      </c>
      <c r="F2237">
        <v>700</v>
      </c>
      <c r="G2237">
        <v>180</v>
      </c>
      <c r="H2237">
        <v>0</v>
      </c>
      <c r="I2237" t="s">
        <v>168</v>
      </c>
      <c r="J2237" t="s">
        <v>669</v>
      </c>
      <c r="K2237" t="s">
        <v>707</v>
      </c>
      <c r="O2237">
        <v>0</v>
      </c>
      <c r="U2237" t="s">
        <v>81</v>
      </c>
    </row>
    <row r="2238" spans="1:21" x14ac:dyDescent="0.25">
      <c r="A2238" s="33">
        <v>2242</v>
      </c>
      <c r="B2238" s="24">
        <v>44229</v>
      </c>
      <c r="C2238" t="s">
        <v>181</v>
      </c>
      <c r="D2238" t="s">
        <v>41</v>
      </c>
      <c r="E2238">
        <v>2000714219</v>
      </c>
      <c r="F2238">
        <v>800</v>
      </c>
      <c r="G2238">
        <v>1</v>
      </c>
      <c r="H2238">
        <v>0</v>
      </c>
      <c r="I2238" t="s">
        <v>191</v>
      </c>
      <c r="J2238" t="s">
        <v>203</v>
      </c>
      <c r="K2238" t="s">
        <v>638</v>
      </c>
      <c r="O2238">
        <v>0</v>
      </c>
      <c r="U2238" t="s">
        <v>81</v>
      </c>
    </row>
    <row r="2239" spans="1:21" x14ac:dyDescent="0.25">
      <c r="A2239" s="33">
        <v>2243</v>
      </c>
      <c r="B2239" s="24">
        <v>44229</v>
      </c>
      <c r="C2239" t="s">
        <v>181</v>
      </c>
      <c r="D2239" t="s">
        <v>41</v>
      </c>
      <c r="E2239">
        <v>2000714725</v>
      </c>
      <c r="F2239">
        <v>720</v>
      </c>
      <c r="G2239">
        <v>90</v>
      </c>
      <c r="H2239">
        <v>0</v>
      </c>
      <c r="I2239" t="s">
        <v>191</v>
      </c>
      <c r="J2239" t="s">
        <v>174</v>
      </c>
      <c r="K2239" t="s">
        <v>205</v>
      </c>
      <c r="O2239">
        <v>0</v>
      </c>
      <c r="U2239" t="s">
        <v>81</v>
      </c>
    </row>
    <row r="2240" spans="1:21" x14ac:dyDescent="0.25">
      <c r="A2240" s="33">
        <v>2244</v>
      </c>
      <c r="B2240" s="24">
        <v>44229</v>
      </c>
      <c r="C2240" t="s">
        <v>181</v>
      </c>
      <c r="D2240" t="s">
        <v>41</v>
      </c>
      <c r="E2240">
        <v>2000714121</v>
      </c>
      <c r="F2240">
        <v>1530</v>
      </c>
      <c r="G2240">
        <v>105</v>
      </c>
      <c r="H2240">
        <v>0</v>
      </c>
      <c r="I2240" t="s">
        <v>191</v>
      </c>
      <c r="J2240" t="s">
        <v>170</v>
      </c>
      <c r="K2240" t="s">
        <v>899</v>
      </c>
      <c r="O2240">
        <v>0</v>
      </c>
      <c r="U2240" t="s">
        <v>81</v>
      </c>
    </row>
    <row r="2241" spans="1:21" x14ac:dyDescent="0.25">
      <c r="A2241" s="33">
        <v>2245</v>
      </c>
      <c r="B2241" s="24">
        <v>44230</v>
      </c>
      <c r="C2241" t="s">
        <v>39</v>
      </c>
      <c r="D2241" t="s">
        <v>51</v>
      </c>
      <c r="E2241">
        <v>2000713479</v>
      </c>
      <c r="F2241">
        <v>900</v>
      </c>
      <c r="G2241">
        <v>10</v>
      </c>
      <c r="H2241">
        <v>0</v>
      </c>
      <c r="I2241" t="s">
        <v>706</v>
      </c>
      <c r="J2241" t="s">
        <v>669</v>
      </c>
      <c r="K2241" t="s">
        <v>707</v>
      </c>
      <c r="O2241">
        <v>0</v>
      </c>
      <c r="U2241" t="s">
        <v>81</v>
      </c>
    </row>
    <row r="2242" spans="1:21" x14ac:dyDescent="0.25">
      <c r="A2242" s="33">
        <v>2246</v>
      </c>
      <c r="B2242" s="24">
        <v>44230</v>
      </c>
      <c r="C2242" t="s">
        <v>39</v>
      </c>
      <c r="D2242" t="s">
        <v>51</v>
      </c>
      <c r="E2242">
        <v>2000714436</v>
      </c>
      <c r="F2242">
        <v>700</v>
      </c>
      <c r="G2242">
        <v>220</v>
      </c>
      <c r="H2242">
        <v>0</v>
      </c>
      <c r="I2242" t="s">
        <v>706</v>
      </c>
      <c r="J2242" t="s">
        <v>669</v>
      </c>
      <c r="K2242" t="s">
        <v>707</v>
      </c>
      <c r="O2242">
        <v>0</v>
      </c>
      <c r="U2242" t="s">
        <v>81</v>
      </c>
    </row>
    <row r="2243" spans="1:21" x14ac:dyDescent="0.25">
      <c r="A2243" s="33">
        <v>2247</v>
      </c>
      <c r="B2243" s="24">
        <v>44230</v>
      </c>
      <c r="C2243" t="s">
        <v>39</v>
      </c>
      <c r="D2243" t="s">
        <v>51</v>
      </c>
      <c r="E2243">
        <v>2000713639</v>
      </c>
      <c r="F2243">
        <v>620</v>
      </c>
      <c r="G2243">
        <v>130</v>
      </c>
      <c r="H2243">
        <v>0</v>
      </c>
      <c r="I2243" t="s">
        <v>706</v>
      </c>
      <c r="J2243" t="s">
        <v>676</v>
      </c>
      <c r="K2243" t="s">
        <v>677</v>
      </c>
      <c r="O2243">
        <v>0</v>
      </c>
      <c r="U2243" t="s">
        <v>81</v>
      </c>
    </row>
    <row r="2244" spans="1:21" x14ac:dyDescent="0.25">
      <c r="A2244" s="33">
        <v>2248</v>
      </c>
      <c r="B2244" s="24">
        <v>44230</v>
      </c>
      <c r="C2244" t="s">
        <v>39</v>
      </c>
      <c r="D2244" t="s">
        <v>51</v>
      </c>
      <c r="E2244">
        <v>2000714425</v>
      </c>
      <c r="F2244">
        <v>10</v>
      </c>
      <c r="G2244">
        <v>10</v>
      </c>
      <c r="H2244">
        <v>0</v>
      </c>
      <c r="I2244" t="s">
        <v>706</v>
      </c>
      <c r="J2244" t="s">
        <v>676</v>
      </c>
      <c r="K2244" t="s">
        <v>874</v>
      </c>
      <c r="O2244">
        <v>0</v>
      </c>
      <c r="U2244" t="s">
        <v>81</v>
      </c>
    </row>
    <row r="2245" spans="1:21" x14ac:dyDescent="0.25">
      <c r="A2245" s="33">
        <v>2249</v>
      </c>
      <c r="B2245" s="24">
        <v>44230</v>
      </c>
      <c r="C2245" t="s">
        <v>39</v>
      </c>
      <c r="D2245" t="s">
        <v>51</v>
      </c>
      <c r="E2245">
        <v>2000714912</v>
      </c>
      <c r="F2245">
        <v>500</v>
      </c>
      <c r="G2245">
        <v>105</v>
      </c>
      <c r="H2245">
        <v>0</v>
      </c>
      <c r="I2245" t="s">
        <v>706</v>
      </c>
      <c r="J2245" t="s">
        <v>986</v>
      </c>
      <c r="K2245" t="s">
        <v>671</v>
      </c>
      <c r="O2245">
        <v>0</v>
      </c>
      <c r="U2245" t="s">
        <v>81</v>
      </c>
    </row>
    <row r="2246" spans="1:21" x14ac:dyDescent="0.25">
      <c r="A2246" s="33">
        <v>2250</v>
      </c>
      <c r="B2246" s="24">
        <v>44230</v>
      </c>
      <c r="C2246" t="s">
        <v>39</v>
      </c>
      <c r="D2246" t="s">
        <v>51</v>
      </c>
      <c r="E2246">
        <v>2000712454</v>
      </c>
      <c r="F2246">
        <v>22</v>
      </c>
      <c r="G2246">
        <v>1</v>
      </c>
      <c r="H2246">
        <v>0</v>
      </c>
      <c r="I2246" t="s">
        <v>706</v>
      </c>
      <c r="J2246" t="s">
        <v>669</v>
      </c>
      <c r="K2246" t="s">
        <v>903</v>
      </c>
      <c r="O2246">
        <v>0</v>
      </c>
      <c r="U2246" t="s">
        <v>81</v>
      </c>
    </row>
    <row r="2247" spans="1:21" x14ac:dyDescent="0.25">
      <c r="A2247" s="33">
        <v>2251</v>
      </c>
      <c r="B2247" s="24">
        <v>44230</v>
      </c>
      <c r="C2247" t="s">
        <v>39</v>
      </c>
      <c r="D2247" t="s">
        <v>51</v>
      </c>
      <c r="E2247">
        <v>2000713640</v>
      </c>
      <c r="F2247">
        <v>620</v>
      </c>
      <c r="G2247">
        <v>11</v>
      </c>
      <c r="H2247">
        <v>0</v>
      </c>
      <c r="I2247" t="s">
        <v>706</v>
      </c>
      <c r="J2247" t="s">
        <v>676</v>
      </c>
      <c r="K2247" t="s">
        <v>677</v>
      </c>
      <c r="O2247">
        <v>0</v>
      </c>
      <c r="U2247" t="s">
        <v>81</v>
      </c>
    </row>
    <row r="2248" spans="1:21" x14ac:dyDescent="0.25">
      <c r="A2248" s="33">
        <v>2252</v>
      </c>
      <c r="B2248" s="24">
        <v>44230</v>
      </c>
      <c r="C2248" t="s">
        <v>39</v>
      </c>
      <c r="D2248" t="s">
        <v>51</v>
      </c>
      <c r="E2248">
        <v>2000713665</v>
      </c>
      <c r="F2248">
        <v>620</v>
      </c>
      <c r="G2248">
        <v>620</v>
      </c>
      <c r="H2248">
        <v>0</v>
      </c>
      <c r="I2248" t="s">
        <v>706</v>
      </c>
      <c r="J2248" t="s">
        <v>678</v>
      </c>
      <c r="K2248" t="s">
        <v>679</v>
      </c>
      <c r="O2248">
        <v>0</v>
      </c>
      <c r="U2248" t="s">
        <v>81</v>
      </c>
    </row>
    <row r="2249" spans="1:21" x14ac:dyDescent="0.25">
      <c r="A2249" s="33">
        <v>2253</v>
      </c>
      <c r="B2249" s="24">
        <v>44230</v>
      </c>
      <c r="C2249" t="s">
        <v>39</v>
      </c>
      <c r="D2249" t="s">
        <v>41</v>
      </c>
      <c r="E2249">
        <v>2000714130</v>
      </c>
      <c r="F2249">
        <v>920</v>
      </c>
      <c r="G2249">
        <v>160</v>
      </c>
      <c r="H2249">
        <v>0</v>
      </c>
      <c r="I2249" t="s">
        <v>680</v>
      </c>
      <c r="J2249" t="s">
        <v>614</v>
      </c>
      <c r="K2249" t="s">
        <v>746</v>
      </c>
      <c r="O2249">
        <v>0</v>
      </c>
      <c r="U2249" t="s">
        <v>81</v>
      </c>
    </row>
    <row r="2250" spans="1:21" x14ac:dyDescent="0.25">
      <c r="A2250" s="33">
        <v>2254</v>
      </c>
      <c r="B2250" s="24">
        <v>44230</v>
      </c>
      <c r="C2250" t="s">
        <v>39</v>
      </c>
      <c r="D2250" t="s">
        <v>41</v>
      </c>
      <c r="E2250">
        <v>2000714129</v>
      </c>
      <c r="F2250">
        <v>4014</v>
      </c>
      <c r="G2250">
        <v>200</v>
      </c>
      <c r="H2250">
        <v>0</v>
      </c>
      <c r="I2250" t="s">
        <v>680</v>
      </c>
      <c r="J2250" t="s">
        <v>988</v>
      </c>
      <c r="K2250" t="s">
        <v>659</v>
      </c>
      <c r="O2250">
        <v>0</v>
      </c>
      <c r="U2250" t="s">
        <v>81</v>
      </c>
    </row>
    <row r="2251" spans="1:21" x14ac:dyDescent="0.25">
      <c r="A2251" s="33">
        <v>2255</v>
      </c>
      <c r="B2251" s="24">
        <v>44230</v>
      </c>
      <c r="C2251" t="s">
        <v>39</v>
      </c>
      <c r="D2251" t="s">
        <v>41</v>
      </c>
      <c r="E2251">
        <v>2000714667</v>
      </c>
      <c r="F2251">
        <v>15</v>
      </c>
      <c r="G2251">
        <v>15</v>
      </c>
      <c r="H2251">
        <v>0</v>
      </c>
      <c r="I2251" t="s">
        <v>680</v>
      </c>
      <c r="J2251" t="s">
        <v>192</v>
      </c>
      <c r="K2251" t="s">
        <v>989</v>
      </c>
      <c r="O2251">
        <v>0</v>
      </c>
      <c r="U2251" t="s">
        <v>81</v>
      </c>
    </row>
    <row r="2252" spans="1:21" x14ac:dyDescent="0.25">
      <c r="A2252" s="33">
        <v>2256</v>
      </c>
      <c r="B2252" s="24">
        <v>44230</v>
      </c>
      <c r="C2252" t="s">
        <v>39</v>
      </c>
      <c r="D2252" t="s">
        <v>41</v>
      </c>
      <c r="E2252">
        <v>2000715235</v>
      </c>
      <c r="F2252">
        <v>1600</v>
      </c>
      <c r="G2252">
        <v>200</v>
      </c>
      <c r="H2252">
        <v>0</v>
      </c>
      <c r="I2252" t="s">
        <v>680</v>
      </c>
      <c r="J2252" t="s">
        <v>193</v>
      </c>
      <c r="K2252" t="s">
        <v>686</v>
      </c>
      <c r="O2252">
        <v>0</v>
      </c>
      <c r="T2252" s="62"/>
      <c r="U2252" t="s">
        <v>81</v>
      </c>
    </row>
    <row r="2253" spans="1:21" x14ac:dyDescent="0.25">
      <c r="A2253" s="33">
        <v>2257</v>
      </c>
      <c r="B2253" s="24">
        <v>44230</v>
      </c>
      <c r="C2253" t="s">
        <v>39</v>
      </c>
      <c r="D2253" t="s">
        <v>41</v>
      </c>
      <c r="E2253">
        <v>2000713862</v>
      </c>
      <c r="F2253">
        <v>2640</v>
      </c>
      <c r="G2253">
        <v>300</v>
      </c>
      <c r="H2253">
        <v>0</v>
      </c>
      <c r="I2253" t="s">
        <v>680</v>
      </c>
      <c r="J2253" t="s">
        <v>990</v>
      </c>
      <c r="K2253" t="s">
        <v>640</v>
      </c>
      <c r="O2253">
        <v>0</v>
      </c>
      <c r="U2253" t="s">
        <v>81</v>
      </c>
    </row>
    <row r="2254" spans="1:21" x14ac:dyDescent="0.25">
      <c r="A2254" s="33">
        <v>2258</v>
      </c>
      <c r="B2254" s="24">
        <v>44230</v>
      </c>
      <c r="C2254" t="s">
        <v>39</v>
      </c>
      <c r="D2254" t="s">
        <v>41</v>
      </c>
      <c r="E2254">
        <v>2000715213</v>
      </c>
      <c r="F2254">
        <v>570</v>
      </c>
      <c r="G2254">
        <v>90</v>
      </c>
      <c r="H2254">
        <v>0</v>
      </c>
      <c r="I2254" t="s">
        <v>185</v>
      </c>
      <c r="J2254" t="s">
        <v>174</v>
      </c>
      <c r="K2254" t="s">
        <v>776</v>
      </c>
      <c r="O2254">
        <v>0</v>
      </c>
      <c r="U2254" t="s">
        <v>81</v>
      </c>
    </row>
    <row r="2255" spans="1:21" x14ac:dyDescent="0.25">
      <c r="A2255" s="33">
        <v>2259</v>
      </c>
      <c r="B2255" s="24">
        <v>44230</v>
      </c>
      <c r="C2255" t="s">
        <v>39</v>
      </c>
      <c r="D2255" t="s">
        <v>41</v>
      </c>
      <c r="E2255">
        <v>2000715172</v>
      </c>
      <c r="F2255">
        <v>230</v>
      </c>
      <c r="G2255">
        <v>10</v>
      </c>
      <c r="H2255">
        <v>0</v>
      </c>
      <c r="I2255" t="s">
        <v>185</v>
      </c>
      <c r="J2255" t="s">
        <v>197</v>
      </c>
      <c r="K2255" t="s">
        <v>764</v>
      </c>
      <c r="O2255">
        <v>0</v>
      </c>
      <c r="U2255" t="s">
        <v>81</v>
      </c>
    </row>
    <row r="2256" spans="1:21" x14ac:dyDescent="0.25">
      <c r="A2256" s="33">
        <v>2260</v>
      </c>
      <c r="B2256" s="24">
        <v>44230</v>
      </c>
      <c r="C2256" t="s">
        <v>39</v>
      </c>
      <c r="D2256" t="s">
        <v>41</v>
      </c>
      <c r="E2256">
        <v>2000715157</v>
      </c>
      <c r="F2256">
        <v>320</v>
      </c>
      <c r="G2256">
        <v>80</v>
      </c>
      <c r="H2256">
        <v>0</v>
      </c>
      <c r="I2256" t="s">
        <v>185</v>
      </c>
      <c r="J2256" t="s">
        <v>987</v>
      </c>
      <c r="K2256" t="s">
        <v>734</v>
      </c>
      <c r="O2256">
        <v>0</v>
      </c>
      <c r="U2256" t="s">
        <v>81</v>
      </c>
    </row>
    <row r="2257" spans="1:21" x14ac:dyDescent="0.25">
      <c r="A2257" s="33">
        <v>2261</v>
      </c>
      <c r="B2257" s="24">
        <v>44230</v>
      </c>
      <c r="C2257" t="s">
        <v>39</v>
      </c>
      <c r="D2257" t="s">
        <v>41</v>
      </c>
      <c r="E2257">
        <v>2000715388</v>
      </c>
      <c r="F2257">
        <v>900</v>
      </c>
      <c r="G2257">
        <v>40</v>
      </c>
      <c r="H2257">
        <v>0</v>
      </c>
      <c r="I2257" t="s">
        <v>185</v>
      </c>
      <c r="J2257" t="s">
        <v>169</v>
      </c>
      <c r="K2257" t="s">
        <v>663</v>
      </c>
      <c r="O2257">
        <v>0</v>
      </c>
      <c r="U2257" t="s">
        <v>81</v>
      </c>
    </row>
    <row r="2258" spans="1:21" x14ac:dyDescent="0.25">
      <c r="A2258" s="33">
        <v>2262</v>
      </c>
      <c r="B2258" s="24">
        <v>44230</v>
      </c>
      <c r="C2258" t="s">
        <v>39</v>
      </c>
      <c r="D2258" t="s">
        <v>41</v>
      </c>
      <c r="E2258">
        <v>2000714219</v>
      </c>
      <c r="F2258">
        <v>800</v>
      </c>
      <c r="G2258">
        <v>34</v>
      </c>
      <c r="H2258">
        <v>0</v>
      </c>
      <c r="I2258" t="s">
        <v>185</v>
      </c>
      <c r="J2258" t="s">
        <v>203</v>
      </c>
      <c r="K2258" t="s">
        <v>638</v>
      </c>
      <c r="O2258">
        <v>0</v>
      </c>
      <c r="U2258" t="s">
        <v>81</v>
      </c>
    </row>
    <row r="2259" spans="1:21" x14ac:dyDescent="0.25">
      <c r="A2259" s="33">
        <v>2263</v>
      </c>
      <c r="B2259" s="24">
        <v>44230</v>
      </c>
      <c r="C2259" t="s">
        <v>39</v>
      </c>
      <c r="D2259" t="s">
        <v>41</v>
      </c>
      <c r="E2259">
        <v>2000713178</v>
      </c>
      <c r="F2259">
        <v>500</v>
      </c>
      <c r="G2259">
        <v>10</v>
      </c>
      <c r="H2259">
        <v>0</v>
      </c>
      <c r="I2259" t="s">
        <v>185</v>
      </c>
      <c r="J2259" t="s">
        <v>203</v>
      </c>
      <c r="K2259" t="s">
        <v>891</v>
      </c>
      <c r="O2259">
        <v>0</v>
      </c>
      <c r="U2259" t="s">
        <v>81</v>
      </c>
    </row>
    <row r="2260" spans="1:21" x14ac:dyDescent="0.25">
      <c r="A2260" s="33">
        <v>2264</v>
      </c>
      <c r="B2260" s="24">
        <v>44230</v>
      </c>
      <c r="C2260" t="s">
        <v>39</v>
      </c>
      <c r="D2260" t="s">
        <v>41</v>
      </c>
      <c r="E2260">
        <v>2000715084</v>
      </c>
      <c r="F2260">
        <v>2180</v>
      </c>
      <c r="G2260">
        <v>150</v>
      </c>
      <c r="H2260">
        <v>0</v>
      </c>
      <c r="I2260" t="s">
        <v>185</v>
      </c>
      <c r="J2260" t="s">
        <v>992</v>
      </c>
      <c r="K2260" t="s">
        <v>739</v>
      </c>
      <c r="O2260">
        <v>0</v>
      </c>
      <c r="U2260" t="s">
        <v>81</v>
      </c>
    </row>
    <row r="2261" spans="1:21" x14ac:dyDescent="0.25">
      <c r="A2261" s="33">
        <v>2265</v>
      </c>
      <c r="B2261" s="24">
        <v>44230</v>
      </c>
      <c r="C2261" t="s">
        <v>39</v>
      </c>
      <c r="D2261" t="s">
        <v>41</v>
      </c>
      <c r="E2261">
        <v>2000714121</v>
      </c>
      <c r="F2261">
        <v>1530</v>
      </c>
      <c r="G2261">
        <v>45</v>
      </c>
      <c r="H2261">
        <v>0</v>
      </c>
      <c r="I2261" t="s">
        <v>184</v>
      </c>
      <c r="J2261" t="s">
        <v>993</v>
      </c>
      <c r="K2261" t="s">
        <v>899</v>
      </c>
      <c r="O2261">
        <v>0</v>
      </c>
      <c r="U2261" t="s">
        <v>81</v>
      </c>
    </row>
    <row r="2262" spans="1:21" x14ac:dyDescent="0.25">
      <c r="A2262" s="33">
        <v>2266</v>
      </c>
      <c r="B2262" s="24">
        <v>44230</v>
      </c>
      <c r="C2262" t="s">
        <v>39</v>
      </c>
      <c r="D2262" t="s">
        <v>41</v>
      </c>
      <c r="E2262">
        <v>2000714219</v>
      </c>
      <c r="F2262">
        <v>800</v>
      </c>
      <c r="G2262">
        <v>100</v>
      </c>
      <c r="H2262">
        <v>0</v>
      </c>
      <c r="I2262" t="s">
        <v>184</v>
      </c>
      <c r="J2262" t="s">
        <v>990</v>
      </c>
      <c r="K2262" t="s">
        <v>638</v>
      </c>
      <c r="O2262">
        <v>0</v>
      </c>
      <c r="U2262" t="s">
        <v>81</v>
      </c>
    </row>
    <row r="2263" spans="1:21" x14ac:dyDescent="0.25">
      <c r="A2263" s="33">
        <v>2267</v>
      </c>
      <c r="B2263" s="24">
        <v>44230</v>
      </c>
      <c r="C2263" t="s">
        <v>39</v>
      </c>
      <c r="D2263" t="s">
        <v>41</v>
      </c>
      <c r="E2263">
        <v>2000714732</v>
      </c>
      <c r="F2263">
        <v>640</v>
      </c>
      <c r="G2263">
        <v>40</v>
      </c>
      <c r="H2263">
        <v>0</v>
      </c>
      <c r="I2263" t="s">
        <v>184</v>
      </c>
      <c r="J2263" t="s">
        <v>991</v>
      </c>
      <c r="K2263" t="s">
        <v>177</v>
      </c>
      <c r="O2263">
        <v>0</v>
      </c>
      <c r="T2263" s="62"/>
      <c r="U2263" t="s">
        <v>81</v>
      </c>
    </row>
    <row r="2264" spans="1:21" x14ac:dyDescent="0.25">
      <c r="A2264" s="33">
        <v>2268</v>
      </c>
      <c r="B2264" s="24">
        <v>44230</v>
      </c>
      <c r="C2264" t="s">
        <v>39</v>
      </c>
      <c r="D2264" t="s">
        <v>41</v>
      </c>
      <c r="E2264">
        <v>2000713178</v>
      </c>
      <c r="F2264">
        <v>500</v>
      </c>
      <c r="G2264">
        <v>46</v>
      </c>
      <c r="H2264">
        <v>0</v>
      </c>
      <c r="I2264" t="s">
        <v>184</v>
      </c>
      <c r="J2264" t="s">
        <v>990</v>
      </c>
      <c r="K2264" t="s">
        <v>891</v>
      </c>
      <c r="O2264">
        <v>0</v>
      </c>
      <c r="U2264" t="s">
        <v>81</v>
      </c>
    </row>
    <row r="2265" spans="1:21" x14ac:dyDescent="0.25">
      <c r="A2265" s="33">
        <v>2269</v>
      </c>
      <c r="B2265" s="24">
        <v>44230</v>
      </c>
      <c r="C2265" t="s">
        <v>39</v>
      </c>
      <c r="D2265" t="s">
        <v>41</v>
      </c>
      <c r="E2265">
        <v>2000715064</v>
      </c>
      <c r="F2265">
        <v>800</v>
      </c>
      <c r="G2265">
        <v>100</v>
      </c>
      <c r="H2265">
        <v>0</v>
      </c>
      <c r="I2265" t="s">
        <v>706</v>
      </c>
      <c r="J2265" t="s">
        <v>172</v>
      </c>
      <c r="K2265" t="s">
        <v>725</v>
      </c>
      <c r="O2265">
        <v>0</v>
      </c>
      <c r="U2265" t="s">
        <v>81</v>
      </c>
    </row>
    <row r="2266" spans="1:21" x14ac:dyDescent="0.25">
      <c r="A2266" s="33">
        <v>2270</v>
      </c>
      <c r="B2266" s="24">
        <v>44230</v>
      </c>
      <c r="C2266" t="s">
        <v>39</v>
      </c>
      <c r="D2266" t="s">
        <v>41</v>
      </c>
      <c r="E2266">
        <v>2000714121</v>
      </c>
      <c r="F2266">
        <v>1530</v>
      </c>
      <c r="G2266">
        <v>135</v>
      </c>
      <c r="H2266">
        <v>0</v>
      </c>
      <c r="I2266" t="s">
        <v>696</v>
      </c>
      <c r="J2266" t="s">
        <v>994</v>
      </c>
      <c r="K2266" t="s">
        <v>899</v>
      </c>
      <c r="O2266">
        <v>0</v>
      </c>
      <c r="U2266" t="s">
        <v>81</v>
      </c>
    </row>
    <row r="2267" spans="1:21" x14ac:dyDescent="0.25">
      <c r="A2267" s="33">
        <v>2271</v>
      </c>
      <c r="B2267" s="24">
        <v>44230</v>
      </c>
      <c r="C2267" t="s">
        <v>39</v>
      </c>
      <c r="D2267" t="s">
        <v>41</v>
      </c>
      <c r="E2267">
        <v>2000714722</v>
      </c>
      <c r="F2267">
        <v>810</v>
      </c>
      <c r="G2267">
        <v>90</v>
      </c>
      <c r="H2267">
        <v>0</v>
      </c>
      <c r="I2267" t="s">
        <v>696</v>
      </c>
      <c r="J2267" t="s">
        <v>478</v>
      </c>
      <c r="K2267" t="s">
        <v>699</v>
      </c>
      <c r="O2267">
        <v>0</v>
      </c>
      <c r="U2267" t="s">
        <v>81</v>
      </c>
    </row>
    <row r="2268" spans="1:21" x14ac:dyDescent="0.25">
      <c r="A2268" s="33">
        <v>2272</v>
      </c>
      <c r="B2268" s="24">
        <v>44230</v>
      </c>
      <c r="C2268" t="s">
        <v>39</v>
      </c>
      <c r="D2268" t="s">
        <v>41</v>
      </c>
      <c r="E2268">
        <v>2000714732</v>
      </c>
      <c r="F2268">
        <v>640</v>
      </c>
      <c r="G2268">
        <v>320</v>
      </c>
      <c r="H2268">
        <v>0</v>
      </c>
      <c r="I2268" t="s">
        <v>183</v>
      </c>
      <c r="J2268" t="s">
        <v>457</v>
      </c>
      <c r="K2268" t="s">
        <v>177</v>
      </c>
      <c r="O2268">
        <v>0</v>
      </c>
      <c r="U2268" t="s">
        <v>81</v>
      </c>
    </row>
    <row r="2269" spans="1:21" x14ac:dyDescent="0.25">
      <c r="A2269" s="33">
        <v>2273</v>
      </c>
      <c r="B2269" s="24">
        <v>44230</v>
      </c>
      <c r="C2269" t="s">
        <v>39</v>
      </c>
      <c r="D2269" t="s">
        <v>41</v>
      </c>
      <c r="E2269">
        <v>2000715331</v>
      </c>
      <c r="F2269">
        <v>200</v>
      </c>
      <c r="G2269">
        <v>54</v>
      </c>
      <c r="H2269">
        <v>0</v>
      </c>
      <c r="I2269" t="s">
        <v>183</v>
      </c>
      <c r="J2269" t="s">
        <v>457</v>
      </c>
      <c r="K2269" t="s">
        <v>931</v>
      </c>
      <c r="O2269">
        <v>0</v>
      </c>
      <c r="U2269" t="s">
        <v>81</v>
      </c>
    </row>
    <row r="2270" spans="1:21" x14ac:dyDescent="0.25">
      <c r="A2270" s="33">
        <v>2274</v>
      </c>
      <c r="B2270" s="24">
        <v>44230</v>
      </c>
      <c r="C2270" t="s">
        <v>39</v>
      </c>
      <c r="D2270" t="s">
        <v>41</v>
      </c>
      <c r="E2270">
        <v>2000714219</v>
      </c>
      <c r="F2270">
        <v>800</v>
      </c>
      <c r="G2270">
        <v>30</v>
      </c>
      <c r="H2270">
        <v>0</v>
      </c>
      <c r="I2270" t="s">
        <v>183</v>
      </c>
      <c r="J2270" t="s">
        <v>990</v>
      </c>
      <c r="K2270" t="s">
        <v>638</v>
      </c>
      <c r="O2270">
        <v>0</v>
      </c>
      <c r="U2270" t="s">
        <v>81</v>
      </c>
    </row>
    <row r="2271" spans="1:21" x14ac:dyDescent="0.25">
      <c r="A2271" s="33">
        <v>2275</v>
      </c>
      <c r="B2271" s="24">
        <v>44230</v>
      </c>
      <c r="C2271" t="s">
        <v>39</v>
      </c>
      <c r="D2271" t="s">
        <v>41</v>
      </c>
      <c r="E2271">
        <v>2000715232</v>
      </c>
      <c r="F2271">
        <v>1600</v>
      </c>
      <c r="G2271">
        <v>150</v>
      </c>
      <c r="H2271">
        <v>0</v>
      </c>
      <c r="I2271" t="s">
        <v>183</v>
      </c>
      <c r="J2271" t="s">
        <v>193</v>
      </c>
      <c r="K2271" t="s">
        <v>176</v>
      </c>
      <c r="O2271">
        <v>0</v>
      </c>
      <c r="U2271" t="s">
        <v>81</v>
      </c>
    </row>
    <row r="2272" spans="1:21" x14ac:dyDescent="0.25">
      <c r="A2272" s="33">
        <v>2276</v>
      </c>
      <c r="B2272" s="24">
        <v>44230</v>
      </c>
      <c r="C2272" t="s">
        <v>39</v>
      </c>
      <c r="D2272" t="s">
        <v>41</v>
      </c>
      <c r="E2272">
        <v>2000715085</v>
      </c>
      <c r="F2272">
        <v>2180</v>
      </c>
      <c r="G2272">
        <v>150</v>
      </c>
      <c r="H2272">
        <v>0</v>
      </c>
      <c r="I2272" t="s">
        <v>183</v>
      </c>
      <c r="J2272" t="s">
        <v>992</v>
      </c>
      <c r="K2272" t="s">
        <v>658</v>
      </c>
      <c r="O2272">
        <v>0</v>
      </c>
      <c r="U2272" t="s">
        <v>81</v>
      </c>
    </row>
    <row r="2273" spans="1:21" x14ac:dyDescent="0.25">
      <c r="A2273" s="33">
        <v>2277</v>
      </c>
      <c r="B2273" s="24">
        <v>44230</v>
      </c>
      <c r="C2273" t="s">
        <v>39</v>
      </c>
      <c r="D2273" t="s">
        <v>41</v>
      </c>
      <c r="E2273">
        <v>2000714121</v>
      </c>
      <c r="F2273">
        <v>1530</v>
      </c>
      <c r="G2273">
        <v>45</v>
      </c>
      <c r="H2273">
        <v>0</v>
      </c>
      <c r="I2273" t="s">
        <v>693</v>
      </c>
      <c r="J2273" t="s">
        <v>170</v>
      </c>
      <c r="K2273" t="s">
        <v>899</v>
      </c>
      <c r="O2273">
        <v>0</v>
      </c>
      <c r="U2273" t="s">
        <v>81</v>
      </c>
    </row>
    <row r="2274" spans="1:21" x14ac:dyDescent="0.25">
      <c r="A2274" s="33">
        <v>2278</v>
      </c>
      <c r="B2274" s="24">
        <v>44230</v>
      </c>
      <c r="C2274" t="s">
        <v>39</v>
      </c>
      <c r="D2274" t="s">
        <v>41</v>
      </c>
      <c r="E2274">
        <v>2000714722</v>
      </c>
      <c r="F2274">
        <v>810</v>
      </c>
      <c r="G2274">
        <v>463</v>
      </c>
      <c r="H2274">
        <v>0</v>
      </c>
      <c r="I2274" t="s">
        <v>693</v>
      </c>
      <c r="J2274" t="s">
        <v>698</v>
      </c>
      <c r="K2274" t="s">
        <v>699</v>
      </c>
      <c r="O2274">
        <v>0</v>
      </c>
      <c r="U2274" t="s">
        <v>81</v>
      </c>
    </row>
    <row r="2275" spans="1:21" x14ac:dyDescent="0.25">
      <c r="A2275" s="33">
        <v>2279</v>
      </c>
      <c r="B2275" s="24">
        <v>44230</v>
      </c>
      <c r="C2275" t="s">
        <v>39</v>
      </c>
      <c r="D2275" t="s">
        <v>41</v>
      </c>
      <c r="E2275">
        <v>2000713522</v>
      </c>
      <c r="F2275">
        <v>4210</v>
      </c>
      <c r="G2275">
        <v>80</v>
      </c>
      <c r="H2275">
        <v>0</v>
      </c>
      <c r="I2275" t="s">
        <v>693</v>
      </c>
      <c r="J2275" t="s">
        <v>199</v>
      </c>
      <c r="K2275" t="s">
        <v>660</v>
      </c>
      <c r="O2275">
        <v>0</v>
      </c>
      <c r="U2275" t="s">
        <v>81</v>
      </c>
    </row>
    <row r="2276" spans="1:21" x14ac:dyDescent="0.25">
      <c r="A2276" s="33">
        <v>2280</v>
      </c>
      <c r="B2276" s="24">
        <v>44230</v>
      </c>
      <c r="C2276" t="s">
        <v>39</v>
      </c>
      <c r="D2276" t="s">
        <v>41</v>
      </c>
      <c r="E2276">
        <v>2000714732</v>
      </c>
      <c r="F2276">
        <v>640</v>
      </c>
      <c r="G2276">
        <v>77</v>
      </c>
      <c r="H2276">
        <v>0</v>
      </c>
      <c r="I2276" t="s">
        <v>198</v>
      </c>
      <c r="J2276" t="s">
        <v>457</v>
      </c>
      <c r="K2276" t="s">
        <v>177</v>
      </c>
      <c r="O2276">
        <v>0</v>
      </c>
      <c r="U2276" t="s">
        <v>81</v>
      </c>
    </row>
    <row r="2277" spans="1:21" x14ac:dyDescent="0.25">
      <c r="A2277" s="33">
        <v>2281</v>
      </c>
      <c r="B2277" s="24">
        <v>44230</v>
      </c>
      <c r="C2277" t="s">
        <v>39</v>
      </c>
      <c r="D2277" t="s">
        <v>41</v>
      </c>
      <c r="E2277">
        <v>2000714219</v>
      </c>
      <c r="F2277">
        <v>800</v>
      </c>
      <c r="G2277">
        <v>60</v>
      </c>
      <c r="H2277">
        <v>0</v>
      </c>
      <c r="I2277" t="s">
        <v>198</v>
      </c>
      <c r="J2277" t="s">
        <v>990</v>
      </c>
      <c r="K2277" t="s">
        <v>638</v>
      </c>
      <c r="O2277">
        <v>0</v>
      </c>
      <c r="U2277" t="s">
        <v>81</v>
      </c>
    </row>
    <row r="2278" spans="1:21" x14ac:dyDescent="0.25">
      <c r="A2278" s="33">
        <v>2282</v>
      </c>
      <c r="B2278" s="24">
        <v>44230</v>
      </c>
      <c r="C2278" t="s">
        <v>39</v>
      </c>
      <c r="D2278" t="s">
        <v>41</v>
      </c>
      <c r="E2278">
        <v>2000713178</v>
      </c>
      <c r="F2278">
        <v>500</v>
      </c>
      <c r="G2278">
        <v>20</v>
      </c>
      <c r="H2278">
        <v>0</v>
      </c>
      <c r="I2278" t="s">
        <v>198</v>
      </c>
      <c r="J2278" t="s">
        <v>990</v>
      </c>
      <c r="K2278" t="s">
        <v>891</v>
      </c>
      <c r="O2278">
        <v>0</v>
      </c>
      <c r="U2278" t="s">
        <v>81</v>
      </c>
    </row>
    <row r="2279" spans="1:21" x14ac:dyDescent="0.25">
      <c r="A2279" s="33">
        <v>2283</v>
      </c>
      <c r="B2279" s="24">
        <v>44230</v>
      </c>
      <c r="C2279" t="s">
        <v>39</v>
      </c>
      <c r="D2279" t="s">
        <v>41</v>
      </c>
      <c r="E2279">
        <v>2000713551</v>
      </c>
      <c r="F2279">
        <v>206</v>
      </c>
      <c r="G2279">
        <v>1</v>
      </c>
      <c r="H2279">
        <v>0</v>
      </c>
      <c r="I2279" t="s">
        <v>198</v>
      </c>
      <c r="J2279" t="s">
        <v>745</v>
      </c>
      <c r="K2279" t="s">
        <v>836</v>
      </c>
      <c r="O2279">
        <v>0</v>
      </c>
      <c r="U2279" t="s">
        <v>81</v>
      </c>
    </row>
    <row r="2280" spans="1:21" x14ac:dyDescent="0.25">
      <c r="A2280" s="33">
        <v>2284</v>
      </c>
      <c r="B2280" s="24">
        <v>44230</v>
      </c>
      <c r="C2280" t="s">
        <v>39</v>
      </c>
      <c r="D2280" t="s">
        <v>41</v>
      </c>
      <c r="E2280">
        <v>2000715196</v>
      </c>
      <c r="F2280">
        <v>6600</v>
      </c>
      <c r="G2280">
        <v>150</v>
      </c>
      <c r="H2280">
        <v>0</v>
      </c>
      <c r="I2280" t="s">
        <v>198</v>
      </c>
      <c r="J2280" t="s">
        <v>995</v>
      </c>
      <c r="K2280" t="s">
        <v>737</v>
      </c>
      <c r="O2280">
        <v>0</v>
      </c>
      <c r="U2280" t="s">
        <v>81</v>
      </c>
    </row>
    <row r="2281" spans="1:21" x14ac:dyDescent="0.25">
      <c r="A2281" s="33">
        <v>2285</v>
      </c>
      <c r="B2281" s="24">
        <v>44230</v>
      </c>
      <c r="C2281" t="s">
        <v>39</v>
      </c>
      <c r="D2281" t="s">
        <v>41</v>
      </c>
      <c r="E2281">
        <v>2000715233</v>
      </c>
      <c r="F2281">
        <v>1600</v>
      </c>
      <c r="G2281">
        <v>150</v>
      </c>
      <c r="H2281">
        <v>0</v>
      </c>
      <c r="I2281" t="s">
        <v>198</v>
      </c>
      <c r="J2281" t="s">
        <v>193</v>
      </c>
      <c r="K2281" t="s">
        <v>683</v>
      </c>
      <c r="O2281">
        <v>0</v>
      </c>
      <c r="U2281" t="s">
        <v>81</v>
      </c>
    </row>
    <row r="2282" spans="1:21" x14ac:dyDescent="0.25">
      <c r="A2282" s="33">
        <v>2286</v>
      </c>
      <c r="B2282" s="24">
        <v>44230</v>
      </c>
      <c r="C2282" t="s">
        <v>39</v>
      </c>
      <c r="D2282" t="s">
        <v>51</v>
      </c>
      <c r="E2282">
        <v>2000714911</v>
      </c>
      <c r="F2282">
        <v>140</v>
      </c>
      <c r="G2282">
        <v>35</v>
      </c>
      <c r="H2282">
        <v>0</v>
      </c>
      <c r="I2282" t="s">
        <v>184</v>
      </c>
      <c r="J2282" t="s">
        <v>996</v>
      </c>
      <c r="K2282" t="s">
        <v>882</v>
      </c>
      <c r="O2282">
        <v>0</v>
      </c>
      <c r="U2282" t="s">
        <v>81</v>
      </c>
    </row>
    <row r="2283" spans="1:21" x14ac:dyDescent="0.25">
      <c r="A2283" s="33">
        <v>2287</v>
      </c>
      <c r="B2283" s="24">
        <v>44230</v>
      </c>
      <c r="C2283" t="s">
        <v>39</v>
      </c>
      <c r="D2283" t="s">
        <v>51</v>
      </c>
      <c r="E2283">
        <v>2000713666</v>
      </c>
      <c r="F2283">
        <v>620</v>
      </c>
      <c r="G2283">
        <v>620</v>
      </c>
      <c r="H2283">
        <v>0</v>
      </c>
      <c r="I2283" t="s">
        <v>184</v>
      </c>
      <c r="J2283" t="s">
        <v>678</v>
      </c>
      <c r="K2283" t="s">
        <v>679</v>
      </c>
      <c r="O2283">
        <v>0</v>
      </c>
      <c r="U2283" t="s">
        <v>81</v>
      </c>
    </row>
    <row r="2284" spans="1:21" x14ac:dyDescent="0.25">
      <c r="A2284" s="33">
        <v>2288</v>
      </c>
      <c r="B2284" s="24">
        <v>44257</v>
      </c>
      <c r="C2284" t="s">
        <v>39</v>
      </c>
      <c r="D2284" t="s">
        <v>41</v>
      </c>
      <c r="E2284">
        <v>2000714130</v>
      </c>
      <c r="F2284">
        <v>920</v>
      </c>
      <c r="G2284">
        <v>8</v>
      </c>
      <c r="H2284">
        <v>0</v>
      </c>
      <c r="I2284" t="s">
        <v>168</v>
      </c>
      <c r="J2284" t="s">
        <v>745</v>
      </c>
      <c r="K2284" t="s">
        <v>746</v>
      </c>
      <c r="O2284">
        <v>0</v>
      </c>
      <c r="U2284" t="s">
        <v>81</v>
      </c>
    </row>
    <row r="2285" spans="1:21" x14ac:dyDescent="0.25">
      <c r="A2285" s="33">
        <v>2289</v>
      </c>
      <c r="B2285" s="24">
        <v>44257</v>
      </c>
      <c r="C2285" t="s">
        <v>39</v>
      </c>
      <c r="D2285" t="s">
        <v>41</v>
      </c>
      <c r="E2285">
        <v>2000715236</v>
      </c>
      <c r="F2285">
        <v>1600</v>
      </c>
      <c r="G2285">
        <v>240</v>
      </c>
      <c r="H2285">
        <v>0</v>
      </c>
      <c r="I2285" t="s">
        <v>168</v>
      </c>
      <c r="J2285" t="s">
        <v>193</v>
      </c>
      <c r="K2285" t="s">
        <v>647</v>
      </c>
      <c r="O2285">
        <v>0</v>
      </c>
      <c r="U2285" t="s">
        <v>81</v>
      </c>
    </row>
    <row r="2286" spans="1:21" x14ac:dyDescent="0.25">
      <c r="A2286" s="33">
        <v>2290</v>
      </c>
      <c r="B2286" s="24">
        <v>44257</v>
      </c>
      <c r="C2286" t="s">
        <v>39</v>
      </c>
      <c r="D2286" t="s">
        <v>41</v>
      </c>
      <c r="E2286">
        <v>2000714807</v>
      </c>
      <c r="F2286">
        <v>140</v>
      </c>
      <c r="G2286">
        <v>139</v>
      </c>
      <c r="H2286">
        <v>0</v>
      </c>
      <c r="I2286" t="s">
        <v>168</v>
      </c>
      <c r="J2286" t="s">
        <v>997</v>
      </c>
      <c r="K2286" t="s">
        <v>720</v>
      </c>
      <c r="O2286">
        <v>0</v>
      </c>
      <c r="U2286" t="s">
        <v>81</v>
      </c>
    </row>
    <row r="2287" spans="1:21" x14ac:dyDescent="0.25">
      <c r="A2287" s="33">
        <v>2291</v>
      </c>
      <c r="B2287" s="24">
        <v>44257</v>
      </c>
      <c r="C2287" t="s">
        <v>39</v>
      </c>
      <c r="D2287" t="s">
        <v>41</v>
      </c>
      <c r="E2287">
        <v>2000715176</v>
      </c>
      <c r="F2287">
        <v>1390</v>
      </c>
      <c r="G2287">
        <v>60</v>
      </c>
      <c r="H2287">
        <v>0</v>
      </c>
      <c r="I2287" t="s">
        <v>168</v>
      </c>
      <c r="J2287" t="s">
        <v>998</v>
      </c>
      <c r="K2287" t="s">
        <v>765</v>
      </c>
      <c r="O2287">
        <v>0</v>
      </c>
      <c r="U2287" t="s">
        <v>81</v>
      </c>
    </row>
    <row r="2288" spans="1:21" x14ac:dyDescent="0.25">
      <c r="A2288" s="33">
        <v>2292</v>
      </c>
      <c r="B2288" s="24">
        <v>44257</v>
      </c>
      <c r="C2288" t="s">
        <v>39</v>
      </c>
      <c r="D2288" t="s">
        <v>41</v>
      </c>
      <c r="E2288">
        <v>2000715712</v>
      </c>
      <c r="F2288">
        <v>1220</v>
      </c>
      <c r="G2288">
        <v>40</v>
      </c>
      <c r="H2288">
        <v>0</v>
      </c>
      <c r="I2288" t="s">
        <v>168</v>
      </c>
      <c r="J2288" t="s">
        <v>999</v>
      </c>
      <c r="K2288" t="s">
        <v>663</v>
      </c>
      <c r="O2288">
        <v>0</v>
      </c>
      <c r="U2288" t="s">
        <v>81</v>
      </c>
    </row>
    <row r="2289" spans="1:21" x14ac:dyDescent="0.25">
      <c r="A2289" s="33">
        <v>2293</v>
      </c>
      <c r="B2289" s="24">
        <v>44257</v>
      </c>
      <c r="C2289" t="s">
        <v>39</v>
      </c>
      <c r="D2289" t="s">
        <v>41</v>
      </c>
      <c r="E2289">
        <v>2000715388</v>
      </c>
      <c r="F2289">
        <v>900</v>
      </c>
      <c r="G2289">
        <v>20</v>
      </c>
      <c r="H2289">
        <v>0</v>
      </c>
      <c r="I2289" t="s">
        <v>184</v>
      </c>
      <c r="J2289" t="s">
        <v>651</v>
      </c>
      <c r="K2289" t="s">
        <v>663</v>
      </c>
      <c r="O2289">
        <v>0</v>
      </c>
      <c r="U2289" t="s">
        <v>81</v>
      </c>
    </row>
    <row r="2290" spans="1:21" x14ac:dyDescent="0.25">
      <c r="A2290" s="33">
        <v>2294</v>
      </c>
      <c r="B2290" s="24">
        <v>44257</v>
      </c>
      <c r="C2290" t="s">
        <v>39</v>
      </c>
      <c r="D2290" t="s">
        <v>41</v>
      </c>
      <c r="E2290">
        <v>2000715712</v>
      </c>
      <c r="F2290">
        <v>1220</v>
      </c>
      <c r="G2290">
        <v>140</v>
      </c>
      <c r="H2290">
        <v>0</v>
      </c>
      <c r="I2290" t="s">
        <v>184</v>
      </c>
      <c r="J2290" t="s">
        <v>651</v>
      </c>
      <c r="K2290" t="s">
        <v>663</v>
      </c>
      <c r="O2290">
        <v>0</v>
      </c>
      <c r="U2290" t="s">
        <v>81</v>
      </c>
    </row>
    <row r="2291" spans="1:21" x14ac:dyDescent="0.25">
      <c r="A2291" s="33">
        <v>2295</v>
      </c>
      <c r="B2291" s="24">
        <v>44257</v>
      </c>
      <c r="C2291" t="s">
        <v>39</v>
      </c>
      <c r="D2291" t="s">
        <v>41</v>
      </c>
      <c r="E2291">
        <v>2000715236</v>
      </c>
      <c r="F2291">
        <v>1600</v>
      </c>
      <c r="G2291">
        <v>160</v>
      </c>
      <c r="H2291">
        <v>0</v>
      </c>
      <c r="I2291" t="s">
        <v>184</v>
      </c>
      <c r="J2291" t="s">
        <v>1000</v>
      </c>
      <c r="K2291" t="s">
        <v>647</v>
      </c>
      <c r="O2291">
        <v>0</v>
      </c>
      <c r="U2291" t="s">
        <v>81</v>
      </c>
    </row>
    <row r="2292" spans="1:21" x14ac:dyDescent="0.25">
      <c r="A2292" s="33">
        <v>2296</v>
      </c>
      <c r="B2292" s="24">
        <v>44257</v>
      </c>
      <c r="C2292" t="s">
        <v>39</v>
      </c>
      <c r="D2292" t="s">
        <v>41</v>
      </c>
      <c r="E2292">
        <v>2000715419</v>
      </c>
      <c r="F2292">
        <v>1600</v>
      </c>
      <c r="G2292">
        <v>160</v>
      </c>
      <c r="H2292">
        <v>0</v>
      </c>
      <c r="I2292" t="s">
        <v>184</v>
      </c>
      <c r="J2292" t="s">
        <v>1000</v>
      </c>
      <c r="K2292" t="s">
        <v>647</v>
      </c>
      <c r="O2292">
        <v>0</v>
      </c>
      <c r="U2292" t="s">
        <v>81</v>
      </c>
    </row>
    <row r="2293" spans="1:21" x14ac:dyDescent="0.25">
      <c r="A2293" s="33">
        <v>2297</v>
      </c>
      <c r="B2293" s="24">
        <v>44257</v>
      </c>
      <c r="C2293" t="s">
        <v>39</v>
      </c>
      <c r="D2293" t="s">
        <v>41</v>
      </c>
      <c r="E2293">
        <v>2000715572</v>
      </c>
      <c r="F2293">
        <v>680</v>
      </c>
      <c r="G2293">
        <v>424</v>
      </c>
      <c r="H2293">
        <v>0</v>
      </c>
      <c r="I2293" t="s">
        <v>706</v>
      </c>
      <c r="J2293" t="s">
        <v>987</v>
      </c>
      <c r="K2293" t="s">
        <v>690</v>
      </c>
      <c r="O2293">
        <v>0</v>
      </c>
      <c r="U2293" t="s">
        <v>81</v>
      </c>
    </row>
    <row r="2294" spans="1:21" x14ac:dyDescent="0.25">
      <c r="A2294" s="33">
        <v>2298</v>
      </c>
      <c r="B2294" s="24">
        <v>44257</v>
      </c>
      <c r="C2294" t="s">
        <v>39</v>
      </c>
      <c r="D2294" t="s">
        <v>41</v>
      </c>
      <c r="E2294">
        <v>2000715419</v>
      </c>
      <c r="F2294">
        <v>1600</v>
      </c>
      <c r="G2294">
        <v>60</v>
      </c>
      <c r="H2294">
        <v>0</v>
      </c>
      <c r="I2294" t="s">
        <v>706</v>
      </c>
      <c r="J2294" t="s">
        <v>1001</v>
      </c>
      <c r="K2294" t="s">
        <v>647</v>
      </c>
      <c r="O2294">
        <v>0</v>
      </c>
      <c r="U2294" t="s">
        <v>81</v>
      </c>
    </row>
    <row r="2295" spans="1:21" x14ac:dyDescent="0.25">
      <c r="A2295" s="33">
        <v>2299</v>
      </c>
      <c r="B2295" s="24">
        <v>44257</v>
      </c>
      <c r="C2295" t="s">
        <v>39</v>
      </c>
      <c r="D2295" t="s">
        <v>41</v>
      </c>
      <c r="E2295">
        <v>2000715176</v>
      </c>
      <c r="F2295">
        <v>1390</v>
      </c>
      <c r="G2295">
        <v>140</v>
      </c>
      <c r="H2295">
        <v>0</v>
      </c>
      <c r="I2295" t="s">
        <v>706</v>
      </c>
      <c r="J2295" t="s">
        <v>998</v>
      </c>
      <c r="K2295" t="s">
        <v>765</v>
      </c>
      <c r="O2295">
        <v>0</v>
      </c>
      <c r="U2295" t="s">
        <v>81</v>
      </c>
    </row>
    <row r="2296" spans="1:21" x14ac:dyDescent="0.25">
      <c r="A2296" s="33">
        <v>2300</v>
      </c>
      <c r="B2296" s="24">
        <v>44257</v>
      </c>
      <c r="C2296" t="s">
        <v>39</v>
      </c>
      <c r="D2296" t="s">
        <v>41</v>
      </c>
      <c r="E2296">
        <v>2000714573</v>
      </c>
      <c r="F2296">
        <v>1776</v>
      </c>
      <c r="G2296">
        <v>224</v>
      </c>
      <c r="H2296">
        <v>0</v>
      </c>
      <c r="I2296" t="s">
        <v>666</v>
      </c>
      <c r="J2296" t="s">
        <v>990</v>
      </c>
      <c r="K2296" t="s">
        <v>788</v>
      </c>
      <c r="O2296">
        <v>0</v>
      </c>
      <c r="U2296" t="s">
        <v>81</v>
      </c>
    </row>
    <row r="2297" spans="1:21" x14ac:dyDescent="0.25">
      <c r="A2297" s="33">
        <v>2301</v>
      </c>
      <c r="B2297" s="24">
        <v>44257</v>
      </c>
      <c r="C2297" t="s">
        <v>39</v>
      </c>
      <c r="D2297" t="s">
        <v>41</v>
      </c>
      <c r="E2297">
        <v>2000715572</v>
      </c>
      <c r="F2297">
        <v>680</v>
      </c>
      <c r="G2297">
        <v>220</v>
      </c>
      <c r="H2297">
        <v>0</v>
      </c>
      <c r="I2297" t="s">
        <v>666</v>
      </c>
      <c r="J2297" t="s">
        <v>987</v>
      </c>
      <c r="K2297" t="s">
        <v>690</v>
      </c>
      <c r="O2297">
        <v>0</v>
      </c>
      <c r="U2297" t="s">
        <v>81</v>
      </c>
    </row>
    <row r="2298" spans="1:21" x14ac:dyDescent="0.25">
      <c r="A2298" s="33">
        <v>2302</v>
      </c>
      <c r="B2298" s="24">
        <v>44257</v>
      </c>
      <c r="C2298" t="s">
        <v>39</v>
      </c>
      <c r="D2298" t="s">
        <v>41</v>
      </c>
      <c r="E2298">
        <v>2000714681</v>
      </c>
      <c r="F2298">
        <v>5360</v>
      </c>
      <c r="G2298">
        <v>320</v>
      </c>
      <c r="H2298">
        <v>0</v>
      </c>
      <c r="I2298" t="s">
        <v>666</v>
      </c>
      <c r="J2298" t="s">
        <v>995</v>
      </c>
      <c r="K2298" t="s">
        <v>653</v>
      </c>
      <c r="O2298">
        <v>0</v>
      </c>
      <c r="U2298" t="s">
        <v>81</v>
      </c>
    </row>
    <row r="2299" spans="1:21" x14ac:dyDescent="0.25">
      <c r="A2299" s="33">
        <v>2303</v>
      </c>
      <c r="B2299" s="24">
        <v>44257</v>
      </c>
      <c r="C2299" t="s">
        <v>39</v>
      </c>
      <c r="D2299" t="s">
        <v>41</v>
      </c>
      <c r="E2299">
        <v>2000714681</v>
      </c>
      <c r="F2299">
        <v>5360</v>
      </c>
      <c r="G2299">
        <v>200</v>
      </c>
      <c r="H2299">
        <v>0</v>
      </c>
      <c r="I2299" t="s">
        <v>666</v>
      </c>
      <c r="J2299" t="s">
        <v>995</v>
      </c>
      <c r="K2299" t="s">
        <v>653</v>
      </c>
      <c r="O2299">
        <v>0</v>
      </c>
      <c r="U2299" t="s">
        <v>81</v>
      </c>
    </row>
    <row r="2300" spans="1:21" x14ac:dyDescent="0.25">
      <c r="A2300" s="33">
        <v>2304</v>
      </c>
      <c r="B2300" s="24">
        <v>44257</v>
      </c>
      <c r="C2300" t="s">
        <v>39</v>
      </c>
      <c r="D2300" t="s">
        <v>41</v>
      </c>
      <c r="E2300">
        <v>2000713862</v>
      </c>
      <c r="F2300">
        <v>2640</v>
      </c>
      <c r="G2300">
        <v>180</v>
      </c>
      <c r="H2300">
        <v>0</v>
      </c>
      <c r="I2300" t="s">
        <v>178</v>
      </c>
      <c r="J2300" t="s">
        <v>990</v>
      </c>
      <c r="K2300" t="s">
        <v>640</v>
      </c>
      <c r="O2300">
        <v>0</v>
      </c>
      <c r="U2300" t="s">
        <v>81</v>
      </c>
    </row>
    <row r="2301" spans="1:21" x14ac:dyDescent="0.25">
      <c r="A2301" s="33">
        <v>2305</v>
      </c>
      <c r="B2301" s="24">
        <v>44257</v>
      </c>
      <c r="C2301" t="s">
        <v>39</v>
      </c>
      <c r="D2301" t="s">
        <v>41</v>
      </c>
      <c r="E2301">
        <v>2000714677</v>
      </c>
      <c r="F2301">
        <v>190</v>
      </c>
      <c r="G2301">
        <v>190</v>
      </c>
      <c r="H2301">
        <v>0</v>
      </c>
      <c r="I2301" t="s">
        <v>178</v>
      </c>
      <c r="J2301" t="s">
        <v>990</v>
      </c>
      <c r="K2301" t="s">
        <v>638</v>
      </c>
      <c r="O2301">
        <v>0</v>
      </c>
      <c r="U2301" t="s">
        <v>81</v>
      </c>
    </row>
    <row r="2302" spans="1:21" x14ac:dyDescent="0.25">
      <c r="A2302" s="33">
        <v>2306</v>
      </c>
      <c r="B2302" s="24">
        <v>44257</v>
      </c>
      <c r="C2302" t="s">
        <v>39</v>
      </c>
      <c r="D2302" t="s">
        <v>41</v>
      </c>
      <c r="E2302">
        <v>2000714527</v>
      </c>
      <c r="F2302">
        <v>2100</v>
      </c>
      <c r="G2302">
        <v>30</v>
      </c>
      <c r="H2302">
        <v>0</v>
      </c>
      <c r="I2302" t="s">
        <v>178</v>
      </c>
      <c r="J2302" t="s">
        <v>169</v>
      </c>
      <c r="K2302" t="s">
        <v>179</v>
      </c>
      <c r="O2302">
        <v>0</v>
      </c>
      <c r="U2302" t="s">
        <v>81</v>
      </c>
    </row>
    <row r="2303" spans="1:21" x14ac:dyDescent="0.25">
      <c r="A2303" s="33">
        <v>2307</v>
      </c>
      <c r="B2303" s="24">
        <v>44257</v>
      </c>
      <c r="C2303" t="s">
        <v>39</v>
      </c>
      <c r="D2303" t="s">
        <v>41</v>
      </c>
      <c r="E2303">
        <v>2000712447</v>
      </c>
      <c r="F2303">
        <v>882</v>
      </c>
      <c r="G2303">
        <v>406</v>
      </c>
      <c r="H2303">
        <v>0</v>
      </c>
      <c r="I2303" t="s">
        <v>183</v>
      </c>
      <c r="J2303" t="s">
        <v>745</v>
      </c>
      <c r="K2303" t="s">
        <v>857</v>
      </c>
      <c r="O2303">
        <v>0</v>
      </c>
      <c r="U2303" t="s">
        <v>81</v>
      </c>
    </row>
    <row r="2304" spans="1:21" x14ac:dyDescent="0.25">
      <c r="A2304" s="33">
        <v>2308</v>
      </c>
      <c r="B2304" s="24">
        <v>44257</v>
      </c>
      <c r="C2304" t="s">
        <v>39</v>
      </c>
      <c r="D2304" t="s">
        <v>41</v>
      </c>
      <c r="E2304">
        <v>2000715388</v>
      </c>
      <c r="F2304">
        <v>900</v>
      </c>
      <c r="G2304">
        <v>20</v>
      </c>
      <c r="H2304">
        <v>0</v>
      </c>
      <c r="I2304" t="s">
        <v>183</v>
      </c>
      <c r="J2304" t="s">
        <v>169</v>
      </c>
      <c r="K2304" t="s">
        <v>663</v>
      </c>
      <c r="O2304">
        <v>0</v>
      </c>
      <c r="U2304" t="s">
        <v>81</v>
      </c>
    </row>
    <row r="2305" spans="1:21" x14ac:dyDescent="0.25">
      <c r="A2305" s="33">
        <v>2309</v>
      </c>
      <c r="B2305" s="24">
        <v>44257</v>
      </c>
      <c r="C2305" t="s">
        <v>39</v>
      </c>
      <c r="D2305" t="s">
        <v>41</v>
      </c>
      <c r="E2305">
        <v>2000715712</v>
      </c>
      <c r="F2305">
        <v>1220</v>
      </c>
      <c r="G2305">
        <v>600</v>
      </c>
      <c r="H2305">
        <v>0</v>
      </c>
      <c r="I2305" t="s">
        <v>183</v>
      </c>
      <c r="J2305" t="s">
        <v>169</v>
      </c>
      <c r="K2305" t="s">
        <v>663</v>
      </c>
      <c r="O2305">
        <v>0</v>
      </c>
      <c r="U2305" t="s">
        <v>81</v>
      </c>
    </row>
    <row r="2306" spans="1:21" x14ac:dyDescent="0.25">
      <c r="A2306" s="33">
        <v>2310</v>
      </c>
      <c r="B2306" s="24">
        <v>44257</v>
      </c>
      <c r="C2306" t="s">
        <v>39</v>
      </c>
      <c r="D2306" t="s">
        <v>41</v>
      </c>
      <c r="E2306">
        <v>2000713862</v>
      </c>
      <c r="F2306">
        <v>2640</v>
      </c>
      <c r="G2306">
        <v>132</v>
      </c>
      <c r="H2306">
        <v>0</v>
      </c>
      <c r="I2306" t="s">
        <v>693</v>
      </c>
      <c r="J2306" t="s">
        <v>990</v>
      </c>
      <c r="K2306" t="s">
        <v>640</v>
      </c>
      <c r="O2306">
        <v>0</v>
      </c>
      <c r="U2306" t="s">
        <v>81</v>
      </c>
    </row>
    <row r="2307" spans="1:21" x14ac:dyDescent="0.25">
      <c r="A2307" s="33">
        <v>2311</v>
      </c>
      <c r="B2307" s="24">
        <v>44257</v>
      </c>
      <c r="C2307" t="s">
        <v>39</v>
      </c>
      <c r="D2307" t="s">
        <v>41</v>
      </c>
      <c r="E2307">
        <v>2000715236</v>
      </c>
      <c r="F2307">
        <v>1600</v>
      </c>
      <c r="G2307">
        <v>80</v>
      </c>
      <c r="H2307">
        <v>0</v>
      </c>
      <c r="I2307" t="s">
        <v>693</v>
      </c>
      <c r="J2307" t="s">
        <v>193</v>
      </c>
      <c r="K2307" t="s">
        <v>647</v>
      </c>
      <c r="O2307">
        <v>0</v>
      </c>
      <c r="U2307" t="s">
        <v>81</v>
      </c>
    </row>
    <row r="2308" spans="1:21" x14ac:dyDescent="0.25">
      <c r="A2308" s="33">
        <v>2312</v>
      </c>
      <c r="B2308" s="24">
        <v>44257</v>
      </c>
      <c r="C2308" t="s">
        <v>39</v>
      </c>
      <c r="D2308" t="s">
        <v>41</v>
      </c>
      <c r="E2308">
        <v>2000715419</v>
      </c>
      <c r="F2308">
        <v>1600</v>
      </c>
      <c r="G2308">
        <v>100</v>
      </c>
      <c r="H2308">
        <v>0</v>
      </c>
      <c r="I2308" t="s">
        <v>693</v>
      </c>
      <c r="J2308" t="s">
        <v>193</v>
      </c>
      <c r="K2308" t="s">
        <v>647</v>
      </c>
      <c r="O2308">
        <v>0</v>
      </c>
      <c r="U2308" t="s">
        <v>81</v>
      </c>
    </row>
    <row r="2309" spans="1:21" x14ac:dyDescent="0.25">
      <c r="A2309" s="33">
        <v>2313</v>
      </c>
      <c r="B2309" s="24">
        <v>44257</v>
      </c>
      <c r="C2309" t="s">
        <v>39</v>
      </c>
      <c r="D2309" t="s">
        <v>41</v>
      </c>
      <c r="E2309">
        <v>2000713862</v>
      </c>
      <c r="F2309">
        <v>2640</v>
      </c>
      <c r="G2309">
        <v>60</v>
      </c>
      <c r="H2309">
        <v>0</v>
      </c>
      <c r="I2309" t="s">
        <v>191</v>
      </c>
      <c r="J2309" t="s">
        <v>203</v>
      </c>
      <c r="K2309" t="s">
        <v>640</v>
      </c>
      <c r="O2309">
        <v>0</v>
      </c>
      <c r="U2309" t="s">
        <v>81</v>
      </c>
    </row>
    <row r="2310" spans="1:21" x14ac:dyDescent="0.25">
      <c r="A2310" s="33">
        <v>2314</v>
      </c>
      <c r="B2310" s="24">
        <v>44257</v>
      </c>
      <c r="C2310" t="s">
        <v>39</v>
      </c>
      <c r="D2310" t="s">
        <v>41</v>
      </c>
      <c r="E2310">
        <v>2000714722</v>
      </c>
      <c r="F2310">
        <v>810</v>
      </c>
      <c r="G2310">
        <v>135</v>
      </c>
      <c r="H2310">
        <v>1</v>
      </c>
      <c r="I2310" t="s">
        <v>191</v>
      </c>
      <c r="J2310" t="s">
        <v>698</v>
      </c>
      <c r="K2310" t="s">
        <v>699</v>
      </c>
      <c r="L2310" t="s">
        <v>88</v>
      </c>
      <c r="M2310" t="s">
        <v>1003</v>
      </c>
      <c r="N2310" t="s">
        <v>1004</v>
      </c>
      <c r="O2310">
        <v>1</v>
      </c>
      <c r="P2310" t="s">
        <v>1005</v>
      </c>
      <c r="R2310">
        <v>6300511990</v>
      </c>
      <c r="S2310" s="36">
        <v>0.54861111111111105</v>
      </c>
      <c r="U2310" t="s">
        <v>81</v>
      </c>
    </row>
    <row r="2311" spans="1:21" x14ac:dyDescent="0.25">
      <c r="A2311" s="33">
        <v>2315</v>
      </c>
      <c r="B2311" s="24">
        <v>44257</v>
      </c>
      <c r="C2311" t="s">
        <v>39</v>
      </c>
      <c r="D2311" t="s">
        <v>41</v>
      </c>
      <c r="E2311">
        <v>2000714727</v>
      </c>
      <c r="F2311">
        <v>850</v>
      </c>
      <c r="G2311">
        <v>155</v>
      </c>
      <c r="H2311">
        <v>0</v>
      </c>
      <c r="I2311" t="s">
        <v>191</v>
      </c>
      <c r="J2311" t="s">
        <v>698</v>
      </c>
      <c r="K2311" t="s">
        <v>699</v>
      </c>
      <c r="O2311">
        <v>0</v>
      </c>
      <c r="U2311" t="s">
        <v>81</v>
      </c>
    </row>
    <row r="2312" spans="1:21" x14ac:dyDescent="0.25">
      <c r="A2312" s="33">
        <v>2316</v>
      </c>
      <c r="B2312" s="24">
        <v>44257</v>
      </c>
      <c r="C2312" t="s">
        <v>39</v>
      </c>
      <c r="D2312" t="s">
        <v>41</v>
      </c>
      <c r="E2312">
        <v>2000714219</v>
      </c>
      <c r="F2312">
        <v>800</v>
      </c>
      <c r="G2312">
        <v>30</v>
      </c>
      <c r="H2312">
        <v>0</v>
      </c>
      <c r="I2312" t="s">
        <v>191</v>
      </c>
      <c r="J2312" t="s">
        <v>1006</v>
      </c>
      <c r="K2312" t="s">
        <v>638</v>
      </c>
      <c r="O2312">
        <v>0</v>
      </c>
      <c r="U2312" t="s">
        <v>81</v>
      </c>
    </row>
    <row r="2313" spans="1:21" x14ac:dyDescent="0.25">
      <c r="A2313" s="33">
        <v>2317</v>
      </c>
      <c r="B2313" s="24">
        <v>44257</v>
      </c>
      <c r="C2313" t="s">
        <v>39</v>
      </c>
      <c r="D2313" t="s">
        <v>41</v>
      </c>
      <c r="E2313">
        <v>2000714721</v>
      </c>
      <c r="F2313">
        <v>720</v>
      </c>
      <c r="G2313">
        <v>225</v>
      </c>
      <c r="H2313">
        <v>0</v>
      </c>
      <c r="I2313" t="s">
        <v>191</v>
      </c>
      <c r="J2313" t="s">
        <v>174</v>
      </c>
      <c r="K2313" t="s">
        <v>774</v>
      </c>
      <c r="O2313">
        <v>0</v>
      </c>
      <c r="U2313" t="s">
        <v>81</v>
      </c>
    </row>
    <row r="2314" spans="1:21" x14ac:dyDescent="0.25">
      <c r="A2314" s="33">
        <v>2318</v>
      </c>
      <c r="B2314" s="24">
        <v>44257</v>
      </c>
      <c r="C2314" t="s">
        <v>39</v>
      </c>
      <c r="D2314" t="s">
        <v>41</v>
      </c>
      <c r="E2314">
        <v>2000714722</v>
      </c>
      <c r="F2314">
        <v>810</v>
      </c>
      <c r="G2314">
        <v>90</v>
      </c>
      <c r="H2314">
        <v>0</v>
      </c>
      <c r="I2314" t="s">
        <v>661</v>
      </c>
      <c r="J2314" t="s">
        <v>698</v>
      </c>
      <c r="K2314" t="s">
        <v>699</v>
      </c>
      <c r="O2314">
        <v>0</v>
      </c>
      <c r="U2314" t="s">
        <v>81</v>
      </c>
    </row>
    <row r="2315" spans="1:21" x14ac:dyDescent="0.25">
      <c r="A2315" s="33">
        <v>2319</v>
      </c>
      <c r="B2315" s="24">
        <v>44257</v>
      </c>
      <c r="C2315" t="s">
        <v>39</v>
      </c>
      <c r="D2315" t="s">
        <v>41</v>
      </c>
      <c r="E2315">
        <v>2000715083</v>
      </c>
      <c r="F2315">
        <v>2180</v>
      </c>
      <c r="G2315">
        <v>500</v>
      </c>
      <c r="H2315">
        <v>0</v>
      </c>
      <c r="I2315" t="s">
        <v>201</v>
      </c>
      <c r="J2315" t="s">
        <v>1007</v>
      </c>
      <c r="K2315" t="s">
        <v>756</v>
      </c>
      <c r="O2315">
        <v>0</v>
      </c>
      <c r="U2315" t="s">
        <v>81</v>
      </c>
    </row>
    <row r="2316" spans="1:21" x14ac:dyDescent="0.25">
      <c r="A2316" s="33">
        <v>2320</v>
      </c>
      <c r="B2316" s="24">
        <v>44257</v>
      </c>
      <c r="C2316" t="s">
        <v>39</v>
      </c>
      <c r="D2316" t="s">
        <v>41</v>
      </c>
      <c r="E2316">
        <v>2000714681</v>
      </c>
      <c r="F2316">
        <v>5360</v>
      </c>
      <c r="G2316">
        <v>280</v>
      </c>
      <c r="H2316">
        <v>0</v>
      </c>
      <c r="I2316" t="s">
        <v>201</v>
      </c>
      <c r="J2316" t="s">
        <v>1002</v>
      </c>
      <c r="K2316" t="s">
        <v>653</v>
      </c>
      <c r="O2316">
        <v>0</v>
      </c>
      <c r="U2316" t="s">
        <v>81</v>
      </c>
    </row>
    <row r="2317" spans="1:21" x14ac:dyDescent="0.25">
      <c r="A2317" s="33">
        <v>2321</v>
      </c>
      <c r="B2317" s="24">
        <v>44257</v>
      </c>
      <c r="C2317" t="s">
        <v>39</v>
      </c>
      <c r="D2317" t="s">
        <v>41</v>
      </c>
      <c r="E2317">
        <v>2000715196</v>
      </c>
      <c r="F2317">
        <v>6600</v>
      </c>
      <c r="G2317">
        <v>1200</v>
      </c>
      <c r="H2317">
        <v>0</v>
      </c>
      <c r="I2317" t="s">
        <v>201</v>
      </c>
      <c r="J2317" t="s">
        <v>1002</v>
      </c>
      <c r="K2317" t="s">
        <v>737</v>
      </c>
      <c r="O2317">
        <v>0</v>
      </c>
      <c r="U2317" t="s">
        <v>81</v>
      </c>
    </row>
    <row r="2318" spans="1:21" x14ac:dyDescent="0.25">
      <c r="A2318" s="33">
        <v>2322</v>
      </c>
      <c r="B2318" s="24">
        <v>44257</v>
      </c>
      <c r="C2318" t="s">
        <v>39</v>
      </c>
      <c r="D2318" t="s">
        <v>41</v>
      </c>
      <c r="E2318">
        <v>2000714572</v>
      </c>
      <c r="F2318">
        <v>300</v>
      </c>
      <c r="G2318">
        <v>96</v>
      </c>
      <c r="H2318">
        <v>0</v>
      </c>
      <c r="I2318" t="s">
        <v>665</v>
      </c>
      <c r="J2318" t="s">
        <v>169</v>
      </c>
      <c r="K2318" t="s">
        <v>867</v>
      </c>
      <c r="O2318">
        <v>0</v>
      </c>
      <c r="U2318" t="s">
        <v>81</v>
      </c>
    </row>
    <row r="2319" spans="1:21" x14ac:dyDescent="0.25">
      <c r="A2319" s="33">
        <v>2323</v>
      </c>
      <c r="B2319" s="24">
        <v>44257</v>
      </c>
      <c r="C2319" t="s">
        <v>39</v>
      </c>
      <c r="D2319" t="s">
        <v>41</v>
      </c>
      <c r="E2319">
        <v>2000714527</v>
      </c>
      <c r="F2319">
        <v>2100</v>
      </c>
      <c r="G2319">
        <v>450</v>
      </c>
      <c r="H2319">
        <v>0</v>
      </c>
      <c r="I2319" t="s">
        <v>665</v>
      </c>
      <c r="J2319" t="s">
        <v>169</v>
      </c>
      <c r="K2319" t="s">
        <v>179</v>
      </c>
      <c r="O2319">
        <v>0</v>
      </c>
      <c r="U2319" t="s">
        <v>81</v>
      </c>
    </row>
    <row r="2320" spans="1:21" x14ac:dyDescent="0.25">
      <c r="A2320" s="33">
        <v>2324</v>
      </c>
      <c r="B2320" s="24">
        <v>44257</v>
      </c>
      <c r="C2320" t="s">
        <v>39</v>
      </c>
      <c r="D2320" t="s">
        <v>41</v>
      </c>
      <c r="E2320">
        <v>2000714721</v>
      </c>
      <c r="F2320">
        <v>720</v>
      </c>
      <c r="G2320">
        <v>90</v>
      </c>
      <c r="H2320">
        <v>0</v>
      </c>
      <c r="I2320" t="s">
        <v>665</v>
      </c>
      <c r="J2320" t="s">
        <v>174</v>
      </c>
      <c r="K2320" t="s">
        <v>774</v>
      </c>
      <c r="O2320">
        <v>0</v>
      </c>
      <c r="U2320" t="s">
        <v>81</v>
      </c>
    </row>
    <row r="2321" spans="1:21" x14ac:dyDescent="0.25">
      <c r="A2321" s="33">
        <v>2325</v>
      </c>
      <c r="B2321" s="24">
        <v>44257</v>
      </c>
      <c r="C2321" t="s">
        <v>39</v>
      </c>
      <c r="D2321" t="s">
        <v>41</v>
      </c>
      <c r="E2321">
        <v>2000712819</v>
      </c>
      <c r="F2321">
        <v>600</v>
      </c>
      <c r="G2321">
        <v>147</v>
      </c>
      <c r="H2321">
        <v>0</v>
      </c>
      <c r="I2321" t="s">
        <v>1018</v>
      </c>
      <c r="J2321" t="s">
        <v>169</v>
      </c>
      <c r="K2321" t="s">
        <v>847</v>
      </c>
      <c r="O2321">
        <v>0</v>
      </c>
      <c r="U2321" t="s">
        <v>81</v>
      </c>
    </row>
    <row r="2322" spans="1:21" x14ac:dyDescent="0.25">
      <c r="A2322" s="33">
        <v>2326</v>
      </c>
      <c r="B2322" s="24">
        <v>44257</v>
      </c>
      <c r="C2322" t="s">
        <v>39</v>
      </c>
      <c r="D2322" t="s">
        <v>41</v>
      </c>
      <c r="E2322">
        <v>2000714527</v>
      </c>
      <c r="F2322">
        <v>2100</v>
      </c>
      <c r="G2322">
        <v>60</v>
      </c>
      <c r="H2322">
        <v>0</v>
      </c>
      <c r="I2322" t="s">
        <v>1018</v>
      </c>
      <c r="J2322" t="s">
        <v>169</v>
      </c>
      <c r="K2322" t="s">
        <v>179</v>
      </c>
      <c r="O2322">
        <v>0</v>
      </c>
      <c r="U2322" t="s">
        <v>81</v>
      </c>
    </row>
    <row r="2323" spans="1:21" x14ac:dyDescent="0.25">
      <c r="A2323" s="33">
        <v>2327</v>
      </c>
      <c r="B2323" s="24">
        <v>44257</v>
      </c>
      <c r="C2323" t="s">
        <v>39</v>
      </c>
      <c r="D2323" t="s">
        <v>41</v>
      </c>
      <c r="E2323">
        <v>2000714130</v>
      </c>
      <c r="F2323">
        <v>920</v>
      </c>
      <c r="G2323">
        <v>320</v>
      </c>
      <c r="H2323">
        <v>0</v>
      </c>
      <c r="I2323" t="s">
        <v>1018</v>
      </c>
      <c r="J2323" t="s">
        <v>614</v>
      </c>
      <c r="K2323" t="s">
        <v>746</v>
      </c>
      <c r="O2323">
        <v>0</v>
      </c>
      <c r="U2323" t="s">
        <v>81</v>
      </c>
    </row>
    <row r="2324" spans="1:21" x14ac:dyDescent="0.25">
      <c r="A2324" s="33">
        <v>2328</v>
      </c>
      <c r="B2324" s="24">
        <v>44257</v>
      </c>
      <c r="C2324" t="s">
        <v>39</v>
      </c>
      <c r="D2324" t="s">
        <v>41</v>
      </c>
      <c r="E2324">
        <v>2000715579</v>
      </c>
      <c r="F2324">
        <v>240</v>
      </c>
      <c r="G2324">
        <v>80</v>
      </c>
      <c r="H2324">
        <v>0</v>
      </c>
      <c r="I2324" t="s">
        <v>1018</v>
      </c>
      <c r="J2324" t="s">
        <v>174</v>
      </c>
      <c r="K2324" t="s">
        <v>188</v>
      </c>
      <c r="O2324">
        <v>0</v>
      </c>
      <c r="U2324" t="s">
        <v>81</v>
      </c>
    </row>
    <row r="2325" spans="1:21" x14ac:dyDescent="0.25">
      <c r="A2325" s="33">
        <v>2329</v>
      </c>
      <c r="B2325" s="24">
        <v>44257</v>
      </c>
      <c r="C2325" t="s">
        <v>39</v>
      </c>
      <c r="D2325" t="s">
        <v>41</v>
      </c>
      <c r="E2325">
        <v>2000715176</v>
      </c>
      <c r="F2325">
        <v>1390</v>
      </c>
      <c r="G2325">
        <v>80</v>
      </c>
      <c r="H2325">
        <v>0</v>
      </c>
      <c r="I2325" t="s">
        <v>1018</v>
      </c>
      <c r="J2325" t="s">
        <v>998</v>
      </c>
      <c r="K2325" t="s">
        <v>765</v>
      </c>
      <c r="O2325">
        <v>0</v>
      </c>
      <c r="U2325" t="s">
        <v>81</v>
      </c>
    </row>
    <row r="2326" spans="1:21" x14ac:dyDescent="0.25">
      <c r="A2326" s="33">
        <v>2330</v>
      </c>
      <c r="B2326" s="24">
        <v>44258</v>
      </c>
      <c r="C2326" t="s">
        <v>39</v>
      </c>
      <c r="D2326" t="s">
        <v>51</v>
      </c>
      <c r="E2326">
        <v>2000715375</v>
      </c>
      <c r="F2326">
        <v>180</v>
      </c>
      <c r="G2326">
        <v>90</v>
      </c>
      <c r="H2326">
        <v>0</v>
      </c>
      <c r="I2326" t="s">
        <v>706</v>
      </c>
      <c r="J2326" t="s">
        <v>1008</v>
      </c>
      <c r="K2326" t="s">
        <v>777</v>
      </c>
      <c r="O2326">
        <v>0</v>
      </c>
      <c r="U2326" t="s">
        <v>81</v>
      </c>
    </row>
    <row r="2327" spans="1:21" x14ac:dyDescent="0.25">
      <c r="A2327" s="33">
        <v>2331</v>
      </c>
      <c r="B2327" s="24">
        <v>44258</v>
      </c>
      <c r="C2327" t="s">
        <v>39</v>
      </c>
      <c r="D2327" t="s">
        <v>51</v>
      </c>
      <c r="E2327">
        <v>2000714436</v>
      </c>
      <c r="F2327">
        <v>700</v>
      </c>
      <c r="G2327">
        <v>160</v>
      </c>
      <c r="H2327">
        <v>0</v>
      </c>
      <c r="I2327" t="s">
        <v>706</v>
      </c>
      <c r="J2327" t="s">
        <v>669</v>
      </c>
      <c r="K2327" t="s">
        <v>707</v>
      </c>
      <c r="O2327">
        <v>0</v>
      </c>
      <c r="U2327" t="s">
        <v>81</v>
      </c>
    </row>
    <row r="2328" spans="1:21" x14ac:dyDescent="0.25">
      <c r="A2328" s="33">
        <v>2332</v>
      </c>
      <c r="B2328" s="24">
        <v>44258</v>
      </c>
      <c r="C2328" t="s">
        <v>39</v>
      </c>
      <c r="D2328" t="s">
        <v>51</v>
      </c>
      <c r="E2328">
        <v>2000715363</v>
      </c>
      <c r="F2328">
        <v>700</v>
      </c>
      <c r="G2328">
        <v>130</v>
      </c>
      <c r="H2328">
        <v>0</v>
      </c>
      <c r="I2328" t="s">
        <v>706</v>
      </c>
      <c r="J2328" t="s">
        <v>669</v>
      </c>
      <c r="K2328" t="s">
        <v>674</v>
      </c>
      <c r="O2328">
        <v>0</v>
      </c>
      <c r="U2328" t="s">
        <v>81</v>
      </c>
    </row>
    <row r="2329" spans="1:21" x14ac:dyDescent="0.25">
      <c r="A2329" s="33">
        <v>2333</v>
      </c>
      <c r="B2329" s="24">
        <v>44258</v>
      </c>
      <c r="C2329" t="s">
        <v>39</v>
      </c>
      <c r="D2329" t="s">
        <v>51</v>
      </c>
      <c r="E2329">
        <v>2000714910</v>
      </c>
      <c r="F2329">
        <v>1600</v>
      </c>
      <c r="G2329">
        <v>160</v>
      </c>
      <c r="H2329">
        <v>0</v>
      </c>
      <c r="I2329" t="s">
        <v>706</v>
      </c>
      <c r="J2329" t="s">
        <v>667</v>
      </c>
      <c r="K2329" t="s">
        <v>730</v>
      </c>
      <c r="O2329">
        <v>0</v>
      </c>
      <c r="U2329" t="s">
        <v>81</v>
      </c>
    </row>
    <row r="2330" spans="1:21" x14ac:dyDescent="0.25">
      <c r="A2330" s="33">
        <v>2334</v>
      </c>
      <c r="B2330" s="24">
        <v>44258</v>
      </c>
      <c r="C2330" t="s">
        <v>39</v>
      </c>
      <c r="D2330" t="s">
        <v>51</v>
      </c>
      <c r="E2330">
        <v>2000715364</v>
      </c>
      <c r="F2330">
        <v>800</v>
      </c>
      <c r="G2330">
        <v>440</v>
      </c>
      <c r="H2330">
        <v>0</v>
      </c>
      <c r="I2330" t="s">
        <v>706</v>
      </c>
      <c r="J2330" t="s">
        <v>1009</v>
      </c>
      <c r="K2330" t="s">
        <v>730</v>
      </c>
      <c r="O2330">
        <v>0</v>
      </c>
      <c r="U2330" t="s">
        <v>81</v>
      </c>
    </row>
    <row r="2331" spans="1:21" x14ac:dyDescent="0.25">
      <c r="A2331" s="33">
        <v>2335</v>
      </c>
      <c r="B2331" s="24">
        <v>44258</v>
      </c>
      <c r="C2331" t="s">
        <v>39</v>
      </c>
      <c r="D2331" t="s">
        <v>51</v>
      </c>
      <c r="E2331">
        <v>2000715375</v>
      </c>
      <c r="F2331">
        <v>180</v>
      </c>
      <c r="G2331">
        <v>42</v>
      </c>
      <c r="H2331">
        <v>0</v>
      </c>
      <c r="I2331" t="s">
        <v>191</v>
      </c>
      <c r="J2331" t="s">
        <v>770</v>
      </c>
      <c r="K2331" t="s">
        <v>777</v>
      </c>
      <c r="O2331">
        <v>0</v>
      </c>
      <c r="U2331" t="s">
        <v>81</v>
      </c>
    </row>
    <row r="2332" spans="1:21" x14ac:dyDescent="0.25">
      <c r="A2332" s="33">
        <v>2336</v>
      </c>
      <c r="B2332" s="24">
        <v>44258</v>
      </c>
      <c r="C2332" t="s">
        <v>39</v>
      </c>
      <c r="D2332" t="s">
        <v>51</v>
      </c>
      <c r="E2332">
        <v>2000714436</v>
      </c>
      <c r="F2332">
        <v>700</v>
      </c>
      <c r="G2332">
        <v>133</v>
      </c>
      <c r="H2332">
        <v>0</v>
      </c>
      <c r="I2332" t="s">
        <v>191</v>
      </c>
      <c r="J2332" t="s">
        <v>669</v>
      </c>
      <c r="K2332" t="s">
        <v>707</v>
      </c>
      <c r="O2332">
        <v>0</v>
      </c>
      <c r="T2332" s="62"/>
      <c r="U2332" t="s">
        <v>81</v>
      </c>
    </row>
    <row r="2333" spans="1:21" x14ac:dyDescent="0.25">
      <c r="A2333" s="33">
        <v>2337</v>
      </c>
      <c r="B2333" s="24">
        <v>44258</v>
      </c>
      <c r="C2333" t="s">
        <v>39</v>
      </c>
      <c r="D2333" t="s">
        <v>51</v>
      </c>
      <c r="E2333">
        <v>2000715363</v>
      </c>
      <c r="F2333">
        <v>700</v>
      </c>
      <c r="G2333">
        <v>70</v>
      </c>
      <c r="H2333">
        <v>0</v>
      </c>
      <c r="I2333" t="s">
        <v>191</v>
      </c>
      <c r="J2333" t="s">
        <v>669</v>
      </c>
      <c r="K2333" t="s">
        <v>674</v>
      </c>
      <c r="O2333">
        <v>0</v>
      </c>
      <c r="U2333" t="s">
        <v>81</v>
      </c>
    </row>
    <row r="2334" spans="1:21" x14ac:dyDescent="0.25">
      <c r="A2334" s="33">
        <v>2338</v>
      </c>
      <c r="B2334" s="24">
        <v>44258</v>
      </c>
      <c r="C2334" t="s">
        <v>39</v>
      </c>
      <c r="D2334" t="s">
        <v>51</v>
      </c>
      <c r="E2334">
        <v>2000714914</v>
      </c>
      <c r="F2334">
        <v>96</v>
      </c>
      <c r="G2334">
        <v>10</v>
      </c>
      <c r="H2334">
        <v>0</v>
      </c>
      <c r="I2334" t="s">
        <v>191</v>
      </c>
      <c r="J2334" t="s">
        <v>669</v>
      </c>
      <c r="K2334" t="s">
        <v>741</v>
      </c>
      <c r="O2334">
        <v>0</v>
      </c>
      <c r="U2334" t="s">
        <v>81</v>
      </c>
    </row>
    <row r="2335" spans="1:21" x14ac:dyDescent="0.25">
      <c r="A2335" s="33">
        <v>2339</v>
      </c>
      <c r="B2335" s="24">
        <v>44258</v>
      </c>
      <c r="C2335" t="s">
        <v>39</v>
      </c>
      <c r="D2335" t="s">
        <v>51</v>
      </c>
      <c r="E2335">
        <v>2000715364</v>
      </c>
      <c r="F2335">
        <v>800</v>
      </c>
      <c r="G2335">
        <v>180</v>
      </c>
      <c r="H2335">
        <v>0</v>
      </c>
      <c r="I2335" t="s">
        <v>191</v>
      </c>
      <c r="J2335" t="s">
        <v>667</v>
      </c>
      <c r="K2335" t="s">
        <v>730</v>
      </c>
      <c r="O2335">
        <v>0</v>
      </c>
      <c r="T2335" s="62"/>
      <c r="U2335" t="s">
        <v>81</v>
      </c>
    </row>
    <row r="2336" spans="1:21" x14ac:dyDescent="0.25">
      <c r="A2336" s="33">
        <v>2340</v>
      </c>
      <c r="B2336" s="24">
        <v>44258</v>
      </c>
      <c r="C2336" t="s">
        <v>39</v>
      </c>
      <c r="D2336" t="s">
        <v>41</v>
      </c>
      <c r="E2336">
        <v>2000715419</v>
      </c>
      <c r="F2336">
        <v>1600</v>
      </c>
      <c r="G2336">
        <v>240</v>
      </c>
      <c r="H2336">
        <v>0</v>
      </c>
      <c r="I2336" t="s">
        <v>184</v>
      </c>
      <c r="J2336" t="s">
        <v>1000</v>
      </c>
      <c r="K2336" t="s">
        <v>647</v>
      </c>
      <c r="O2336">
        <v>0</v>
      </c>
      <c r="U2336" t="s">
        <v>81</v>
      </c>
    </row>
    <row r="2337" spans="1:21" x14ac:dyDescent="0.25">
      <c r="A2337" s="33">
        <v>2341</v>
      </c>
      <c r="B2337" s="24">
        <v>44258</v>
      </c>
      <c r="C2337" t="s">
        <v>39</v>
      </c>
      <c r="D2337" t="s">
        <v>41</v>
      </c>
      <c r="E2337">
        <v>2000715190</v>
      </c>
      <c r="F2337">
        <v>380</v>
      </c>
      <c r="G2337">
        <v>60</v>
      </c>
      <c r="H2337">
        <v>0</v>
      </c>
      <c r="I2337" t="s">
        <v>184</v>
      </c>
      <c r="J2337" t="s">
        <v>1010</v>
      </c>
      <c r="K2337" t="s">
        <v>785</v>
      </c>
      <c r="O2337">
        <v>0</v>
      </c>
      <c r="U2337" t="s">
        <v>81</v>
      </c>
    </row>
    <row r="2338" spans="1:21" x14ac:dyDescent="0.25">
      <c r="A2338" s="33">
        <v>2342</v>
      </c>
      <c r="B2338" s="24">
        <v>44258</v>
      </c>
      <c r="C2338" t="s">
        <v>39</v>
      </c>
      <c r="D2338" t="s">
        <v>41</v>
      </c>
      <c r="E2338">
        <v>2000714527</v>
      </c>
      <c r="F2338">
        <v>2100</v>
      </c>
      <c r="G2338">
        <v>150</v>
      </c>
      <c r="H2338">
        <v>0</v>
      </c>
      <c r="I2338" t="s">
        <v>184</v>
      </c>
      <c r="J2338" t="s">
        <v>651</v>
      </c>
      <c r="K2338" t="s">
        <v>179</v>
      </c>
      <c r="O2338">
        <v>0</v>
      </c>
      <c r="U2338" t="s">
        <v>81</v>
      </c>
    </row>
    <row r="2339" spans="1:21" x14ac:dyDescent="0.25">
      <c r="A2339" s="33">
        <v>2343</v>
      </c>
      <c r="B2339" s="24">
        <v>44258</v>
      </c>
      <c r="C2339" t="s">
        <v>39</v>
      </c>
      <c r="D2339" t="s">
        <v>41</v>
      </c>
      <c r="E2339">
        <v>2000714699</v>
      </c>
      <c r="F2339">
        <v>1000</v>
      </c>
      <c r="G2339">
        <v>120</v>
      </c>
      <c r="H2339">
        <v>0</v>
      </c>
      <c r="I2339" t="s">
        <v>184</v>
      </c>
      <c r="J2339" t="s">
        <v>651</v>
      </c>
      <c r="K2339" t="s">
        <v>179</v>
      </c>
      <c r="O2339">
        <v>0</v>
      </c>
      <c r="U2339" t="s">
        <v>81</v>
      </c>
    </row>
    <row r="2340" spans="1:21" x14ac:dyDescent="0.25">
      <c r="A2340" s="33">
        <v>2344</v>
      </c>
      <c r="B2340" s="24">
        <v>44258</v>
      </c>
      <c r="C2340" t="s">
        <v>39</v>
      </c>
      <c r="D2340" t="s">
        <v>41</v>
      </c>
      <c r="E2340">
        <v>2000714684</v>
      </c>
      <c r="F2340">
        <v>3600</v>
      </c>
      <c r="G2340">
        <v>600</v>
      </c>
      <c r="H2340">
        <v>0</v>
      </c>
      <c r="I2340" t="s">
        <v>191</v>
      </c>
      <c r="J2340" t="s">
        <v>169</v>
      </c>
      <c r="K2340" t="s">
        <v>652</v>
      </c>
      <c r="O2340">
        <v>0</v>
      </c>
      <c r="U2340" t="s">
        <v>81</v>
      </c>
    </row>
    <row r="2341" spans="1:21" x14ac:dyDescent="0.25">
      <c r="A2341" s="33">
        <v>2345</v>
      </c>
      <c r="B2341" s="24">
        <v>44258</v>
      </c>
      <c r="C2341" t="s">
        <v>39</v>
      </c>
      <c r="D2341" t="s">
        <v>41</v>
      </c>
      <c r="E2341">
        <v>2000714573</v>
      </c>
      <c r="F2341">
        <v>1776</v>
      </c>
      <c r="G2341">
        <v>176</v>
      </c>
      <c r="H2341">
        <v>0</v>
      </c>
      <c r="I2341" t="s">
        <v>191</v>
      </c>
      <c r="J2341" t="s">
        <v>203</v>
      </c>
      <c r="K2341" t="s">
        <v>788</v>
      </c>
      <c r="O2341">
        <v>0</v>
      </c>
      <c r="U2341" t="s">
        <v>81</v>
      </c>
    </row>
    <row r="2342" spans="1:21" x14ac:dyDescent="0.25">
      <c r="A2342" s="33">
        <v>2346</v>
      </c>
      <c r="B2342" s="24">
        <v>44258</v>
      </c>
      <c r="C2342" t="s">
        <v>39</v>
      </c>
      <c r="D2342" t="s">
        <v>41</v>
      </c>
      <c r="E2342">
        <v>2000715235</v>
      </c>
      <c r="F2342">
        <v>1600</v>
      </c>
      <c r="G2342">
        <v>160</v>
      </c>
      <c r="H2342">
        <v>0</v>
      </c>
      <c r="I2342" t="s">
        <v>191</v>
      </c>
      <c r="J2342" t="s">
        <v>193</v>
      </c>
      <c r="K2342" t="s">
        <v>686</v>
      </c>
      <c r="O2342">
        <v>0</v>
      </c>
      <c r="U2342" t="s">
        <v>81</v>
      </c>
    </row>
    <row r="2343" spans="1:21" x14ac:dyDescent="0.25">
      <c r="A2343" s="33">
        <v>2347</v>
      </c>
      <c r="B2343" s="24">
        <v>44258</v>
      </c>
      <c r="C2343" t="s">
        <v>39</v>
      </c>
      <c r="D2343" t="s">
        <v>41</v>
      </c>
      <c r="E2343">
        <v>2000713522</v>
      </c>
      <c r="F2343">
        <v>4210</v>
      </c>
      <c r="G2343">
        <v>720</v>
      </c>
      <c r="H2343">
        <v>0</v>
      </c>
      <c r="I2343" t="s">
        <v>201</v>
      </c>
      <c r="J2343" t="s">
        <v>199</v>
      </c>
      <c r="K2343" t="s">
        <v>660</v>
      </c>
      <c r="O2343">
        <v>0</v>
      </c>
      <c r="U2343" t="s">
        <v>81</v>
      </c>
    </row>
    <row r="2344" spans="1:21" x14ac:dyDescent="0.25">
      <c r="A2344" s="33">
        <v>2348</v>
      </c>
      <c r="B2344" s="24">
        <v>44258</v>
      </c>
      <c r="C2344" t="s">
        <v>39</v>
      </c>
      <c r="D2344" t="s">
        <v>41</v>
      </c>
      <c r="E2344">
        <v>2000715235</v>
      </c>
      <c r="F2344">
        <v>1600</v>
      </c>
      <c r="G2344">
        <v>280</v>
      </c>
      <c r="H2344">
        <v>0</v>
      </c>
      <c r="I2344" t="s">
        <v>201</v>
      </c>
      <c r="J2344" t="s">
        <v>193</v>
      </c>
      <c r="K2344" t="s">
        <v>686</v>
      </c>
      <c r="O2344">
        <v>0</v>
      </c>
      <c r="U2344" t="s">
        <v>81</v>
      </c>
    </row>
    <row r="2345" spans="1:21" x14ac:dyDescent="0.25">
      <c r="A2345" s="33">
        <v>2349</v>
      </c>
      <c r="B2345" s="24">
        <v>44258</v>
      </c>
      <c r="C2345" t="s">
        <v>39</v>
      </c>
      <c r="D2345" t="s">
        <v>41</v>
      </c>
      <c r="E2345">
        <v>2000714829</v>
      </c>
      <c r="F2345">
        <v>1650</v>
      </c>
      <c r="G2345">
        <v>699</v>
      </c>
      <c r="H2345">
        <v>0</v>
      </c>
      <c r="I2345" t="s">
        <v>201</v>
      </c>
      <c r="J2345" t="s">
        <v>193</v>
      </c>
      <c r="K2345" t="s">
        <v>650</v>
      </c>
      <c r="O2345">
        <v>0</v>
      </c>
      <c r="U2345" t="s">
        <v>81</v>
      </c>
    </row>
    <row r="2346" spans="1:21" x14ac:dyDescent="0.25">
      <c r="A2346" s="33">
        <v>2350</v>
      </c>
      <c r="B2346" s="24">
        <v>44258</v>
      </c>
      <c r="C2346" t="s">
        <v>39</v>
      </c>
      <c r="D2346" t="s">
        <v>41</v>
      </c>
      <c r="E2346">
        <v>2000715196</v>
      </c>
      <c r="F2346">
        <v>6600</v>
      </c>
      <c r="G2346">
        <v>750</v>
      </c>
      <c r="H2346">
        <v>0</v>
      </c>
      <c r="I2346" t="s">
        <v>201</v>
      </c>
      <c r="J2346" t="s">
        <v>1002</v>
      </c>
      <c r="K2346" t="s">
        <v>737</v>
      </c>
      <c r="O2346">
        <v>0</v>
      </c>
      <c r="U2346" t="s">
        <v>81</v>
      </c>
    </row>
    <row r="2347" spans="1:21" x14ac:dyDescent="0.25">
      <c r="A2347" s="33">
        <v>2351</v>
      </c>
      <c r="B2347" s="24">
        <v>44258</v>
      </c>
      <c r="C2347" t="s">
        <v>39</v>
      </c>
      <c r="D2347" t="s">
        <v>41</v>
      </c>
      <c r="E2347">
        <v>2000714573</v>
      </c>
      <c r="F2347">
        <v>1776</v>
      </c>
      <c r="G2347">
        <v>400</v>
      </c>
      <c r="H2347">
        <v>0</v>
      </c>
      <c r="I2347" t="s">
        <v>201</v>
      </c>
      <c r="J2347" t="s">
        <v>990</v>
      </c>
      <c r="K2347" t="s">
        <v>788</v>
      </c>
      <c r="O2347">
        <v>0</v>
      </c>
      <c r="U2347" t="s">
        <v>81</v>
      </c>
    </row>
    <row r="2348" spans="1:21" x14ac:dyDescent="0.25">
      <c r="A2348" s="33">
        <v>2352</v>
      </c>
      <c r="B2348" s="24">
        <v>44258</v>
      </c>
      <c r="C2348" t="s">
        <v>39</v>
      </c>
      <c r="D2348" t="s">
        <v>41</v>
      </c>
      <c r="E2348">
        <v>2000714219</v>
      </c>
      <c r="F2348">
        <v>800</v>
      </c>
      <c r="G2348">
        <v>154</v>
      </c>
      <c r="H2348">
        <v>0</v>
      </c>
      <c r="I2348" t="s">
        <v>178</v>
      </c>
      <c r="J2348" t="s">
        <v>203</v>
      </c>
      <c r="K2348" t="s">
        <v>638</v>
      </c>
      <c r="O2348">
        <v>0</v>
      </c>
      <c r="T2348" s="62"/>
      <c r="U2348" t="s">
        <v>81</v>
      </c>
    </row>
    <row r="2349" spans="1:21" x14ac:dyDescent="0.25">
      <c r="A2349" s="33">
        <v>2353</v>
      </c>
      <c r="B2349" s="24">
        <v>44258</v>
      </c>
      <c r="C2349" t="s">
        <v>39</v>
      </c>
      <c r="D2349" t="s">
        <v>41</v>
      </c>
      <c r="E2349">
        <v>2000715190</v>
      </c>
      <c r="F2349">
        <v>380</v>
      </c>
      <c r="G2349">
        <v>284</v>
      </c>
      <c r="H2349">
        <v>0</v>
      </c>
      <c r="I2349" t="s">
        <v>178</v>
      </c>
      <c r="J2349" t="s">
        <v>203</v>
      </c>
      <c r="K2349" t="s">
        <v>785</v>
      </c>
      <c r="O2349">
        <v>0</v>
      </c>
      <c r="U2349" t="s">
        <v>81</v>
      </c>
    </row>
    <row r="2350" spans="1:21" x14ac:dyDescent="0.25">
      <c r="A2350" s="33">
        <v>2354</v>
      </c>
      <c r="B2350" s="24">
        <v>44258</v>
      </c>
      <c r="C2350" t="s">
        <v>39</v>
      </c>
      <c r="D2350" t="s">
        <v>41</v>
      </c>
      <c r="E2350">
        <v>2000715418</v>
      </c>
      <c r="F2350">
        <v>1600</v>
      </c>
      <c r="G2350">
        <v>200</v>
      </c>
      <c r="H2350">
        <v>0</v>
      </c>
      <c r="I2350" t="s">
        <v>178</v>
      </c>
      <c r="J2350" t="s">
        <v>193</v>
      </c>
      <c r="K2350" t="s">
        <v>686</v>
      </c>
      <c r="O2350">
        <v>0</v>
      </c>
      <c r="U2350" t="s">
        <v>81</v>
      </c>
    </row>
    <row r="2351" spans="1:21" x14ac:dyDescent="0.25">
      <c r="A2351" s="33">
        <v>2355</v>
      </c>
      <c r="B2351" s="24">
        <v>44258</v>
      </c>
      <c r="C2351" t="s">
        <v>39</v>
      </c>
      <c r="D2351" t="s">
        <v>41</v>
      </c>
      <c r="E2351">
        <v>2000715232</v>
      </c>
      <c r="F2351">
        <v>1600</v>
      </c>
      <c r="G2351">
        <v>181</v>
      </c>
      <c r="H2351">
        <v>0</v>
      </c>
      <c r="I2351" t="s">
        <v>178</v>
      </c>
      <c r="J2351" t="s">
        <v>193</v>
      </c>
      <c r="K2351" t="s">
        <v>176</v>
      </c>
      <c r="O2351">
        <v>0</v>
      </c>
      <c r="U2351" t="s">
        <v>81</v>
      </c>
    </row>
    <row r="2352" spans="1:21" x14ac:dyDescent="0.25">
      <c r="A2352" s="33">
        <v>2356</v>
      </c>
      <c r="B2352" s="24">
        <v>44258</v>
      </c>
      <c r="C2352" t="s">
        <v>39</v>
      </c>
      <c r="D2352" t="s">
        <v>41</v>
      </c>
      <c r="E2352">
        <v>2000715175</v>
      </c>
      <c r="F2352">
        <v>900</v>
      </c>
      <c r="G2352">
        <v>80</v>
      </c>
      <c r="H2352">
        <v>0</v>
      </c>
      <c r="I2352" t="s">
        <v>178</v>
      </c>
      <c r="J2352" t="s">
        <v>645</v>
      </c>
      <c r="K2352" t="s">
        <v>790</v>
      </c>
      <c r="O2352">
        <v>0</v>
      </c>
      <c r="T2352" s="62"/>
      <c r="U2352" t="s">
        <v>81</v>
      </c>
    </row>
    <row r="2353" spans="1:21" x14ac:dyDescent="0.25">
      <c r="A2353" s="33">
        <v>2357</v>
      </c>
      <c r="B2353" s="24">
        <v>44258</v>
      </c>
      <c r="C2353" t="s">
        <v>39</v>
      </c>
      <c r="D2353" t="s">
        <v>41</v>
      </c>
      <c r="E2353">
        <v>2000715579</v>
      </c>
      <c r="F2353">
        <v>240</v>
      </c>
      <c r="G2353">
        <v>80</v>
      </c>
      <c r="H2353">
        <v>0</v>
      </c>
      <c r="I2353" t="s">
        <v>665</v>
      </c>
      <c r="J2353" t="s">
        <v>174</v>
      </c>
      <c r="K2353" t="s">
        <v>188</v>
      </c>
      <c r="O2353">
        <v>0</v>
      </c>
      <c r="T2353" s="62"/>
      <c r="U2353" t="s">
        <v>81</v>
      </c>
    </row>
    <row r="2354" spans="1:21" x14ac:dyDescent="0.25">
      <c r="A2354" s="33">
        <v>2358</v>
      </c>
      <c r="B2354" s="24">
        <v>44258</v>
      </c>
      <c r="C2354" t="s">
        <v>39</v>
      </c>
      <c r="D2354" t="s">
        <v>41</v>
      </c>
      <c r="E2354">
        <v>2000714527</v>
      </c>
      <c r="F2354">
        <v>2100</v>
      </c>
      <c r="G2354">
        <v>270</v>
      </c>
      <c r="H2354">
        <v>0</v>
      </c>
      <c r="I2354" t="s">
        <v>665</v>
      </c>
      <c r="J2354" t="s">
        <v>169</v>
      </c>
      <c r="K2354" t="s">
        <v>179</v>
      </c>
      <c r="O2354">
        <v>0</v>
      </c>
      <c r="U2354" t="s">
        <v>81</v>
      </c>
    </row>
    <row r="2355" spans="1:21" x14ac:dyDescent="0.25">
      <c r="A2355" s="33">
        <v>2359</v>
      </c>
      <c r="B2355" s="24">
        <v>44258</v>
      </c>
      <c r="C2355" t="s">
        <v>39</v>
      </c>
      <c r="D2355" t="s">
        <v>41</v>
      </c>
      <c r="E2355">
        <v>2000714699</v>
      </c>
      <c r="F2355">
        <v>1000</v>
      </c>
      <c r="G2355">
        <v>180</v>
      </c>
      <c r="H2355">
        <v>0</v>
      </c>
      <c r="I2355" t="s">
        <v>665</v>
      </c>
      <c r="J2355" t="s">
        <v>169</v>
      </c>
      <c r="K2355" t="s">
        <v>179</v>
      </c>
      <c r="O2355">
        <v>0</v>
      </c>
      <c r="U2355" t="s">
        <v>81</v>
      </c>
    </row>
    <row r="2356" spans="1:21" x14ac:dyDescent="0.25">
      <c r="A2356" s="33">
        <v>2360</v>
      </c>
      <c r="B2356" s="24">
        <v>44258</v>
      </c>
      <c r="C2356" t="s">
        <v>39</v>
      </c>
      <c r="D2356" t="s">
        <v>41</v>
      </c>
      <c r="E2356">
        <v>2000715196</v>
      </c>
      <c r="F2356">
        <v>6600</v>
      </c>
      <c r="G2356">
        <v>450</v>
      </c>
      <c r="H2356">
        <v>0</v>
      </c>
      <c r="I2356" t="s">
        <v>665</v>
      </c>
      <c r="J2356" t="s">
        <v>200</v>
      </c>
      <c r="K2356" t="s">
        <v>737</v>
      </c>
      <c r="O2356">
        <v>0</v>
      </c>
      <c r="U2356" t="s">
        <v>81</v>
      </c>
    </row>
    <row r="2357" spans="1:21" x14ac:dyDescent="0.25">
      <c r="A2357" s="33">
        <v>2361</v>
      </c>
      <c r="B2357" s="24">
        <v>44258</v>
      </c>
      <c r="C2357" t="s">
        <v>39</v>
      </c>
      <c r="D2357" t="s">
        <v>41</v>
      </c>
      <c r="E2357">
        <v>2000713522</v>
      </c>
      <c r="F2357">
        <v>4210</v>
      </c>
      <c r="G2357">
        <v>360</v>
      </c>
      <c r="H2357">
        <v>0</v>
      </c>
      <c r="I2357" t="s">
        <v>759</v>
      </c>
      <c r="J2357" t="s">
        <v>199</v>
      </c>
      <c r="K2357" t="s">
        <v>660</v>
      </c>
      <c r="O2357">
        <v>0</v>
      </c>
      <c r="U2357" t="s">
        <v>81</v>
      </c>
    </row>
    <row r="2358" spans="1:21" x14ac:dyDescent="0.25">
      <c r="A2358" s="33">
        <v>2362</v>
      </c>
      <c r="B2358" s="24">
        <v>44258</v>
      </c>
      <c r="C2358" t="s">
        <v>39</v>
      </c>
      <c r="D2358" t="s">
        <v>41</v>
      </c>
      <c r="E2358">
        <v>2000715235</v>
      </c>
      <c r="F2358">
        <v>1600</v>
      </c>
      <c r="G2358">
        <v>200</v>
      </c>
      <c r="H2358">
        <v>0</v>
      </c>
      <c r="I2358" t="s">
        <v>759</v>
      </c>
      <c r="J2358" t="s">
        <v>193</v>
      </c>
      <c r="K2358" t="s">
        <v>686</v>
      </c>
      <c r="O2358">
        <v>0</v>
      </c>
      <c r="U2358" t="s">
        <v>81</v>
      </c>
    </row>
    <row r="2359" spans="1:21" x14ac:dyDescent="0.25">
      <c r="A2359" s="33">
        <v>2363</v>
      </c>
      <c r="B2359" s="24">
        <v>44258</v>
      </c>
      <c r="C2359" t="s">
        <v>39</v>
      </c>
      <c r="D2359" t="s">
        <v>41</v>
      </c>
      <c r="E2359">
        <v>2000715579</v>
      </c>
      <c r="F2359">
        <v>240</v>
      </c>
      <c r="G2359">
        <v>80</v>
      </c>
      <c r="H2359">
        <v>0</v>
      </c>
      <c r="I2359" t="s">
        <v>661</v>
      </c>
      <c r="J2359" t="s">
        <v>174</v>
      </c>
      <c r="K2359" t="s">
        <v>188</v>
      </c>
      <c r="O2359">
        <v>0</v>
      </c>
      <c r="U2359" t="s">
        <v>81</v>
      </c>
    </row>
    <row r="2360" spans="1:21" x14ac:dyDescent="0.25">
      <c r="A2360" s="33">
        <v>2364</v>
      </c>
      <c r="B2360" s="24">
        <v>44258</v>
      </c>
      <c r="C2360" t="s">
        <v>39</v>
      </c>
      <c r="D2360" t="s">
        <v>41</v>
      </c>
      <c r="E2360">
        <v>2000715225</v>
      </c>
      <c r="F2360">
        <v>120</v>
      </c>
      <c r="G2360">
        <v>120</v>
      </c>
      <c r="H2360">
        <v>0</v>
      </c>
      <c r="I2360" t="s">
        <v>661</v>
      </c>
      <c r="J2360" t="s">
        <v>174</v>
      </c>
      <c r="K2360" t="s">
        <v>188</v>
      </c>
      <c r="O2360">
        <v>0</v>
      </c>
      <c r="U2360" t="s">
        <v>81</v>
      </c>
    </row>
    <row r="2361" spans="1:21" x14ac:dyDescent="0.25">
      <c r="A2361" s="33">
        <v>2365</v>
      </c>
      <c r="B2361" s="24">
        <v>44258</v>
      </c>
      <c r="C2361" t="s">
        <v>39</v>
      </c>
      <c r="D2361" t="s">
        <v>41</v>
      </c>
      <c r="E2361">
        <v>2000715226</v>
      </c>
      <c r="F2361">
        <v>320</v>
      </c>
      <c r="G2361">
        <v>319</v>
      </c>
      <c r="H2361">
        <v>0</v>
      </c>
      <c r="I2361" t="s">
        <v>661</v>
      </c>
      <c r="J2361" t="s">
        <v>174</v>
      </c>
      <c r="K2361" t="s">
        <v>805</v>
      </c>
      <c r="O2361">
        <v>0</v>
      </c>
      <c r="U2361" t="s">
        <v>81</v>
      </c>
    </row>
    <row r="2362" spans="1:21" x14ac:dyDescent="0.25">
      <c r="A2362" s="33">
        <v>2366</v>
      </c>
      <c r="B2362" s="24">
        <v>44258</v>
      </c>
      <c r="C2362" t="s">
        <v>39</v>
      </c>
      <c r="D2362" t="s">
        <v>41</v>
      </c>
      <c r="E2362">
        <v>2000714171</v>
      </c>
      <c r="F2362">
        <v>320</v>
      </c>
      <c r="G2362">
        <v>1</v>
      </c>
      <c r="H2362">
        <v>0</v>
      </c>
      <c r="I2362" t="s">
        <v>661</v>
      </c>
      <c r="J2362" t="s">
        <v>174</v>
      </c>
      <c r="K2362" t="s">
        <v>188</v>
      </c>
      <c r="O2362">
        <v>0</v>
      </c>
      <c r="U2362" t="s">
        <v>81</v>
      </c>
    </row>
    <row r="2363" spans="1:21" x14ac:dyDescent="0.25">
      <c r="A2363" s="33">
        <v>2367</v>
      </c>
      <c r="B2363" s="24">
        <v>44258</v>
      </c>
      <c r="C2363" t="s">
        <v>39</v>
      </c>
      <c r="D2363" t="s">
        <v>41</v>
      </c>
      <c r="E2363">
        <v>2000714699</v>
      </c>
      <c r="F2363">
        <v>1000</v>
      </c>
      <c r="G2363">
        <v>45</v>
      </c>
      <c r="H2363">
        <v>0</v>
      </c>
      <c r="I2363" t="s">
        <v>661</v>
      </c>
      <c r="J2363" t="s">
        <v>169</v>
      </c>
      <c r="K2363" t="s">
        <v>1011</v>
      </c>
      <c r="O2363">
        <v>0</v>
      </c>
      <c r="U2363" t="s">
        <v>81</v>
      </c>
    </row>
    <row r="2364" spans="1:21" x14ac:dyDescent="0.25">
      <c r="A2364" s="33">
        <v>2373</v>
      </c>
      <c r="B2364" s="24">
        <v>44258</v>
      </c>
      <c r="C2364" t="s">
        <v>39</v>
      </c>
      <c r="D2364" t="s">
        <v>41</v>
      </c>
      <c r="E2364">
        <v>2000715176</v>
      </c>
      <c r="F2364">
        <v>1390</v>
      </c>
      <c r="G2364">
        <v>50</v>
      </c>
      <c r="H2364">
        <v>0</v>
      </c>
      <c r="I2364" t="s">
        <v>194</v>
      </c>
      <c r="J2364" t="s">
        <v>645</v>
      </c>
      <c r="K2364" t="s">
        <v>765</v>
      </c>
      <c r="O2364">
        <v>0</v>
      </c>
      <c r="U2364" t="s">
        <v>81</v>
      </c>
    </row>
    <row r="2365" spans="1:21" x14ac:dyDescent="0.25">
      <c r="A2365" s="33">
        <v>2374</v>
      </c>
      <c r="B2365" s="24">
        <v>44258</v>
      </c>
      <c r="C2365" t="s">
        <v>39</v>
      </c>
      <c r="D2365" t="s">
        <v>41</v>
      </c>
      <c r="E2365">
        <v>2000715419</v>
      </c>
      <c r="F2365">
        <v>1600</v>
      </c>
      <c r="G2365">
        <v>20</v>
      </c>
      <c r="H2365">
        <v>0</v>
      </c>
      <c r="I2365" t="s">
        <v>194</v>
      </c>
      <c r="J2365" t="s">
        <v>193</v>
      </c>
      <c r="K2365" t="s">
        <v>647</v>
      </c>
      <c r="O2365">
        <v>0</v>
      </c>
      <c r="U2365" t="s">
        <v>81</v>
      </c>
    </row>
    <row r="2366" spans="1:21" x14ac:dyDescent="0.25">
      <c r="A2366" s="33">
        <v>2375</v>
      </c>
      <c r="B2366" s="24">
        <v>44258</v>
      </c>
      <c r="C2366" t="s">
        <v>39</v>
      </c>
      <c r="D2366" t="s">
        <v>41</v>
      </c>
      <c r="E2366">
        <v>2000714527</v>
      </c>
      <c r="F2366">
        <v>2100</v>
      </c>
      <c r="G2366">
        <v>90</v>
      </c>
      <c r="H2366">
        <v>0</v>
      </c>
      <c r="I2366" t="s">
        <v>194</v>
      </c>
      <c r="J2366" t="s">
        <v>169</v>
      </c>
      <c r="K2366" t="s">
        <v>179</v>
      </c>
      <c r="O2366">
        <v>0</v>
      </c>
      <c r="U2366" t="s">
        <v>81</v>
      </c>
    </row>
    <row r="2367" spans="1:21" x14ac:dyDescent="0.25">
      <c r="A2367" s="33">
        <v>2376</v>
      </c>
      <c r="B2367" s="24">
        <v>44258</v>
      </c>
      <c r="C2367" t="s">
        <v>39</v>
      </c>
      <c r="D2367" t="s">
        <v>41</v>
      </c>
      <c r="E2367">
        <v>2000715418</v>
      </c>
      <c r="F2367">
        <v>1600</v>
      </c>
      <c r="G2367">
        <v>280</v>
      </c>
      <c r="H2367">
        <v>0</v>
      </c>
      <c r="I2367" t="s">
        <v>194</v>
      </c>
      <c r="J2367" t="s">
        <v>193</v>
      </c>
      <c r="K2367" t="s">
        <v>686</v>
      </c>
      <c r="O2367">
        <v>0</v>
      </c>
      <c r="U2367" t="s">
        <v>81</v>
      </c>
    </row>
    <row r="2368" spans="1:21" x14ac:dyDescent="0.25">
      <c r="A2368" s="33">
        <v>2377</v>
      </c>
      <c r="B2368" s="24">
        <v>44258</v>
      </c>
      <c r="C2368" t="s">
        <v>39</v>
      </c>
      <c r="D2368" t="s">
        <v>41</v>
      </c>
      <c r="E2368">
        <v>2000714699</v>
      </c>
      <c r="F2368">
        <v>1000</v>
      </c>
      <c r="G2368">
        <v>90</v>
      </c>
      <c r="H2368">
        <v>0</v>
      </c>
      <c r="I2368" t="s">
        <v>194</v>
      </c>
      <c r="J2368" t="s">
        <v>169</v>
      </c>
      <c r="K2368" t="s">
        <v>179</v>
      </c>
      <c r="O2368">
        <v>0</v>
      </c>
      <c r="U2368" t="s">
        <v>81</v>
      </c>
    </row>
    <row r="2369" spans="1:21" x14ac:dyDescent="0.25">
      <c r="A2369" s="33">
        <v>2378</v>
      </c>
      <c r="B2369" s="24">
        <v>44258</v>
      </c>
      <c r="C2369" t="s">
        <v>39</v>
      </c>
      <c r="D2369" t="s">
        <v>41</v>
      </c>
      <c r="E2369">
        <v>2000714727</v>
      </c>
      <c r="F2369">
        <v>850</v>
      </c>
      <c r="G2369">
        <v>22</v>
      </c>
      <c r="H2369">
        <v>0</v>
      </c>
      <c r="I2369" t="s">
        <v>194</v>
      </c>
      <c r="J2369" t="s">
        <v>698</v>
      </c>
      <c r="K2369" t="s">
        <v>699</v>
      </c>
      <c r="O2369">
        <v>0</v>
      </c>
      <c r="U2369" t="s">
        <v>81</v>
      </c>
    </row>
    <row r="2370" spans="1:21" x14ac:dyDescent="0.25">
      <c r="A2370" s="33">
        <v>2379</v>
      </c>
      <c r="B2370" s="24">
        <v>44258</v>
      </c>
      <c r="C2370" t="s">
        <v>39</v>
      </c>
      <c r="D2370" t="s">
        <v>41</v>
      </c>
      <c r="E2370">
        <v>2000715176</v>
      </c>
      <c r="F2370">
        <v>1390</v>
      </c>
      <c r="G2370">
        <v>450</v>
      </c>
      <c r="H2370">
        <v>0</v>
      </c>
      <c r="I2370" t="s">
        <v>168</v>
      </c>
      <c r="J2370" t="s">
        <v>998</v>
      </c>
      <c r="K2370" t="s">
        <v>765</v>
      </c>
      <c r="O2370">
        <v>0</v>
      </c>
      <c r="U2370" t="s">
        <v>81</v>
      </c>
    </row>
    <row r="2371" spans="1:21" x14ac:dyDescent="0.25">
      <c r="A2371" s="33">
        <v>2381</v>
      </c>
      <c r="B2371" s="24">
        <v>44258</v>
      </c>
      <c r="C2371" t="s">
        <v>39</v>
      </c>
      <c r="D2371" t="s">
        <v>41</v>
      </c>
      <c r="E2371">
        <v>2000715712</v>
      </c>
      <c r="F2371">
        <v>1220</v>
      </c>
      <c r="G2371">
        <v>180</v>
      </c>
      <c r="H2371">
        <v>0</v>
      </c>
      <c r="I2371" t="s">
        <v>168</v>
      </c>
      <c r="J2371" t="s">
        <v>169</v>
      </c>
      <c r="K2371" t="s">
        <v>663</v>
      </c>
      <c r="O2371">
        <v>0</v>
      </c>
      <c r="U2371" t="s">
        <v>81</v>
      </c>
    </row>
    <row r="2372" spans="1:21" x14ac:dyDescent="0.25">
      <c r="A2372" s="33">
        <v>2382</v>
      </c>
      <c r="B2372" s="24">
        <v>44258</v>
      </c>
      <c r="C2372" t="s">
        <v>39</v>
      </c>
      <c r="D2372" t="s">
        <v>41</v>
      </c>
      <c r="E2372">
        <v>2000715183</v>
      </c>
      <c r="F2372">
        <v>1480</v>
      </c>
      <c r="G2372">
        <v>60</v>
      </c>
      <c r="H2372">
        <v>0</v>
      </c>
      <c r="I2372" t="s">
        <v>168</v>
      </c>
      <c r="J2372" t="s">
        <v>169</v>
      </c>
      <c r="K2372" t="s">
        <v>190</v>
      </c>
      <c r="O2372">
        <v>0</v>
      </c>
      <c r="U2372" t="s">
        <v>81</v>
      </c>
    </row>
    <row r="2373" spans="1:21" x14ac:dyDescent="0.25">
      <c r="A2373" s="33">
        <v>2388</v>
      </c>
      <c r="B2373" s="24">
        <v>44258</v>
      </c>
      <c r="C2373" t="s">
        <v>39</v>
      </c>
      <c r="D2373" t="s">
        <v>41</v>
      </c>
      <c r="E2373">
        <v>2000714721</v>
      </c>
      <c r="F2373">
        <v>720</v>
      </c>
      <c r="G2373">
        <v>69</v>
      </c>
      <c r="H2373">
        <v>0</v>
      </c>
      <c r="I2373" t="s">
        <v>693</v>
      </c>
      <c r="J2373" t="s">
        <v>991</v>
      </c>
      <c r="K2373" t="s">
        <v>774</v>
      </c>
      <c r="O2373">
        <v>0</v>
      </c>
      <c r="U2373" t="s">
        <v>81</v>
      </c>
    </row>
    <row r="2374" spans="1:21" x14ac:dyDescent="0.25">
      <c r="A2374" s="33">
        <v>2389</v>
      </c>
      <c r="B2374" s="24">
        <v>44258</v>
      </c>
      <c r="C2374" t="s">
        <v>39</v>
      </c>
      <c r="D2374" t="s">
        <v>41</v>
      </c>
      <c r="E2374">
        <v>2000715183</v>
      </c>
      <c r="F2374">
        <v>1480</v>
      </c>
      <c r="G2374">
        <v>276</v>
      </c>
      <c r="H2374">
        <v>0</v>
      </c>
      <c r="I2374" t="s">
        <v>183</v>
      </c>
      <c r="J2374" t="s">
        <v>169</v>
      </c>
      <c r="K2374" t="s">
        <v>190</v>
      </c>
      <c r="O2374">
        <v>0</v>
      </c>
      <c r="U2374" t="s">
        <v>81</v>
      </c>
    </row>
    <row r="2375" spans="1:21" x14ac:dyDescent="0.25">
      <c r="A2375" s="33">
        <v>2390</v>
      </c>
      <c r="B2375" s="24">
        <v>44258</v>
      </c>
      <c r="C2375" t="s">
        <v>39</v>
      </c>
      <c r="D2375" t="s">
        <v>41</v>
      </c>
      <c r="E2375">
        <v>2000715176</v>
      </c>
      <c r="F2375">
        <v>1390</v>
      </c>
      <c r="G2375">
        <v>112</v>
      </c>
      <c r="H2375">
        <v>0</v>
      </c>
      <c r="I2375" t="s">
        <v>183</v>
      </c>
      <c r="J2375" t="s">
        <v>998</v>
      </c>
      <c r="K2375" t="s">
        <v>765</v>
      </c>
      <c r="O2375">
        <v>0</v>
      </c>
      <c r="U2375" t="s">
        <v>81</v>
      </c>
    </row>
    <row r="2376" spans="1:21" x14ac:dyDescent="0.25">
      <c r="A2376" s="33">
        <v>2391</v>
      </c>
      <c r="B2376" s="24">
        <v>44258</v>
      </c>
      <c r="C2376" t="s">
        <v>39</v>
      </c>
      <c r="D2376" t="s">
        <v>41</v>
      </c>
      <c r="E2376">
        <v>2000715175</v>
      </c>
      <c r="F2376">
        <v>900</v>
      </c>
      <c r="G2376">
        <v>220</v>
      </c>
      <c r="H2376">
        <v>0</v>
      </c>
      <c r="I2376" t="s">
        <v>183</v>
      </c>
      <c r="J2376" t="s">
        <v>998</v>
      </c>
      <c r="K2376" t="s">
        <v>790</v>
      </c>
      <c r="O2376">
        <v>0</v>
      </c>
      <c r="U2376" t="s">
        <v>81</v>
      </c>
    </row>
    <row r="2377" spans="1:21" x14ac:dyDescent="0.25">
      <c r="A2377" s="33">
        <v>2392</v>
      </c>
      <c r="B2377" s="24">
        <v>44258</v>
      </c>
      <c r="C2377" t="s">
        <v>39</v>
      </c>
      <c r="D2377" t="s">
        <v>41</v>
      </c>
      <c r="E2377">
        <v>2000715419</v>
      </c>
      <c r="F2377">
        <v>1600</v>
      </c>
      <c r="G2377">
        <v>200</v>
      </c>
      <c r="H2377">
        <v>1</v>
      </c>
      <c r="I2377" t="s">
        <v>693</v>
      </c>
      <c r="J2377" t="s">
        <v>193</v>
      </c>
      <c r="K2377" t="s">
        <v>647</v>
      </c>
      <c r="L2377" t="s">
        <v>117</v>
      </c>
      <c r="N2377" t="s">
        <v>1012</v>
      </c>
      <c r="O2377">
        <v>1</v>
      </c>
      <c r="P2377" t="s">
        <v>1013</v>
      </c>
      <c r="R2377">
        <v>5346342531</v>
      </c>
      <c r="S2377" s="36">
        <v>0.40972222222222227</v>
      </c>
      <c r="U2377" t="s">
        <v>81</v>
      </c>
    </row>
    <row r="2378" spans="1:21" x14ac:dyDescent="0.25">
      <c r="A2378" s="33">
        <v>2393</v>
      </c>
      <c r="B2378" s="24">
        <v>44258</v>
      </c>
      <c r="C2378" t="s">
        <v>39</v>
      </c>
      <c r="D2378" t="s">
        <v>41</v>
      </c>
      <c r="E2378">
        <v>2000715419</v>
      </c>
      <c r="F2378">
        <v>1600</v>
      </c>
      <c r="G2378">
        <v>140</v>
      </c>
      <c r="H2378">
        <v>1</v>
      </c>
      <c r="I2378" t="s">
        <v>693</v>
      </c>
      <c r="J2378" t="s">
        <v>193</v>
      </c>
      <c r="K2378" t="s">
        <v>647</v>
      </c>
      <c r="L2378" t="s">
        <v>119</v>
      </c>
      <c r="N2378" t="s">
        <v>1014</v>
      </c>
      <c r="O2378">
        <v>1</v>
      </c>
      <c r="P2378" t="s">
        <v>1015</v>
      </c>
      <c r="R2378">
        <v>5346342965</v>
      </c>
      <c r="S2378" s="36">
        <v>0.66666666666666663</v>
      </c>
      <c r="U2378" t="s">
        <v>81</v>
      </c>
    </row>
    <row r="2379" spans="1:21" x14ac:dyDescent="0.25">
      <c r="A2379" s="33">
        <v>2394</v>
      </c>
      <c r="B2379" s="24">
        <v>44258</v>
      </c>
      <c r="C2379" t="s">
        <v>39</v>
      </c>
      <c r="D2379" t="s">
        <v>41</v>
      </c>
      <c r="E2379">
        <v>2000715712</v>
      </c>
      <c r="F2379">
        <v>1220</v>
      </c>
      <c r="G2379">
        <v>263</v>
      </c>
      <c r="H2379">
        <v>1</v>
      </c>
      <c r="I2379" t="s">
        <v>183</v>
      </c>
      <c r="J2379" t="s">
        <v>169</v>
      </c>
      <c r="K2379" t="s">
        <v>663</v>
      </c>
      <c r="L2379" t="s">
        <v>98</v>
      </c>
      <c r="N2379" t="s">
        <v>1016</v>
      </c>
      <c r="O2379">
        <v>1</v>
      </c>
      <c r="P2379" t="s">
        <v>1017</v>
      </c>
      <c r="R2379">
        <v>5530286793</v>
      </c>
      <c r="S2379" s="36">
        <v>0.40277777777777773</v>
      </c>
      <c r="U2379" t="s">
        <v>81</v>
      </c>
    </row>
    <row r="2380" spans="1:21" x14ac:dyDescent="0.25">
      <c r="A2380" s="33">
        <v>2395</v>
      </c>
      <c r="B2380" s="24">
        <v>44258</v>
      </c>
      <c r="C2380" t="s">
        <v>39</v>
      </c>
      <c r="D2380" t="s">
        <v>41</v>
      </c>
      <c r="E2380">
        <v>2000715176</v>
      </c>
      <c r="F2380">
        <v>1390</v>
      </c>
      <c r="G2380">
        <v>150</v>
      </c>
      <c r="H2380">
        <v>0</v>
      </c>
      <c r="I2380" t="s">
        <v>198</v>
      </c>
      <c r="J2380" t="s">
        <v>645</v>
      </c>
      <c r="K2380" t="s">
        <v>765</v>
      </c>
      <c r="O2380">
        <v>0</v>
      </c>
      <c r="U2380" t="s">
        <v>81</v>
      </c>
    </row>
    <row r="2381" spans="1:21" x14ac:dyDescent="0.25">
      <c r="A2381" s="33">
        <v>2396</v>
      </c>
      <c r="B2381" s="24">
        <v>44258</v>
      </c>
      <c r="C2381" t="s">
        <v>39</v>
      </c>
      <c r="D2381" t="s">
        <v>41</v>
      </c>
      <c r="E2381">
        <v>2000714130</v>
      </c>
      <c r="F2381">
        <v>920</v>
      </c>
      <c r="G2381">
        <v>160</v>
      </c>
      <c r="H2381">
        <v>0</v>
      </c>
      <c r="I2381" t="s">
        <v>198</v>
      </c>
      <c r="J2381" t="s">
        <v>745</v>
      </c>
      <c r="K2381" t="s">
        <v>746</v>
      </c>
      <c r="O2381">
        <v>0</v>
      </c>
      <c r="U2381" t="s">
        <v>81</v>
      </c>
    </row>
    <row r="2382" spans="1:21" x14ac:dyDescent="0.25">
      <c r="A2382" s="33">
        <v>2397</v>
      </c>
      <c r="B2382" s="24">
        <v>44258</v>
      </c>
      <c r="C2382" t="s">
        <v>39</v>
      </c>
      <c r="D2382" t="s">
        <v>41</v>
      </c>
      <c r="E2382">
        <v>2000715175</v>
      </c>
      <c r="F2382">
        <v>900</v>
      </c>
      <c r="G2382">
        <v>70</v>
      </c>
      <c r="H2382">
        <v>0</v>
      </c>
      <c r="I2382" t="s">
        <v>198</v>
      </c>
      <c r="J2382" t="s">
        <v>645</v>
      </c>
      <c r="K2382" t="s">
        <v>790</v>
      </c>
      <c r="O2382">
        <v>0</v>
      </c>
      <c r="U2382" t="s">
        <v>81</v>
      </c>
    </row>
    <row r="2383" spans="1:21" x14ac:dyDescent="0.25">
      <c r="A2383" s="33">
        <v>2398</v>
      </c>
      <c r="B2383" s="24">
        <v>44258</v>
      </c>
      <c r="C2383" t="s">
        <v>39</v>
      </c>
      <c r="D2383" t="s">
        <v>41</v>
      </c>
      <c r="E2383">
        <v>2000714573</v>
      </c>
      <c r="F2383">
        <v>1776</v>
      </c>
      <c r="G2383">
        <v>400</v>
      </c>
      <c r="H2383">
        <v>0</v>
      </c>
      <c r="I2383" t="s">
        <v>198</v>
      </c>
      <c r="J2383" t="s">
        <v>203</v>
      </c>
      <c r="K2383" t="s">
        <v>788</v>
      </c>
      <c r="O2383">
        <v>0</v>
      </c>
      <c r="U2383" t="s">
        <v>81</v>
      </c>
    </row>
    <row r="2384" spans="1:21" x14ac:dyDescent="0.25">
      <c r="A2384" s="33">
        <v>2399</v>
      </c>
      <c r="B2384" s="24">
        <v>44258</v>
      </c>
      <c r="C2384" t="s">
        <v>39</v>
      </c>
      <c r="D2384" t="s">
        <v>41</v>
      </c>
      <c r="E2384">
        <v>2000715196</v>
      </c>
      <c r="F2384">
        <v>660</v>
      </c>
      <c r="G2384">
        <v>150</v>
      </c>
      <c r="H2384">
        <v>0</v>
      </c>
      <c r="I2384" t="s">
        <v>198</v>
      </c>
      <c r="J2384" t="s">
        <v>200</v>
      </c>
      <c r="K2384" t="s">
        <v>737</v>
      </c>
      <c r="O2384">
        <v>0</v>
      </c>
      <c r="U2384" t="s">
        <v>81</v>
      </c>
    </row>
    <row r="2385" spans="1:21" x14ac:dyDescent="0.25">
      <c r="A2385" s="33">
        <v>2400</v>
      </c>
      <c r="B2385" s="24">
        <v>44258</v>
      </c>
      <c r="C2385" t="s">
        <v>39</v>
      </c>
      <c r="D2385" t="s">
        <v>41</v>
      </c>
      <c r="E2385">
        <v>2000714681</v>
      </c>
      <c r="F2385">
        <v>5360</v>
      </c>
      <c r="G2385">
        <v>440</v>
      </c>
      <c r="H2385">
        <v>0</v>
      </c>
      <c r="I2385" t="s">
        <v>666</v>
      </c>
      <c r="J2385" t="s">
        <v>200</v>
      </c>
      <c r="K2385" t="s">
        <v>653</v>
      </c>
      <c r="O2385">
        <v>0</v>
      </c>
      <c r="U2385" t="s">
        <v>81</v>
      </c>
    </row>
    <row r="2386" spans="1:21" x14ac:dyDescent="0.25">
      <c r="A2386" s="33">
        <v>2401</v>
      </c>
      <c r="B2386" s="24">
        <v>44258</v>
      </c>
      <c r="C2386" t="s">
        <v>39</v>
      </c>
      <c r="D2386" t="s">
        <v>41</v>
      </c>
      <c r="E2386">
        <v>2000714176</v>
      </c>
      <c r="F2386">
        <v>1390</v>
      </c>
      <c r="G2386">
        <v>100</v>
      </c>
      <c r="H2386">
        <v>0</v>
      </c>
      <c r="I2386" t="s">
        <v>666</v>
      </c>
      <c r="J2386" t="s">
        <v>645</v>
      </c>
      <c r="K2386" t="s">
        <v>765</v>
      </c>
      <c r="O2386">
        <v>0</v>
      </c>
      <c r="U2386" t="s">
        <v>81</v>
      </c>
    </row>
    <row r="2387" spans="1:21" x14ac:dyDescent="0.25">
      <c r="A2387" s="33">
        <v>2402</v>
      </c>
      <c r="B2387" s="24">
        <v>44258</v>
      </c>
      <c r="C2387" t="s">
        <v>39</v>
      </c>
      <c r="D2387" t="s">
        <v>41</v>
      </c>
      <c r="E2387">
        <v>2000714598</v>
      </c>
      <c r="F2387">
        <v>2704</v>
      </c>
      <c r="G2387">
        <v>160</v>
      </c>
      <c r="H2387">
        <v>0</v>
      </c>
      <c r="I2387" t="s">
        <v>666</v>
      </c>
      <c r="J2387" t="s">
        <v>655</v>
      </c>
      <c r="K2387" t="s">
        <v>656</v>
      </c>
      <c r="O2387">
        <v>0</v>
      </c>
      <c r="U2387" t="s">
        <v>81</v>
      </c>
    </row>
    <row r="2388" spans="1:21" x14ac:dyDescent="0.25">
      <c r="A2388" s="33">
        <v>2403</v>
      </c>
      <c r="B2388" s="24">
        <v>44258</v>
      </c>
      <c r="C2388" t="s">
        <v>39</v>
      </c>
      <c r="D2388" t="s">
        <v>41</v>
      </c>
      <c r="E2388">
        <v>2000714598</v>
      </c>
      <c r="F2388">
        <v>2704</v>
      </c>
      <c r="G2388">
        <v>80</v>
      </c>
      <c r="H2388">
        <v>0</v>
      </c>
      <c r="I2388" t="s">
        <v>666</v>
      </c>
      <c r="J2388" t="s">
        <v>655</v>
      </c>
      <c r="K2388" t="s">
        <v>656</v>
      </c>
      <c r="O2388">
        <v>0</v>
      </c>
      <c r="U2388" t="s">
        <v>81</v>
      </c>
    </row>
    <row r="2389" spans="1:21" x14ac:dyDescent="0.25">
      <c r="A2389" s="33">
        <v>2404</v>
      </c>
      <c r="B2389" s="24">
        <v>44258</v>
      </c>
      <c r="C2389" t="s">
        <v>39</v>
      </c>
      <c r="D2389" t="s">
        <v>41</v>
      </c>
      <c r="E2389">
        <v>2000714681</v>
      </c>
      <c r="F2389">
        <v>5360</v>
      </c>
      <c r="G2389">
        <v>160</v>
      </c>
      <c r="H2389">
        <v>0</v>
      </c>
      <c r="I2389" t="s">
        <v>666</v>
      </c>
      <c r="J2389" t="s">
        <v>200</v>
      </c>
      <c r="K2389" t="s">
        <v>653</v>
      </c>
      <c r="O2389">
        <v>0</v>
      </c>
      <c r="U2389" t="s">
        <v>81</v>
      </c>
    </row>
    <row r="2390" spans="1:21" x14ac:dyDescent="0.25">
      <c r="A2390" s="33">
        <v>2405</v>
      </c>
      <c r="B2390" s="24">
        <v>44257</v>
      </c>
      <c r="C2390" t="s">
        <v>39</v>
      </c>
      <c r="D2390" t="s">
        <v>41</v>
      </c>
      <c r="E2390">
        <v>2000714219</v>
      </c>
      <c r="F2390">
        <v>800</v>
      </c>
      <c r="G2390">
        <v>210</v>
      </c>
      <c r="H2390">
        <v>0</v>
      </c>
      <c r="I2390" t="s">
        <v>178</v>
      </c>
      <c r="J2390" t="s">
        <v>203</v>
      </c>
      <c r="K2390" t="s">
        <v>638</v>
      </c>
      <c r="O2390">
        <v>0</v>
      </c>
      <c r="U2390" t="s">
        <v>81</v>
      </c>
    </row>
    <row r="2391" spans="1:21" x14ac:dyDescent="0.25">
      <c r="A2391" s="33">
        <v>2406</v>
      </c>
      <c r="B2391" s="24">
        <v>44259</v>
      </c>
      <c r="C2391" t="s">
        <v>39</v>
      </c>
      <c r="D2391" t="s">
        <v>41</v>
      </c>
      <c r="E2391">
        <v>2000715189</v>
      </c>
      <c r="F2391">
        <v>1300</v>
      </c>
      <c r="G2391">
        <v>570</v>
      </c>
      <c r="H2391">
        <v>0</v>
      </c>
      <c r="I2391" t="s">
        <v>178</v>
      </c>
      <c r="J2391" t="s">
        <v>203</v>
      </c>
      <c r="K2391" t="s">
        <v>639</v>
      </c>
      <c r="O2391">
        <v>0</v>
      </c>
      <c r="U2391" t="s">
        <v>81</v>
      </c>
    </row>
    <row r="2392" spans="1:21" x14ac:dyDescent="0.25">
      <c r="A2392" s="33">
        <v>2407</v>
      </c>
      <c r="B2392" s="24">
        <v>44259</v>
      </c>
      <c r="C2392" t="s">
        <v>39</v>
      </c>
      <c r="D2392" t="s">
        <v>41</v>
      </c>
      <c r="E2392">
        <v>2000715183</v>
      </c>
      <c r="F2392">
        <v>1480</v>
      </c>
      <c r="G2392">
        <v>460</v>
      </c>
      <c r="H2392">
        <v>0</v>
      </c>
      <c r="I2392" t="s">
        <v>168</v>
      </c>
      <c r="J2392" t="s">
        <v>169</v>
      </c>
      <c r="K2392" t="s">
        <v>768</v>
      </c>
      <c r="O2392">
        <v>0</v>
      </c>
      <c r="U2392" t="s">
        <v>81</v>
      </c>
    </row>
    <row r="2393" spans="1:21" x14ac:dyDescent="0.25">
      <c r="A2393" s="33">
        <v>2408</v>
      </c>
      <c r="B2393" s="24">
        <v>44259</v>
      </c>
      <c r="C2393" t="s">
        <v>39</v>
      </c>
      <c r="D2393" t="s">
        <v>41</v>
      </c>
      <c r="E2393">
        <v>2000715189</v>
      </c>
      <c r="F2393">
        <v>1300</v>
      </c>
      <c r="G2393">
        <v>60</v>
      </c>
      <c r="H2393">
        <v>0</v>
      </c>
      <c r="I2393" t="s">
        <v>168</v>
      </c>
      <c r="J2393" t="s">
        <v>203</v>
      </c>
      <c r="K2393" t="s">
        <v>639</v>
      </c>
      <c r="O2393">
        <v>0</v>
      </c>
      <c r="U2393" t="s">
        <v>81</v>
      </c>
    </row>
    <row r="2394" spans="1:21" x14ac:dyDescent="0.25">
      <c r="A2394" s="33">
        <v>2409</v>
      </c>
      <c r="B2394" s="24">
        <v>44259</v>
      </c>
      <c r="C2394" t="s">
        <v>39</v>
      </c>
      <c r="D2394" t="s">
        <v>41</v>
      </c>
      <c r="E2394">
        <v>2000715070</v>
      </c>
      <c r="F2394">
        <v>520</v>
      </c>
      <c r="G2394">
        <v>100</v>
      </c>
      <c r="H2394">
        <v>0</v>
      </c>
      <c r="I2394" t="s">
        <v>168</v>
      </c>
      <c r="J2394" t="s">
        <v>172</v>
      </c>
      <c r="K2394" t="s">
        <v>854</v>
      </c>
      <c r="O2394">
        <v>0</v>
      </c>
      <c r="U2394" t="s">
        <v>81</v>
      </c>
    </row>
    <row r="2395" spans="1:21" x14ac:dyDescent="0.25">
      <c r="A2395" s="33">
        <v>2410</v>
      </c>
      <c r="B2395" s="24">
        <v>44259</v>
      </c>
      <c r="C2395" t="s">
        <v>39</v>
      </c>
      <c r="D2395" t="s">
        <v>41</v>
      </c>
      <c r="E2395">
        <v>2000715175</v>
      </c>
      <c r="F2395">
        <v>900</v>
      </c>
      <c r="G2395">
        <v>410</v>
      </c>
      <c r="H2395">
        <v>0</v>
      </c>
      <c r="I2395" t="s">
        <v>183</v>
      </c>
      <c r="J2395" t="s">
        <v>645</v>
      </c>
      <c r="K2395" t="s">
        <v>790</v>
      </c>
      <c r="O2395">
        <v>0</v>
      </c>
      <c r="U2395" t="s">
        <v>81</v>
      </c>
    </row>
    <row r="2396" spans="1:21" x14ac:dyDescent="0.25">
      <c r="A2396" s="33">
        <v>2411</v>
      </c>
      <c r="B2396" s="24">
        <v>44259</v>
      </c>
      <c r="C2396" t="s">
        <v>39</v>
      </c>
      <c r="D2396" t="s">
        <v>41</v>
      </c>
      <c r="E2396">
        <v>2000715177</v>
      </c>
      <c r="F2396">
        <v>800</v>
      </c>
      <c r="G2396">
        <v>520</v>
      </c>
      <c r="H2396">
        <v>0</v>
      </c>
      <c r="I2396" t="s">
        <v>183</v>
      </c>
      <c r="J2396" t="s">
        <v>645</v>
      </c>
      <c r="K2396" t="s">
        <v>790</v>
      </c>
      <c r="O2396">
        <v>0</v>
      </c>
      <c r="U2396" t="s">
        <v>81</v>
      </c>
    </row>
    <row r="2397" spans="1:21" x14ac:dyDescent="0.25">
      <c r="A2397" s="33">
        <v>2412</v>
      </c>
      <c r="B2397" s="24">
        <v>44259</v>
      </c>
      <c r="C2397" t="s">
        <v>39</v>
      </c>
      <c r="D2397" t="s">
        <v>41</v>
      </c>
      <c r="E2397">
        <v>2000714699</v>
      </c>
      <c r="F2397">
        <v>1000</v>
      </c>
      <c r="G2397">
        <v>60</v>
      </c>
      <c r="H2397">
        <v>0</v>
      </c>
      <c r="I2397" t="s">
        <v>665</v>
      </c>
      <c r="J2397" t="s">
        <v>169</v>
      </c>
      <c r="K2397" t="s">
        <v>179</v>
      </c>
      <c r="O2397">
        <v>0</v>
      </c>
      <c r="U2397" t="s">
        <v>81</v>
      </c>
    </row>
    <row r="2398" spans="1:21" x14ac:dyDescent="0.25">
      <c r="A2398" s="33">
        <v>2413</v>
      </c>
      <c r="B2398" s="24">
        <v>44259</v>
      </c>
      <c r="C2398" t="s">
        <v>39</v>
      </c>
      <c r="D2398" t="s">
        <v>41</v>
      </c>
      <c r="E2398">
        <v>2000715066</v>
      </c>
      <c r="F2398">
        <v>800</v>
      </c>
      <c r="G2398">
        <v>30</v>
      </c>
      <c r="H2398">
        <v>0</v>
      </c>
      <c r="I2398" t="s">
        <v>665</v>
      </c>
      <c r="J2398" t="s">
        <v>172</v>
      </c>
      <c r="K2398" t="s">
        <v>173</v>
      </c>
      <c r="O2398">
        <v>0</v>
      </c>
      <c r="U2398" t="s">
        <v>81</v>
      </c>
    </row>
    <row r="2399" spans="1:21" ht="60" x14ac:dyDescent="0.25">
      <c r="A2399" s="33">
        <v>2414</v>
      </c>
      <c r="B2399" s="24">
        <v>44259</v>
      </c>
      <c r="C2399" t="s">
        <v>39</v>
      </c>
      <c r="D2399" t="s">
        <v>41</v>
      </c>
      <c r="E2399">
        <v>2000715070</v>
      </c>
      <c r="F2399">
        <v>520</v>
      </c>
      <c r="G2399">
        <v>100</v>
      </c>
      <c r="H2399">
        <v>0</v>
      </c>
      <c r="I2399" t="s">
        <v>665</v>
      </c>
      <c r="J2399" t="s">
        <v>172</v>
      </c>
      <c r="K2399" t="s">
        <v>854</v>
      </c>
      <c r="O2399">
        <v>0</v>
      </c>
      <c r="T2399" s="62" t="s">
        <v>821</v>
      </c>
      <c r="U2399" t="s">
        <v>81</v>
      </c>
    </row>
    <row r="2400" spans="1:21" x14ac:dyDescent="0.25">
      <c r="A2400" s="33">
        <v>2415</v>
      </c>
      <c r="B2400" s="24">
        <v>44259</v>
      </c>
      <c r="C2400" t="s">
        <v>39</v>
      </c>
      <c r="D2400" t="s">
        <v>41</v>
      </c>
      <c r="E2400">
        <v>2000715227</v>
      </c>
      <c r="F2400">
        <v>280</v>
      </c>
      <c r="G2400">
        <v>40</v>
      </c>
      <c r="H2400">
        <v>0</v>
      </c>
      <c r="I2400" t="s">
        <v>665</v>
      </c>
      <c r="J2400" t="s">
        <v>174</v>
      </c>
      <c r="K2400" t="s">
        <v>722</v>
      </c>
      <c r="O2400">
        <v>0</v>
      </c>
      <c r="U2400" t="s">
        <v>81</v>
      </c>
    </row>
    <row r="2401" spans="1:21" x14ac:dyDescent="0.25">
      <c r="A2401" s="33">
        <v>2416</v>
      </c>
      <c r="B2401" s="24">
        <v>44259</v>
      </c>
      <c r="C2401" t="s">
        <v>39</v>
      </c>
      <c r="D2401" t="s">
        <v>41</v>
      </c>
      <c r="E2401">
        <v>2000715196</v>
      </c>
      <c r="F2401">
        <v>6600</v>
      </c>
      <c r="G2401">
        <v>450</v>
      </c>
      <c r="H2401">
        <v>0</v>
      </c>
      <c r="I2401" t="s">
        <v>665</v>
      </c>
      <c r="J2401" t="s">
        <v>200</v>
      </c>
      <c r="K2401" t="s">
        <v>737</v>
      </c>
      <c r="O2401">
        <v>0</v>
      </c>
      <c r="U2401" t="s">
        <v>81</v>
      </c>
    </row>
    <row r="2402" spans="1:21" x14ac:dyDescent="0.25">
      <c r="A2402" s="33">
        <v>2417</v>
      </c>
      <c r="B2402" s="24">
        <v>44259</v>
      </c>
      <c r="C2402" t="s">
        <v>39</v>
      </c>
      <c r="D2402" t="s">
        <v>41</v>
      </c>
      <c r="E2402">
        <v>2000715065</v>
      </c>
      <c r="F2402">
        <v>2300</v>
      </c>
      <c r="G2402">
        <v>50</v>
      </c>
      <c r="H2402">
        <v>0</v>
      </c>
      <c r="I2402" t="s">
        <v>665</v>
      </c>
      <c r="J2402" t="s">
        <v>172</v>
      </c>
      <c r="K2402" t="s">
        <v>724</v>
      </c>
      <c r="O2402">
        <v>0</v>
      </c>
      <c r="U2402" t="s">
        <v>81</v>
      </c>
    </row>
    <row r="2403" spans="1:21" x14ac:dyDescent="0.25">
      <c r="A2403" s="33">
        <v>2418</v>
      </c>
      <c r="B2403" s="24">
        <v>44259</v>
      </c>
      <c r="C2403" t="s">
        <v>39</v>
      </c>
      <c r="D2403" t="s">
        <v>41</v>
      </c>
      <c r="E2403">
        <v>2000715068</v>
      </c>
      <c r="F2403">
        <v>2300</v>
      </c>
      <c r="G2403">
        <v>150</v>
      </c>
      <c r="H2403">
        <v>0</v>
      </c>
      <c r="I2403" t="s">
        <v>665</v>
      </c>
      <c r="J2403" t="s">
        <v>172</v>
      </c>
      <c r="K2403" t="s">
        <v>724</v>
      </c>
      <c r="O2403">
        <v>0</v>
      </c>
      <c r="U2403" t="s">
        <v>81</v>
      </c>
    </row>
    <row r="2404" spans="1:21" x14ac:dyDescent="0.25">
      <c r="A2404" s="33">
        <v>2419</v>
      </c>
      <c r="B2404" s="24">
        <v>44259</v>
      </c>
      <c r="C2404" t="s">
        <v>39</v>
      </c>
      <c r="D2404" t="s">
        <v>41</v>
      </c>
      <c r="E2404">
        <v>2000714699</v>
      </c>
      <c r="F2404">
        <v>1000</v>
      </c>
      <c r="G2404">
        <v>30</v>
      </c>
      <c r="H2404">
        <v>0</v>
      </c>
      <c r="I2404" t="s">
        <v>194</v>
      </c>
      <c r="J2404" t="s">
        <v>169</v>
      </c>
      <c r="K2404" t="s">
        <v>179</v>
      </c>
      <c r="O2404">
        <v>0</v>
      </c>
      <c r="U2404" t="s">
        <v>81</v>
      </c>
    </row>
    <row r="2405" spans="1:21" x14ac:dyDescent="0.25">
      <c r="A2405" s="33">
        <v>2420</v>
      </c>
      <c r="B2405" s="24">
        <v>44259</v>
      </c>
      <c r="C2405" t="s">
        <v>39</v>
      </c>
      <c r="D2405" t="s">
        <v>41</v>
      </c>
      <c r="E2405">
        <v>2000715227</v>
      </c>
      <c r="F2405">
        <v>280</v>
      </c>
      <c r="G2405">
        <v>80</v>
      </c>
      <c r="H2405">
        <v>0</v>
      </c>
      <c r="I2405" t="s">
        <v>194</v>
      </c>
      <c r="J2405" t="s">
        <v>174</v>
      </c>
      <c r="K2405" t="s">
        <v>722</v>
      </c>
      <c r="O2405">
        <v>0</v>
      </c>
      <c r="U2405" t="s">
        <v>81</v>
      </c>
    </row>
    <row r="2406" spans="1:21" x14ac:dyDescent="0.25">
      <c r="A2406" s="33">
        <v>2421</v>
      </c>
      <c r="B2406" s="24">
        <v>44259</v>
      </c>
      <c r="C2406" t="s">
        <v>39</v>
      </c>
      <c r="D2406" t="s">
        <v>41</v>
      </c>
      <c r="E2406">
        <v>2000715068</v>
      </c>
      <c r="F2406">
        <v>2300</v>
      </c>
      <c r="G2406">
        <v>90</v>
      </c>
      <c r="H2406">
        <v>0</v>
      </c>
      <c r="I2406" t="s">
        <v>194</v>
      </c>
      <c r="J2406" t="s">
        <v>172</v>
      </c>
      <c r="K2406" t="s">
        <v>724</v>
      </c>
      <c r="O2406">
        <v>0</v>
      </c>
      <c r="U2406" t="s">
        <v>81</v>
      </c>
    </row>
    <row r="2407" spans="1:21" x14ac:dyDescent="0.25">
      <c r="A2407" s="33">
        <v>2422</v>
      </c>
      <c r="B2407" s="24">
        <v>44259</v>
      </c>
      <c r="C2407" t="s">
        <v>39</v>
      </c>
      <c r="D2407" t="s">
        <v>41</v>
      </c>
      <c r="E2407">
        <v>2000715065</v>
      </c>
      <c r="F2407">
        <v>2300</v>
      </c>
      <c r="G2407">
        <v>30</v>
      </c>
      <c r="H2407">
        <v>0</v>
      </c>
      <c r="I2407" t="s">
        <v>194</v>
      </c>
      <c r="J2407" t="s">
        <v>172</v>
      </c>
      <c r="K2407" t="s">
        <v>724</v>
      </c>
      <c r="O2407">
        <v>0</v>
      </c>
      <c r="U2407" t="s">
        <v>81</v>
      </c>
    </row>
    <row r="2408" spans="1:21" x14ac:dyDescent="0.25">
      <c r="A2408" s="33">
        <v>2423</v>
      </c>
      <c r="B2408" s="24">
        <v>44259</v>
      </c>
      <c r="C2408" t="s">
        <v>39</v>
      </c>
      <c r="D2408" t="s">
        <v>41</v>
      </c>
      <c r="E2408">
        <v>2000715581</v>
      </c>
      <c r="F2408">
        <v>720</v>
      </c>
      <c r="G2408">
        <v>40</v>
      </c>
      <c r="H2408">
        <v>0</v>
      </c>
      <c r="I2408" t="s">
        <v>194</v>
      </c>
      <c r="J2408" t="s">
        <v>174</v>
      </c>
      <c r="K2408" t="s">
        <v>644</v>
      </c>
      <c r="O2408">
        <v>0</v>
      </c>
      <c r="U2408" t="s">
        <v>81</v>
      </c>
    </row>
    <row r="2409" spans="1:21" x14ac:dyDescent="0.25">
      <c r="A2409" s="33">
        <v>2424</v>
      </c>
      <c r="B2409" s="24">
        <v>44259</v>
      </c>
      <c r="C2409" t="s">
        <v>39</v>
      </c>
      <c r="D2409" t="s">
        <v>41</v>
      </c>
      <c r="E2409">
        <v>2000715086</v>
      </c>
      <c r="F2409">
        <v>2180</v>
      </c>
      <c r="G2409">
        <v>240</v>
      </c>
      <c r="H2409">
        <v>0</v>
      </c>
      <c r="I2409" t="s">
        <v>194</v>
      </c>
      <c r="J2409" t="s">
        <v>645</v>
      </c>
      <c r="K2409" t="s">
        <v>721</v>
      </c>
      <c r="O2409">
        <v>0</v>
      </c>
      <c r="U2409" t="s">
        <v>81</v>
      </c>
    </row>
    <row r="2410" spans="1:21" x14ac:dyDescent="0.25">
      <c r="A2410" s="33">
        <v>2425</v>
      </c>
      <c r="B2410" s="24">
        <v>44259</v>
      </c>
      <c r="C2410" t="s">
        <v>39</v>
      </c>
      <c r="D2410" t="s">
        <v>41</v>
      </c>
      <c r="E2410">
        <v>2000715196</v>
      </c>
      <c r="F2410">
        <v>6600</v>
      </c>
      <c r="G2410">
        <v>600</v>
      </c>
      <c r="H2410">
        <v>0</v>
      </c>
      <c r="I2410" t="s">
        <v>198</v>
      </c>
      <c r="J2410" t="s">
        <v>200</v>
      </c>
      <c r="K2410" t="s">
        <v>737</v>
      </c>
      <c r="O2410">
        <v>0</v>
      </c>
      <c r="U2410" t="s">
        <v>81</v>
      </c>
    </row>
    <row r="2411" spans="1:21" x14ac:dyDescent="0.25">
      <c r="A2411" s="33">
        <v>2426</v>
      </c>
      <c r="B2411" s="24">
        <v>44259</v>
      </c>
      <c r="C2411" t="s">
        <v>39</v>
      </c>
      <c r="D2411" t="s">
        <v>41</v>
      </c>
      <c r="E2411">
        <v>2000714829</v>
      </c>
      <c r="F2411">
        <v>1650</v>
      </c>
      <c r="G2411">
        <v>210</v>
      </c>
      <c r="H2411">
        <v>0</v>
      </c>
      <c r="I2411" t="s">
        <v>198</v>
      </c>
      <c r="J2411" t="s">
        <v>193</v>
      </c>
      <c r="K2411" t="s">
        <v>650</v>
      </c>
      <c r="O2411">
        <v>0</v>
      </c>
      <c r="U2411" t="s">
        <v>81</v>
      </c>
    </row>
    <row r="2412" spans="1:21" x14ac:dyDescent="0.25">
      <c r="A2412" s="33">
        <v>2427</v>
      </c>
      <c r="B2412" s="24">
        <v>44259</v>
      </c>
      <c r="C2412" t="s">
        <v>39</v>
      </c>
      <c r="D2412" t="s">
        <v>41</v>
      </c>
      <c r="E2412">
        <v>2000715234</v>
      </c>
      <c r="F2412">
        <v>1600</v>
      </c>
      <c r="G2412">
        <v>120</v>
      </c>
      <c r="H2412">
        <v>0</v>
      </c>
      <c r="I2412" t="s">
        <v>198</v>
      </c>
      <c r="J2412" t="s">
        <v>193</v>
      </c>
      <c r="K2412" t="s">
        <v>650</v>
      </c>
      <c r="O2412">
        <v>0</v>
      </c>
      <c r="U2412" t="s">
        <v>81</v>
      </c>
    </row>
    <row r="2413" spans="1:21" x14ac:dyDescent="0.25">
      <c r="A2413" s="33">
        <v>2428</v>
      </c>
      <c r="B2413" s="24">
        <v>44259</v>
      </c>
      <c r="C2413" t="s">
        <v>39</v>
      </c>
      <c r="D2413" t="s">
        <v>41</v>
      </c>
      <c r="E2413">
        <v>2000714130</v>
      </c>
      <c r="F2413">
        <v>920</v>
      </c>
      <c r="G2413">
        <v>80</v>
      </c>
      <c r="H2413">
        <v>0</v>
      </c>
      <c r="I2413" t="s">
        <v>198</v>
      </c>
      <c r="J2413" t="s">
        <v>745</v>
      </c>
      <c r="K2413" t="s">
        <v>746</v>
      </c>
      <c r="O2413">
        <v>0</v>
      </c>
      <c r="U2413" t="s">
        <v>81</v>
      </c>
    </row>
    <row r="2414" spans="1:21" x14ac:dyDescent="0.25">
      <c r="A2414" s="33">
        <v>2429</v>
      </c>
      <c r="B2414" s="24">
        <v>44259</v>
      </c>
      <c r="C2414" t="s">
        <v>39</v>
      </c>
      <c r="D2414" t="s">
        <v>41</v>
      </c>
      <c r="E2414">
        <v>2000715175</v>
      </c>
      <c r="F2414">
        <v>900</v>
      </c>
      <c r="G2414">
        <v>80</v>
      </c>
      <c r="H2414">
        <v>0</v>
      </c>
      <c r="I2414" t="s">
        <v>198</v>
      </c>
      <c r="J2414" t="s">
        <v>645</v>
      </c>
      <c r="K2414" t="s">
        <v>790</v>
      </c>
      <c r="O2414">
        <v>0</v>
      </c>
      <c r="U2414" t="s">
        <v>81</v>
      </c>
    </row>
    <row r="2415" spans="1:21" x14ac:dyDescent="0.25">
      <c r="A2415" s="33">
        <v>2430</v>
      </c>
      <c r="B2415" s="24">
        <v>44259</v>
      </c>
      <c r="C2415" t="s">
        <v>39</v>
      </c>
      <c r="D2415" t="s">
        <v>41</v>
      </c>
      <c r="E2415">
        <v>2000715227</v>
      </c>
      <c r="F2415">
        <v>280</v>
      </c>
      <c r="G2415">
        <v>120</v>
      </c>
      <c r="H2415">
        <v>0</v>
      </c>
      <c r="I2415" t="s">
        <v>198</v>
      </c>
      <c r="J2415" t="s">
        <v>174</v>
      </c>
      <c r="K2415" t="s">
        <v>722</v>
      </c>
      <c r="O2415">
        <v>0</v>
      </c>
      <c r="U2415" t="s">
        <v>81</v>
      </c>
    </row>
    <row r="2416" spans="1:21" x14ac:dyDescent="0.25">
      <c r="A2416" s="33">
        <v>2431</v>
      </c>
      <c r="B2416" s="24">
        <v>44259</v>
      </c>
      <c r="C2416" t="s">
        <v>39</v>
      </c>
      <c r="D2416" t="s">
        <v>41</v>
      </c>
      <c r="E2416">
        <v>2000709636</v>
      </c>
      <c r="F2416">
        <v>126</v>
      </c>
      <c r="G2416">
        <v>1</v>
      </c>
      <c r="H2416">
        <v>0</v>
      </c>
      <c r="I2416" t="s">
        <v>198</v>
      </c>
      <c r="J2416" t="s">
        <v>174</v>
      </c>
      <c r="K2416" t="s">
        <v>722</v>
      </c>
      <c r="O2416">
        <v>0</v>
      </c>
      <c r="U2416" t="s">
        <v>81</v>
      </c>
    </row>
    <row r="2417" spans="1:21" x14ac:dyDescent="0.25">
      <c r="A2417" s="33">
        <v>2432</v>
      </c>
      <c r="B2417" s="24">
        <v>44259</v>
      </c>
      <c r="C2417" t="s">
        <v>39</v>
      </c>
      <c r="D2417" t="s">
        <v>41</v>
      </c>
      <c r="E2417">
        <v>2000715228</v>
      </c>
      <c r="F2417">
        <v>120</v>
      </c>
      <c r="G2417">
        <v>100</v>
      </c>
      <c r="H2417">
        <v>0</v>
      </c>
      <c r="I2417" t="s">
        <v>198</v>
      </c>
      <c r="J2417" t="s">
        <v>174</v>
      </c>
      <c r="K2417" t="s">
        <v>792</v>
      </c>
      <c r="O2417">
        <v>0</v>
      </c>
      <c r="U2417" t="s">
        <v>81</v>
      </c>
    </row>
    <row r="2418" spans="1:21" x14ac:dyDescent="0.25">
      <c r="A2418" s="33">
        <v>2433</v>
      </c>
      <c r="B2418" s="24">
        <v>44259</v>
      </c>
      <c r="C2418" t="s">
        <v>39</v>
      </c>
      <c r="D2418" t="s">
        <v>41</v>
      </c>
      <c r="E2418">
        <v>2000715581</v>
      </c>
      <c r="F2418">
        <v>720</v>
      </c>
      <c r="G2418">
        <v>151</v>
      </c>
      <c r="H2418">
        <v>0</v>
      </c>
      <c r="I2418" t="s">
        <v>198</v>
      </c>
      <c r="J2418" t="s">
        <v>174</v>
      </c>
      <c r="K2418" t="s">
        <v>644</v>
      </c>
      <c r="O2418">
        <v>0</v>
      </c>
      <c r="U2418" t="s">
        <v>81</v>
      </c>
    </row>
    <row r="2419" spans="1:21" x14ac:dyDescent="0.25">
      <c r="A2419" s="33">
        <v>2434</v>
      </c>
      <c r="B2419" s="24">
        <v>44259</v>
      </c>
      <c r="C2419" t="s">
        <v>39</v>
      </c>
      <c r="D2419" t="s">
        <v>41</v>
      </c>
      <c r="E2419">
        <v>2000714684</v>
      </c>
      <c r="F2419">
        <v>3600</v>
      </c>
      <c r="G2419">
        <v>1020</v>
      </c>
      <c r="H2419">
        <v>0</v>
      </c>
      <c r="I2419" t="s">
        <v>1019</v>
      </c>
      <c r="J2419" t="s">
        <v>169</v>
      </c>
      <c r="K2419" t="s">
        <v>652</v>
      </c>
      <c r="O2419">
        <v>0</v>
      </c>
      <c r="U2419" t="s">
        <v>81</v>
      </c>
    </row>
    <row r="2420" spans="1:21" x14ac:dyDescent="0.25">
      <c r="A2420" s="33">
        <v>2435</v>
      </c>
      <c r="B2420" s="24">
        <v>44259</v>
      </c>
      <c r="C2420" t="s">
        <v>39</v>
      </c>
      <c r="D2420" t="s">
        <v>41</v>
      </c>
      <c r="E2420">
        <v>2000715234</v>
      </c>
      <c r="F2420">
        <v>1600</v>
      </c>
      <c r="G2420">
        <v>360</v>
      </c>
      <c r="H2420">
        <v>0</v>
      </c>
      <c r="I2420" t="s">
        <v>201</v>
      </c>
      <c r="J2420" t="s">
        <v>193</v>
      </c>
      <c r="K2420" t="s">
        <v>650</v>
      </c>
      <c r="O2420">
        <v>0</v>
      </c>
      <c r="U2420" t="s">
        <v>81</v>
      </c>
    </row>
    <row r="2421" spans="1:21" x14ac:dyDescent="0.25">
      <c r="A2421" s="33">
        <v>2436</v>
      </c>
      <c r="B2421" s="24">
        <v>44259</v>
      </c>
      <c r="C2421" t="s">
        <v>39</v>
      </c>
      <c r="D2421" t="s">
        <v>41</v>
      </c>
      <c r="E2421">
        <v>2000713522</v>
      </c>
      <c r="F2421">
        <v>4210</v>
      </c>
      <c r="G2421">
        <v>1080</v>
      </c>
      <c r="H2421">
        <v>0</v>
      </c>
      <c r="I2421" t="s">
        <v>201</v>
      </c>
      <c r="J2421" t="s">
        <v>199</v>
      </c>
      <c r="K2421" t="s">
        <v>660</v>
      </c>
      <c r="O2421">
        <v>0</v>
      </c>
      <c r="U2421" t="s">
        <v>81</v>
      </c>
    </row>
    <row r="2422" spans="1:21" x14ac:dyDescent="0.25">
      <c r="A2422" s="33">
        <v>2437</v>
      </c>
      <c r="B2422" s="24">
        <v>44259</v>
      </c>
      <c r="C2422" t="s">
        <v>39</v>
      </c>
      <c r="D2422" t="s">
        <v>41</v>
      </c>
      <c r="E2422">
        <v>2000714124</v>
      </c>
      <c r="F2422">
        <v>4200</v>
      </c>
      <c r="G2422">
        <v>1080</v>
      </c>
      <c r="H2422">
        <v>0</v>
      </c>
      <c r="I2422" t="s">
        <v>201</v>
      </c>
      <c r="J2422" t="s">
        <v>199</v>
      </c>
      <c r="K2422" t="s">
        <v>660</v>
      </c>
      <c r="O2422">
        <v>0</v>
      </c>
      <c r="U2422" t="s">
        <v>81</v>
      </c>
    </row>
    <row r="2423" spans="1:21" x14ac:dyDescent="0.25">
      <c r="A2423" s="33">
        <v>2438</v>
      </c>
      <c r="B2423" s="24">
        <v>44259</v>
      </c>
      <c r="C2423" t="s">
        <v>39</v>
      </c>
      <c r="D2423" t="s">
        <v>41</v>
      </c>
      <c r="E2423">
        <v>2000715914</v>
      </c>
      <c r="F2423">
        <v>3904</v>
      </c>
      <c r="G2423">
        <v>800</v>
      </c>
      <c r="H2423">
        <v>0</v>
      </c>
      <c r="I2423" t="s">
        <v>201</v>
      </c>
      <c r="J2423" t="s">
        <v>203</v>
      </c>
      <c r="K2423" t="s">
        <v>788</v>
      </c>
      <c r="O2423">
        <v>0</v>
      </c>
      <c r="U2423" t="s">
        <v>81</v>
      </c>
    </row>
    <row r="2424" spans="1:21" x14ac:dyDescent="0.25">
      <c r="A2424" s="33">
        <v>2439</v>
      </c>
      <c r="B2424" s="24">
        <v>44259</v>
      </c>
      <c r="C2424" t="s">
        <v>39</v>
      </c>
      <c r="D2424" t="s">
        <v>41</v>
      </c>
      <c r="E2424">
        <v>2000715419</v>
      </c>
      <c r="F2424">
        <v>1600</v>
      </c>
      <c r="G2424">
        <v>140</v>
      </c>
      <c r="H2424">
        <v>0</v>
      </c>
      <c r="I2424" t="s">
        <v>693</v>
      </c>
      <c r="J2424" t="s">
        <v>193</v>
      </c>
      <c r="K2424" t="s">
        <v>647</v>
      </c>
      <c r="O2424">
        <v>0</v>
      </c>
      <c r="U2424" t="s">
        <v>81</v>
      </c>
    </row>
    <row r="2425" spans="1:21" x14ac:dyDescent="0.25">
      <c r="A2425" s="33">
        <v>2440</v>
      </c>
      <c r="B2425" s="24">
        <v>44259</v>
      </c>
      <c r="C2425" t="s">
        <v>39</v>
      </c>
      <c r="D2425" t="s">
        <v>41</v>
      </c>
      <c r="E2425">
        <v>2000715424</v>
      </c>
      <c r="F2425">
        <v>1600</v>
      </c>
      <c r="G2425">
        <v>320</v>
      </c>
      <c r="H2425">
        <v>0</v>
      </c>
      <c r="I2425" t="s">
        <v>693</v>
      </c>
      <c r="J2425" t="s">
        <v>193</v>
      </c>
      <c r="K2425" t="s">
        <v>647</v>
      </c>
      <c r="O2425">
        <v>0</v>
      </c>
      <c r="U2425" t="s">
        <v>81</v>
      </c>
    </row>
    <row r="2426" spans="1:21" x14ac:dyDescent="0.25">
      <c r="A2426" s="33">
        <v>2441</v>
      </c>
      <c r="B2426" s="24">
        <v>44259</v>
      </c>
      <c r="C2426" t="s">
        <v>39</v>
      </c>
      <c r="D2426" t="s">
        <v>41</v>
      </c>
      <c r="E2426">
        <v>2000714699</v>
      </c>
      <c r="F2426">
        <v>1000</v>
      </c>
      <c r="G2426">
        <v>15</v>
      </c>
      <c r="H2426">
        <v>0</v>
      </c>
      <c r="I2426" t="s">
        <v>661</v>
      </c>
      <c r="J2426" t="s">
        <v>169</v>
      </c>
      <c r="K2426" t="s">
        <v>179</v>
      </c>
      <c r="O2426">
        <v>0</v>
      </c>
      <c r="U2426" t="s">
        <v>81</v>
      </c>
    </row>
    <row r="2427" spans="1:21" x14ac:dyDescent="0.25">
      <c r="A2427" s="33">
        <v>2442</v>
      </c>
      <c r="B2427" s="24">
        <v>44259</v>
      </c>
      <c r="C2427" t="s">
        <v>39</v>
      </c>
      <c r="D2427" t="s">
        <v>41</v>
      </c>
      <c r="E2427">
        <v>2000715227</v>
      </c>
      <c r="F2427">
        <v>280</v>
      </c>
      <c r="G2427">
        <v>40</v>
      </c>
      <c r="H2427">
        <v>0</v>
      </c>
      <c r="I2427" t="s">
        <v>661</v>
      </c>
      <c r="J2427" t="s">
        <v>174</v>
      </c>
      <c r="K2427" t="s">
        <v>1020</v>
      </c>
      <c r="O2427">
        <v>0</v>
      </c>
      <c r="T2427" s="62"/>
      <c r="U2427" t="s">
        <v>81</v>
      </c>
    </row>
    <row r="2428" spans="1:21" x14ac:dyDescent="0.25">
      <c r="A2428" s="33">
        <v>2443</v>
      </c>
      <c r="B2428" s="24">
        <v>44259</v>
      </c>
      <c r="C2428" t="s">
        <v>39</v>
      </c>
      <c r="D2428" t="s">
        <v>41</v>
      </c>
      <c r="E2428">
        <v>2000714721</v>
      </c>
      <c r="F2428">
        <v>720</v>
      </c>
      <c r="G2428">
        <v>315</v>
      </c>
      <c r="H2428">
        <v>0</v>
      </c>
      <c r="I2428" t="s">
        <v>661</v>
      </c>
      <c r="J2428" t="s">
        <v>174</v>
      </c>
      <c r="K2428" t="s">
        <v>774</v>
      </c>
      <c r="O2428">
        <v>0</v>
      </c>
      <c r="U2428" t="s">
        <v>81</v>
      </c>
    </row>
    <row r="2429" spans="1:21" x14ac:dyDescent="0.25">
      <c r="A2429" s="33">
        <v>2444</v>
      </c>
      <c r="B2429" s="24">
        <v>44259</v>
      </c>
      <c r="C2429" t="s">
        <v>39</v>
      </c>
      <c r="D2429" t="s">
        <v>41</v>
      </c>
      <c r="E2429">
        <v>2000715580</v>
      </c>
      <c r="F2429">
        <v>240</v>
      </c>
      <c r="G2429">
        <v>40</v>
      </c>
      <c r="H2429">
        <v>0</v>
      </c>
      <c r="I2429" t="s">
        <v>661</v>
      </c>
      <c r="J2429" t="s">
        <v>174</v>
      </c>
      <c r="K2429" t="s">
        <v>187</v>
      </c>
      <c r="O2429">
        <v>0</v>
      </c>
      <c r="U2429" t="s">
        <v>81</v>
      </c>
    </row>
    <row r="2430" spans="1:21" x14ac:dyDescent="0.25">
      <c r="A2430" s="33">
        <v>2445</v>
      </c>
      <c r="B2430" s="24">
        <v>44259</v>
      </c>
      <c r="C2430" t="s">
        <v>39</v>
      </c>
      <c r="D2430" t="s">
        <v>41</v>
      </c>
      <c r="E2430">
        <v>2000714726</v>
      </c>
      <c r="F2430">
        <v>900</v>
      </c>
      <c r="G2430">
        <v>155</v>
      </c>
      <c r="H2430">
        <v>0</v>
      </c>
      <c r="I2430" t="s">
        <v>661</v>
      </c>
      <c r="J2430" t="s">
        <v>174</v>
      </c>
      <c r="K2430" t="s">
        <v>774</v>
      </c>
      <c r="O2430">
        <v>0</v>
      </c>
      <c r="U2430" t="s">
        <v>81</v>
      </c>
    </row>
    <row r="2431" spans="1:21" x14ac:dyDescent="0.25">
      <c r="A2431" s="33">
        <v>2446</v>
      </c>
      <c r="B2431" s="24">
        <v>44259</v>
      </c>
      <c r="C2431" t="s">
        <v>39</v>
      </c>
      <c r="D2431" t="s">
        <v>41</v>
      </c>
      <c r="E2431">
        <v>2000715576</v>
      </c>
      <c r="F2431">
        <v>240</v>
      </c>
      <c r="G2431">
        <v>40</v>
      </c>
      <c r="H2431">
        <v>0</v>
      </c>
      <c r="I2431" t="s">
        <v>661</v>
      </c>
      <c r="J2431" t="s">
        <v>174</v>
      </c>
      <c r="K2431" t="s">
        <v>186</v>
      </c>
      <c r="O2431">
        <v>0</v>
      </c>
      <c r="U2431" t="s">
        <v>81</v>
      </c>
    </row>
    <row r="2432" spans="1:21" x14ac:dyDescent="0.25">
      <c r="A2432" s="33">
        <v>2447</v>
      </c>
      <c r="B2432" s="24">
        <v>44259</v>
      </c>
      <c r="C2432" t="s">
        <v>39</v>
      </c>
      <c r="D2432" t="s">
        <v>41</v>
      </c>
      <c r="E2432">
        <v>2000714699</v>
      </c>
      <c r="F2432">
        <v>1000</v>
      </c>
      <c r="G2432">
        <v>180</v>
      </c>
      <c r="H2432">
        <v>0</v>
      </c>
      <c r="I2432" t="s">
        <v>184</v>
      </c>
      <c r="J2432" t="s">
        <v>169</v>
      </c>
      <c r="K2432" t="s">
        <v>179</v>
      </c>
      <c r="O2432">
        <v>0</v>
      </c>
      <c r="U2432" t="s">
        <v>81</v>
      </c>
    </row>
    <row r="2433" spans="1:21" x14ac:dyDescent="0.25">
      <c r="A2433" s="33">
        <v>2448</v>
      </c>
      <c r="B2433" s="24">
        <v>44259</v>
      </c>
      <c r="C2433" t="s">
        <v>39</v>
      </c>
      <c r="D2433" t="s">
        <v>41</v>
      </c>
      <c r="E2433">
        <v>2000715419</v>
      </c>
      <c r="F2433">
        <v>1600</v>
      </c>
      <c r="G2433">
        <v>60</v>
      </c>
      <c r="H2433">
        <v>0</v>
      </c>
      <c r="I2433" t="s">
        <v>184</v>
      </c>
      <c r="J2433" t="s">
        <v>193</v>
      </c>
      <c r="K2433" t="s">
        <v>647</v>
      </c>
      <c r="O2433">
        <v>0</v>
      </c>
      <c r="U2433" t="s">
        <v>81</v>
      </c>
    </row>
    <row r="2434" spans="1:21" x14ac:dyDescent="0.25">
      <c r="A2434" s="33">
        <v>2449</v>
      </c>
      <c r="B2434" s="24">
        <v>44259</v>
      </c>
      <c r="C2434" t="s">
        <v>39</v>
      </c>
      <c r="D2434" t="s">
        <v>41</v>
      </c>
      <c r="E2434">
        <v>2000715580</v>
      </c>
      <c r="F2434">
        <v>240</v>
      </c>
      <c r="G2434">
        <v>198</v>
      </c>
      <c r="H2434">
        <v>0</v>
      </c>
      <c r="I2434" t="s">
        <v>184</v>
      </c>
      <c r="J2434" t="s">
        <v>174</v>
      </c>
      <c r="K2434" t="s">
        <v>187</v>
      </c>
      <c r="O2434">
        <v>0</v>
      </c>
      <c r="U2434" t="s">
        <v>81</v>
      </c>
    </row>
    <row r="2435" spans="1:21" x14ac:dyDescent="0.25">
      <c r="A2435" s="33">
        <v>2450</v>
      </c>
      <c r="B2435" s="24">
        <v>44259</v>
      </c>
      <c r="C2435" t="s">
        <v>39</v>
      </c>
      <c r="D2435" t="s">
        <v>41</v>
      </c>
      <c r="E2435">
        <v>2000715576</v>
      </c>
      <c r="F2435">
        <v>240</v>
      </c>
      <c r="G2435">
        <v>200</v>
      </c>
      <c r="H2435">
        <v>0</v>
      </c>
      <c r="I2435" t="s">
        <v>184</v>
      </c>
      <c r="J2435" t="s">
        <v>174</v>
      </c>
      <c r="K2435" t="s">
        <v>186</v>
      </c>
      <c r="O2435">
        <v>0</v>
      </c>
      <c r="U2435" t="s">
        <v>81</v>
      </c>
    </row>
    <row r="2436" spans="1:21" x14ac:dyDescent="0.25">
      <c r="A2436" s="33">
        <v>2451</v>
      </c>
      <c r="B2436" s="24">
        <v>44259</v>
      </c>
      <c r="C2436" t="s">
        <v>39</v>
      </c>
      <c r="D2436" t="s">
        <v>41</v>
      </c>
      <c r="E2436">
        <v>2000714681</v>
      </c>
      <c r="F2436">
        <v>5360</v>
      </c>
      <c r="G2436">
        <v>360</v>
      </c>
      <c r="H2436">
        <v>0</v>
      </c>
      <c r="I2436" t="s">
        <v>666</v>
      </c>
      <c r="J2436" t="s">
        <v>200</v>
      </c>
      <c r="K2436" t="s">
        <v>653</v>
      </c>
      <c r="O2436">
        <v>0</v>
      </c>
      <c r="U2436" t="s">
        <v>81</v>
      </c>
    </row>
    <row r="2437" spans="1:21" x14ac:dyDescent="0.25">
      <c r="A2437" s="33">
        <v>2452</v>
      </c>
      <c r="B2437" s="24">
        <v>44259</v>
      </c>
      <c r="C2437" t="s">
        <v>39</v>
      </c>
      <c r="D2437" t="s">
        <v>41</v>
      </c>
      <c r="E2437">
        <v>2000715385</v>
      </c>
      <c r="F2437">
        <v>1344</v>
      </c>
      <c r="G2437">
        <v>440</v>
      </c>
      <c r="H2437">
        <v>0</v>
      </c>
      <c r="I2437" t="s">
        <v>666</v>
      </c>
      <c r="J2437" t="s">
        <v>655</v>
      </c>
      <c r="K2437" t="s">
        <v>656</v>
      </c>
      <c r="O2437">
        <v>0</v>
      </c>
      <c r="U2437" t="s">
        <v>81</v>
      </c>
    </row>
    <row r="2438" spans="1:21" x14ac:dyDescent="0.25">
      <c r="A2438" s="33">
        <v>2453</v>
      </c>
      <c r="B2438" s="24">
        <v>44259</v>
      </c>
      <c r="C2438" t="s">
        <v>39</v>
      </c>
      <c r="D2438" t="s">
        <v>41</v>
      </c>
      <c r="E2438">
        <v>2000714598</v>
      </c>
      <c r="F2438">
        <v>2704</v>
      </c>
      <c r="G2438">
        <v>24</v>
      </c>
      <c r="H2438">
        <v>0</v>
      </c>
      <c r="I2438" t="s">
        <v>666</v>
      </c>
      <c r="J2438" t="s">
        <v>655</v>
      </c>
      <c r="K2438" t="s">
        <v>656</v>
      </c>
      <c r="O2438">
        <v>0</v>
      </c>
      <c r="T2438" s="62"/>
      <c r="U2438" t="s">
        <v>81</v>
      </c>
    </row>
    <row r="2439" spans="1:21" x14ac:dyDescent="0.25">
      <c r="A2439" s="33">
        <v>2454</v>
      </c>
      <c r="B2439" s="24">
        <v>44259</v>
      </c>
      <c r="C2439" t="s">
        <v>39</v>
      </c>
      <c r="D2439" t="s">
        <v>41</v>
      </c>
      <c r="E2439">
        <v>2000715385</v>
      </c>
      <c r="F2439">
        <v>1344</v>
      </c>
      <c r="G2439">
        <v>280</v>
      </c>
      <c r="H2439">
        <v>0</v>
      </c>
      <c r="I2439" t="s">
        <v>666</v>
      </c>
      <c r="J2439" t="s">
        <v>655</v>
      </c>
      <c r="K2439" t="s">
        <v>656</v>
      </c>
      <c r="O2439">
        <v>0</v>
      </c>
      <c r="U2439" t="s">
        <v>81</v>
      </c>
    </row>
    <row r="2440" spans="1:21" x14ac:dyDescent="0.25">
      <c r="A2440" s="33">
        <v>2455</v>
      </c>
      <c r="B2440" s="24">
        <v>44259</v>
      </c>
      <c r="C2440" t="s">
        <v>39</v>
      </c>
      <c r="D2440" t="s">
        <v>41</v>
      </c>
      <c r="E2440">
        <v>2000715605</v>
      </c>
      <c r="F2440">
        <v>6600</v>
      </c>
      <c r="G2440">
        <v>1200</v>
      </c>
      <c r="H2440">
        <v>0</v>
      </c>
      <c r="I2440" t="s">
        <v>1021</v>
      </c>
      <c r="J2440" t="s">
        <v>200</v>
      </c>
      <c r="K2440" t="s">
        <v>737</v>
      </c>
      <c r="O2440">
        <v>0</v>
      </c>
      <c r="U2440" t="s">
        <v>81</v>
      </c>
    </row>
    <row r="2441" spans="1:21" x14ac:dyDescent="0.25">
      <c r="A2441" s="33">
        <v>2456</v>
      </c>
      <c r="B2441" s="24">
        <v>44259</v>
      </c>
      <c r="C2441" t="s">
        <v>39</v>
      </c>
      <c r="D2441" t="s">
        <v>41</v>
      </c>
      <c r="E2441">
        <v>2000715196</v>
      </c>
      <c r="F2441">
        <v>6600</v>
      </c>
      <c r="G2441">
        <v>900</v>
      </c>
      <c r="H2441">
        <v>0</v>
      </c>
      <c r="I2441" t="s">
        <v>1021</v>
      </c>
      <c r="J2441" t="s">
        <v>200</v>
      </c>
      <c r="K2441" t="s">
        <v>737</v>
      </c>
      <c r="O2441">
        <v>0</v>
      </c>
      <c r="U2441" t="s">
        <v>81</v>
      </c>
    </row>
    <row r="2442" spans="1:21" x14ac:dyDescent="0.25">
      <c r="A2442" s="33">
        <v>2457</v>
      </c>
      <c r="B2442" s="24">
        <v>44259</v>
      </c>
      <c r="C2442" t="s">
        <v>39</v>
      </c>
      <c r="D2442" t="s">
        <v>51</v>
      </c>
      <c r="E2442">
        <v>2000715363</v>
      </c>
      <c r="F2442">
        <v>700</v>
      </c>
      <c r="G2442">
        <v>90</v>
      </c>
      <c r="H2442">
        <v>0</v>
      </c>
      <c r="I2442" t="s">
        <v>706</v>
      </c>
      <c r="J2442" t="s">
        <v>673</v>
      </c>
      <c r="K2442" t="s">
        <v>674</v>
      </c>
      <c r="O2442">
        <v>0</v>
      </c>
      <c r="U2442" t="s">
        <v>81</v>
      </c>
    </row>
    <row r="2443" spans="1:21" x14ac:dyDescent="0.25">
      <c r="A2443" s="33">
        <v>2458</v>
      </c>
      <c r="B2443" s="24">
        <v>44259</v>
      </c>
      <c r="C2443" t="s">
        <v>39</v>
      </c>
      <c r="D2443" t="s">
        <v>51</v>
      </c>
      <c r="E2443">
        <v>2000714906</v>
      </c>
      <c r="F2443">
        <v>280</v>
      </c>
      <c r="G2443">
        <v>208</v>
      </c>
      <c r="H2443">
        <v>0</v>
      </c>
      <c r="I2443" t="s">
        <v>706</v>
      </c>
      <c r="J2443" t="s">
        <v>669</v>
      </c>
      <c r="K2443" t="s">
        <v>744</v>
      </c>
      <c r="O2443">
        <v>0</v>
      </c>
      <c r="U2443" t="s">
        <v>81</v>
      </c>
    </row>
    <row r="2444" spans="1:21" x14ac:dyDescent="0.25">
      <c r="A2444" s="33">
        <v>2459</v>
      </c>
      <c r="B2444" s="24">
        <v>44259</v>
      </c>
      <c r="C2444" t="s">
        <v>39</v>
      </c>
      <c r="D2444" t="s">
        <v>51</v>
      </c>
      <c r="E2444">
        <v>2000715998</v>
      </c>
      <c r="F2444">
        <v>800</v>
      </c>
      <c r="G2444">
        <v>440</v>
      </c>
      <c r="H2444">
        <v>0</v>
      </c>
      <c r="I2444" t="s">
        <v>706</v>
      </c>
      <c r="J2444" t="s">
        <v>667</v>
      </c>
      <c r="K2444" t="s">
        <v>730</v>
      </c>
      <c r="O2444">
        <v>0</v>
      </c>
      <c r="U2444" t="s">
        <v>81</v>
      </c>
    </row>
    <row r="2445" spans="1:21" x14ac:dyDescent="0.25">
      <c r="A2445" s="33">
        <v>2460</v>
      </c>
      <c r="B2445" s="24">
        <v>44259</v>
      </c>
      <c r="C2445" t="s">
        <v>39</v>
      </c>
      <c r="D2445" t="s">
        <v>51</v>
      </c>
      <c r="E2445">
        <v>2000714914</v>
      </c>
      <c r="F2445">
        <v>96</v>
      </c>
      <c r="G2445">
        <v>66</v>
      </c>
      <c r="H2445">
        <v>0</v>
      </c>
      <c r="I2445" t="s">
        <v>706</v>
      </c>
      <c r="J2445" t="s">
        <v>669</v>
      </c>
      <c r="K2445" t="s">
        <v>741</v>
      </c>
      <c r="O2445">
        <v>0</v>
      </c>
      <c r="U2445" t="s">
        <v>81</v>
      </c>
    </row>
    <row r="2446" spans="1:21" x14ac:dyDescent="0.25">
      <c r="A2446" s="33">
        <v>2461</v>
      </c>
      <c r="B2446" s="24">
        <v>44259</v>
      </c>
      <c r="C2446" t="s">
        <v>39</v>
      </c>
      <c r="D2446" t="s">
        <v>51</v>
      </c>
      <c r="E2446">
        <v>2000714908</v>
      </c>
      <c r="F2446">
        <v>300</v>
      </c>
      <c r="G2446">
        <v>50</v>
      </c>
      <c r="H2446">
        <v>0</v>
      </c>
      <c r="I2446" t="s">
        <v>706</v>
      </c>
      <c r="J2446" t="s">
        <v>673</v>
      </c>
      <c r="K2446" t="s">
        <v>760</v>
      </c>
      <c r="O2446">
        <v>0</v>
      </c>
      <c r="U2446" t="s">
        <v>81</v>
      </c>
    </row>
    <row r="2447" spans="1:21" x14ac:dyDescent="0.25">
      <c r="A2447" s="33">
        <v>2462</v>
      </c>
      <c r="B2447" s="24">
        <v>44259</v>
      </c>
      <c r="C2447" t="s">
        <v>39</v>
      </c>
      <c r="D2447" t="s">
        <v>51</v>
      </c>
      <c r="E2447">
        <v>2000715364</v>
      </c>
      <c r="F2447">
        <v>800</v>
      </c>
      <c r="G2447">
        <v>180</v>
      </c>
      <c r="H2447">
        <v>0</v>
      </c>
      <c r="I2447" t="s">
        <v>191</v>
      </c>
      <c r="J2447" t="s">
        <v>667</v>
      </c>
      <c r="K2447" t="s">
        <v>730</v>
      </c>
      <c r="O2447">
        <v>0</v>
      </c>
      <c r="U2447" t="s">
        <v>81</v>
      </c>
    </row>
    <row r="2448" spans="1:21" x14ac:dyDescent="0.25">
      <c r="A2448" s="33">
        <v>2463</v>
      </c>
      <c r="B2448" s="24">
        <v>44259</v>
      </c>
      <c r="C2448" t="s">
        <v>39</v>
      </c>
      <c r="D2448" t="s">
        <v>51</v>
      </c>
      <c r="E2448">
        <v>2000715988</v>
      </c>
      <c r="F2448">
        <v>800</v>
      </c>
      <c r="G2448">
        <v>360</v>
      </c>
      <c r="H2448">
        <v>0</v>
      </c>
      <c r="I2448" t="s">
        <v>191</v>
      </c>
      <c r="J2448" t="s">
        <v>667</v>
      </c>
      <c r="K2448" t="s">
        <v>730</v>
      </c>
      <c r="O2448">
        <v>0</v>
      </c>
      <c r="U2448" t="s">
        <v>81</v>
      </c>
    </row>
    <row r="2449" spans="1:21" x14ac:dyDescent="0.25">
      <c r="A2449" s="33">
        <v>2464</v>
      </c>
      <c r="B2449" s="24">
        <v>44259</v>
      </c>
      <c r="C2449" t="s">
        <v>39</v>
      </c>
      <c r="D2449" t="s">
        <v>51</v>
      </c>
      <c r="E2449">
        <v>2000715363</v>
      </c>
      <c r="F2449">
        <v>700</v>
      </c>
      <c r="G2449">
        <v>190</v>
      </c>
      <c r="H2449">
        <v>0</v>
      </c>
      <c r="I2449" t="s">
        <v>191</v>
      </c>
      <c r="J2449" t="s">
        <v>673</v>
      </c>
      <c r="K2449" t="s">
        <v>674</v>
      </c>
      <c r="O2449">
        <v>0</v>
      </c>
      <c r="U2449" t="s">
        <v>81</v>
      </c>
    </row>
    <row r="2450" spans="1:21" x14ac:dyDescent="0.25">
      <c r="A2450" s="33">
        <v>2465</v>
      </c>
      <c r="B2450" s="24">
        <v>44259</v>
      </c>
      <c r="C2450" t="s">
        <v>39</v>
      </c>
      <c r="D2450" t="s">
        <v>51</v>
      </c>
      <c r="E2450">
        <v>2000714906</v>
      </c>
      <c r="F2450">
        <v>280</v>
      </c>
      <c r="G2450">
        <v>70</v>
      </c>
      <c r="H2450">
        <v>0</v>
      </c>
      <c r="I2450" t="s">
        <v>191</v>
      </c>
      <c r="J2450" t="s">
        <v>669</v>
      </c>
      <c r="K2450" t="s">
        <v>744</v>
      </c>
      <c r="O2450">
        <v>0</v>
      </c>
      <c r="U2450" t="s">
        <v>81</v>
      </c>
    </row>
    <row r="2451" spans="1:21" x14ac:dyDescent="0.25">
      <c r="A2451" s="33">
        <v>2466</v>
      </c>
      <c r="B2451" s="24">
        <v>44259</v>
      </c>
      <c r="C2451" t="s">
        <v>39</v>
      </c>
      <c r="D2451" t="s">
        <v>51</v>
      </c>
      <c r="E2451">
        <v>2000714908</v>
      </c>
      <c r="F2451">
        <v>300</v>
      </c>
      <c r="G2451">
        <v>70</v>
      </c>
      <c r="H2451">
        <v>0</v>
      </c>
      <c r="I2451" t="s">
        <v>191</v>
      </c>
      <c r="J2451" t="s">
        <v>673</v>
      </c>
      <c r="K2451" t="s">
        <v>760</v>
      </c>
      <c r="O2451">
        <v>0</v>
      </c>
      <c r="U2451" t="s">
        <v>81</v>
      </c>
    </row>
    <row r="2452" spans="1:21" x14ac:dyDescent="0.25">
      <c r="A2452" s="33">
        <v>2467</v>
      </c>
      <c r="B2452" s="24">
        <v>44259</v>
      </c>
      <c r="C2452" t="s">
        <v>39</v>
      </c>
      <c r="D2452" t="s">
        <v>51</v>
      </c>
      <c r="E2452">
        <v>2000715375</v>
      </c>
      <c r="F2452">
        <v>180</v>
      </c>
      <c r="G2452">
        <v>48</v>
      </c>
      <c r="H2452">
        <v>0</v>
      </c>
      <c r="I2452" t="s">
        <v>191</v>
      </c>
      <c r="J2452" t="s">
        <v>770</v>
      </c>
      <c r="K2452" t="s">
        <v>777</v>
      </c>
      <c r="O2452">
        <v>0</v>
      </c>
      <c r="U2452" t="s">
        <v>81</v>
      </c>
    </row>
    <row r="2453" spans="1:21" x14ac:dyDescent="0.25">
      <c r="A2453" s="33">
        <v>2468</v>
      </c>
      <c r="B2453" s="24">
        <v>44260</v>
      </c>
      <c r="C2453" t="s">
        <v>39</v>
      </c>
      <c r="D2453" t="s">
        <v>51</v>
      </c>
      <c r="E2453">
        <v>2000715363</v>
      </c>
      <c r="F2453">
        <v>700</v>
      </c>
      <c r="G2453">
        <v>110</v>
      </c>
      <c r="H2453">
        <v>0</v>
      </c>
      <c r="I2453" t="s">
        <v>706</v>
      </c>
      <c r="J2453" t="s">
        <v>669</v>
      </c>
      <c r="K2453" t="s">
        <v>674</v>
      </c>
      <c r="O2453">
        <v>0</v>
      </c>
      <c r="U2453" t="s">
        <v>81</v>
      </c>
    </row>
    <row r="2454" spans="1:21" x14ac:dyDescent="0.25">
      <c r="A2454" s="33">
        <v>2469</v>
      </c>
      <c r="B2454" s="24">
        <v>44260</v>
      </c>
      <c r="C2454" t="s">
        <v>39</v>
      </c>
      <c r="D2454" t="s">
        <v>51</v>
      </c>
      <c r="E2454">
        <v>2000715656</v>
      </c>
      <c r="F2454">
        <v>600</v>
      </c>
      <c r="G2454">
        <v>110</v>
      </c>
      <c r="H2454">
        <v>0</v>
      </c>
      <c r="I2454" t="s">
        <v>706</v>
      </c>
      <c r="J2454" t="s">
        <v>669</v>
      </c>
      <c r="K2454" t="s">
        <v>674</v>
      </c>
      <c r="O2454">
        <v>0</v>
      </c>
      <c r="U2454" t="s">
        <v>81</v>
      </c>
    </row>
    <row r="2455" spans="1:21" x14ac:dyDescent="0.25">
      <c r="A2455" s="33">
        <v>2470</v>
      </c>
      <c r="B2455" s="24">
        <v>44260</v>
      </c>
      <c r="C2455" t="s">
        <v>39</v>
      </c>
      <c r="D2455" t="s">
        <v>51</v>
      </c>
      <c r="E2455">
        <v>2000716161</v>
      </c>
      <c r="F2455">
        <v>170</v>
      </c>
      <c r="G2455">
        <v>170</v>
      </c>
      <c r="H2455">
        <v>0</v>
      </c>
      <c r="I2455" t="s">
        <v>706</v>
      </c>
      <c r="J2455" t="s">
        <v>669</v>
      </c>
      <c r="K2455" t="s">
        <v>810</v>
      </c>
      <c r="O2455">
        <v>0</v>
      </c>
      <c r="U2455" t="s">
        <v>81</v>
      </c>
    </row>
    <row r="2456" spans="1:21" x14ac:dyDescent="0.25">
      <c r="A2456" s="33">
        <v>2471</v>
      </c>
      <c r="B2456" s="24">
        <v>44260</v>
      </c>
      <c r="C2456" t="s">
        <v>39</v>
      </c>
      <c r="D2456" t="s">
        <v>51</v>
      </c>
      <c r="E2456">
        <v>2000715376</v>
      </c>
      <c r="F2456">
        <v>330</v>
      </c>
      <c r="G2456">
        <v>120</v>
      </c>
      <c r="H2456">
        <v>0</v>
      </c>
      <c r="I2456" t="s">
        <v>706</v>
      </c>
      <c r="J2456" t="s">
        <v>669</v>
      </c>
      <c r="K2456" t="s">
        <v>802</v>
      </c>
      <c r="O2456">
        <v>0</v>
      </c>
      <c r="U2456" t="s">
        <v>81</v>
      </c>
    </row>
    <row r="2457" spans="1:21" x14ac:dyDescent="0.25">
      <c r="A2457" s="33">
        <v>2472</v>
      </c>
      <c r="B2457" s="24">
        <v>44260</v>
      </c>
      <c r="C2457" t="s">
        <v>39</v>
      </c>
      <c r="D2457" t="s">
        <v>51</v>
      </c>
      <c r="E2457">
        <v>2000715657</v>
      </c>
      <c r="F2457">
        <v>30</v>
      </c>
      <c r="G2457">
        <v>30</v>
      </c>
      <c r="H2457">
        <v>0</v>
      </c>
      <c r="I2457" t="s">
        <v>706</v>
      </c>
      <c r="J2457" t="s">
        <v>669</v>
      </c>
      <c r="K2457" t="s">
        <v>712</v>
      </c>
      <c r="O2457">
        <v>0</v>
      </c>
      <c r="U2457" t="s">
        <v>81</v>
      </c>
    </row>
    <row r="2458" spans="1:21" x14ac:dyDescent="0.25">
      <c r="A2458" s="33">
        <v>2473</v>
      </c>
      <c r="B2458" s="24">
        <v>44260</v>
      </c>
      <c r="C2458" t="s">
        <v>39</v>
      </c>
      <c r="D2458" t="s">
        <v>51</v>
      </c>
      <c r="E2458">
        <v>2000714907</v>
      </c>
      <c r="F2458">
        <v>1000</v>
      </c>
      <c r="G2458">
        <v>60</v>
      </c>
      <c r="H2458">
        <v>0</v>
      </c>
      <c r="I2458" t="s">
        <v>706</v>
      </c>
      <c r="J2458" t="s">
        <v>669</v>
      </c>
      <c r="K2458" t="s">
        <v>672</v>
      </c>
      <c r="O2458">
        <v>0</v>
      </c>
      <c r="U2458" t="s">
        <v>81</v>
      </c>
    </row>
    <row r="2459" spans="1:21" x14ac:dyDescent="0.25">
      <c r="A2459" s="33">
        <v>2474</v>
      </c>
      <c r="B2459" s="24">
        <v>44260</v>
      </c>
      <c r="C2459" t="s">
        <v>39</v>
      </c>
      <c r="D2459" t="s">
        <v>51</v>
      </c>
      <c r="E2459">
        <v>2000716158</v>
      </c>
      <c r="F2459">
        <v>1000</v>
      </c>
      <c r="G2459">
        <v>360</v>
      </c>
      <c r="H2459">
        <v>0</v>
      </c>
      <c r="I2459" t="s">
        <v>706</v>
      </c>
      <c r="J2459" t="s">
        <v>667</v>
      </c>
      <c r="K2459" t="s">
        <v>730</v>
      </c>
      <c r="O2459">
        <v>0</v>
      </c>
      <c r="U2459" t="s">
        <v>81</v>
      </c>
    </row>
    <row r="2460" spans="1:21" x14ac:dyDescent="0.25">
      <c r="A2460" s="33">
        <v>2475</v>
      </c>
      <c r="B2460" s="24">
        <v>44260</v>
      </c>
      <c r="C2460" t="s">
        <v>39</v>
      </c>
      <c r="D2460" t="s">
        <v>51</v>
      </c>
      <c r="E2460">
        <v>2000715374</v>
      </c>
      <c r="F2460">
        <v>440</v>
      </c>
      <c r="G2460">
        <v>35</v>
      </c>
      <c r="H2460">
        <v>0</v>
      </c>
      <c r="I2460" t="s">
        <v>706</v>
      </c>
      <c r="J2460" t="s">
        <v>667</v>
      </c>
      <c r="K2460" t="s">
        <v>671</v>
      </c>
      <c r="O2460">
        <v>0</v>
      </c>
      <c r="U2460" t="s">
        <v>81</v>
      </c>
    </row>
    <row r="2461" spans="1:21" x14ac:dyDescent="0.25">
      <c r="A2461" s="33">
        <v>2476</v>
      </c>
      <c r="B2461" s="24">
        <v>44260</v>
      </c>
      <c r="C2461" t="s">
        <v>39</v>
      </c>
      <c r="D2461" t="s">
        <v>51</v>
      </c>
      <c r="E2461">
        <v>2000716166</v>
      </c>
      <c r="F2461">
        <v>380</v>
      </c>
      <c r="G2461">
        <v>60</v>
      </c>
      <c r="H2461">
        <v>0</v>
      </c>
      <c r="I2461" t="s">
        <v>706</v>
      </c>
      <c r="J2461" t="s">
        <v>669</v>
      </c>
      <c r="K2461" t="s">
        <v>708</v>
      </c>
      <c r="O2461">
        <v>0</v>
      </c>
      <c r="U2461" t="s">
        <v>81</v>
      </c>
    </row>
    <row r="2462" spans="1:21" x14ac:dyDescent="0.25">
      <c r="A2462" s="33">
        <v>2477</v>
      </c>
      <c r="B2462" s="24">
        <v>44260</v>
      </c>
      <c r="C2462" t="s">
        <v>39</v>
      </c>
      <c r="D2462" t="s">
        <v>51</v>
      </c>
      <c r="E2462">
        <v>2000714908</v>
      </c>
      <c r="F2462">
        <v>300</v>
      </c>
      <c r="G2462">
        <v>20</v>
      </c>
      <c r="H2462">
        <v>0</v>
      </c>
      <c r="I2462" t="s">
        <v>191</v>
      </c>
      <c r="J2462" t="s">
        <v>669</v>
      </c>
      <c r="K2462" t="s">
        <v>760</v>
      </c>
      <c r="O2462">
        <v>0</v>
      </c>
      <c r="U2462" t="s">
        <v>81</v>
      </c>
    </row>
    <row r="2463" spans="1:21" x14ac:dyDescent="0.25">
      <c r="A2463" s="33">
        <v>2478</v>
      </c>
      <c r="B2463" s="24">
        <v>44260</v>
      </c>
      <c r="C2463" t="s">
        <v>39</v>
      </c>
      <c r="D2463" t="s">
        <v>51</v>
      </c>
      <c r="E2463">
        <v>2000715363</v>
      </c>
      <c r="F2463">
        <v>700</v>
      </c>
      <c r="G2463">
        <v>120</v>
      </c>
      <c r="H2463">
        <v>0</v>
      </c>
      <c r="I2463" t="s">
        <v>191</v>
      </c>
      <c r="J2463" t="s">
        <v>669</v>
      </c>
      <c r="K2463" t="s">
        <v>674</v>
      </c>
      <c r="O2463">
        <v>0</v>
      </c>
      <c r="U2463" t="s">
        <v>81</v>
      </c>
    </row>
    <row r="2464" spans="1:21" x14ac:dyDescent="0.25">
      <c r="A2464" s="33">
        <v>2479</v>
      </c>
      <c r="B2464" s="24">
        <v>44260</v>
      </c>
      <c r="C2464" t="s">
        <v>39</v>
      </c>
      <c r="D2464" t="s">
        <v>51</v>
      </c>
      <c r="E2464">
        <v>2000714907</v>
      </c>
      <c r="F2464">
        <v>1000</v>
      </c>
      <c r="G2464">
        <v>160</v>
      </c>
      <c r="H2464">
        <v>0</v>
      </c>
      <c r="I2464" t="s">
        <v>191</v>
      </c>
      <c r="J2464" t="s">
        <v>669</v>
      </c>
      <c r="K2464" t="s">
        <v>672</v>
      </c>
      <c r="O2464">
        <v>0</v>
      </c>
      <c r="U2464" t="s">
        <v>81</v>
      </c>
    </row>
    <row r="2465" spans="1:21" x14ac:dyDescent="0.25">
      <c r="A2465" s="33">
        <v>2480</v>
      </c>
      <c r="B2465" s="24">
        <v>44260</v>
      </c>
      <c r="C2465" t="s">
        <v>39</v>
      </c>
      <c r="D2465" t="s">
        <v>51</v>
      </c>
      <c r="E2465">
        <v>2000715656</v>
      </c>
      <c r="F2465">
        <v>600</v>
      </c>
      <c r="G2465">
        <v>60</v>
      </c>
      <c r="H2465">
        <v>0</v>
      </c>
      <c r="I2465" t="s">
        <v>191</v>
      </c>
      <c r="J2465" t="s">
        <v>673</v>
      </c>
      <c r="K2465" t="s">
        <v>674</v>
      </c>
      <c r="O2465">
        <v>0</v>
      </c>
      <c r="U2465" t="s">
        <v>81</v>
      </c>
    </row>
    <row r="2466" spans="1:21" x14ac:dyDescent="0.25">
      <c r="A2466" s="33">
        <v>2481</v>
      </c>
      <c r="B2466" s="24">
        <v>44260</v>
      </c>
      <c r="C2466" t="s">
        <v>39</v>
      </c>
      <c r="D2466" t="s">
        <v>51</v>
      </c>
      <c r="E2466">
        <v>2000716158</v>
      </c>
      <c r="F2466">
        <v>1000</v>
      </c>
      <c r="G2466">
        <v>360</v>
      </c>
      <c r="H2466">
        <v>0</v>
      </c>
      <c r="I2466" t="s">
        <v>191</v>
      </c>
      <c r="J2466" t="s">
        <v>667</v>
      </c>
      <c r="K2466" t="s">
        <v>730</v>
      </c>
      <c r="O2466">
        <v>0</v>
      </c>
      <c r="U2466" t="s">
        <v>81</v>
      </c>
    </row>
    <row r="2467" spans="1:21" x14ac:dyDescent="0.25">
      <c r="A2467" s="33">
        <v>2482</v>
      </c>
      <c r="B2467" s="24">
        <v>44260</v>
      </c>
      <c r="C2467" t="s">
        <v>39</v>
      </c>
      <c r="D2467" t="s">
        <v>51</v>
      </c>
      <c r="E2467">
        <v>2000715314</v>
      </c>
      <c r="F2467">
        <v>440</v>
      </c>
      <c r="G2467">
        <v>35</v>
      </c>
      <c r="H2467">
        <v>0</v>
      </c>
      <c r="I2467" t="s">
        <v>191</v>
      </c>
      <c r="J2467" t="s">
        <v>667</v>
      </c>
      <c r="K2467" t="s">
        <v>671</v>
      </c>
      <c r="O2467">
        <v>0</v>
      </c>
      <c r="U2467" t="s">
        <v>81</v>
      </c>
    </row>
    <row r="2468" spans="1:21" x14ac:dyDescent="0.25">
      <c r="A2468" s="33">
        <v>2483</v>
      </c>
      <c r="B2468" s="24">
        <v>44260</v>
      </c>
      <c r="C2468" t="s">
        <v>39</v>
      </c>
      <c r="D2468" t="s">
        <v>41</v>
      </c>
      <c r="E2468">
        <v>2000715196</v>
      </c>
      <c r="F2468">
        <v>6600</v>
      </c>
      <c r="G2468">
        <v>900</v>
      </c>
      <c r="H2468">
        <v>0</v>
      </c>
      <c r="I2468" t="s">
        <v>1021</v>
      </c>
      <c r="J2468" t="s">
        <v>200</v>
      </c>
      <c r="K2468" t="s">
        <v>737</v>
      </c>
      <c r="O2468">
        <v>0</v>
      </c>
      <c r="U2468" t="s">
        <v>81</v>
      </c>
    </row>
    <row r="2469" spans="1:21" x14ac:dyDescent="0.25">
      <c r="A2469" s="33">
        <v>2484</v>
      </c>
      <c r="B2469" s="24">
        <v>44260</v>
      </c>
      <c r="C2469" t="s">
        <v>39</v>
      </c>
      <c r="D2469" t="s">
        <v>41</v>
      </c>
      <c r="E2469">
        <v>2000714124</v>
      </c>
      <c r="F2469">
        <v>4200</v>
      </c>
      <c r="G2469">
        <v>1080</v>
      </c>
      <c r="H2469">
        <v>0</v>
      </c>
      <c r="I2469" t="s">
        <v>1021</v>
      </c>
      <c r="J2469" t="s">
        <v>199</v>
      </c>
      <c r="K2469" t="s">
        <v>660</v>
      </c>
      <c r="O2469">
        <v>0</v>
      </c>
      <c r="U2469" t="s">
        <v>81</v>
      </c>
    </row>
    <row r="2470" spans="1:21" x14ac:dyDescent="0.25">
      <c r="A2470" s="33">
        <v>2485</v>
      </c>
      <c r="B2470" s="24">
        <v>44260</v>
      </c>
      <c r="C2470" t="s">
        <v>39</v>
      </c>
      <c r="D2470" t="s">
        <v>41</v>
      </c>
      <c r="E2470">
        <v>2000713522</v>
      </c>
      <c r="F2470">
        <v>4210</v>
      </c>
      <c r="G2470">
        <v>360</v>
      </c>
      <c r="H2470">
        <v>0</v>
      </c>
      <c r="I2470" t="s">
        <v>1021</v>
      </c>
      <c r="J2470" t="s">
        <v>199</v>
      </c>
      <c r="K2470" t="s">
        <v>660</v>
      </c>
      <c r="O2470">
        <v>0</v>
      </c>
      <c r="U2470" t="s">
        <v>81</v>
      </c>
    </row>
    <row r="2471" spans="1:21" x14ac:dyDescent="0.25">
      <c r="A2471" s="33">
        <v>2486</v>
      </c>
      <c r="B2471" s="24">
        <v>44260</v>
      </c>
      <c r="C2471" t="s">
        <v>39</v>
      </c>
      <c r="D2471" t="s">
        <v>41</v>
      </c>
      <c r="E2471">
        <v>2000714726</v>
      </c>
      <c r="F2471">
        <v>900</v>
      </c>
      <c r="G2471">
        <v>745</v>
      </c>
      <c r="H2471">
        <v>0</v>
      </c>
      <c r="I2471" t="s">
        <v>661</v>
      </c>
      <c r="J2471" t="s">
        <v>174</v>
      </c>
      <c r="K2471" t="s">
        <v>774</v>
      </c>
      <c r="O2471">
        <v>0</v>
      </c>
      <c r="U2471" t="s">
        <v>81</v>
      </c>
    </row>
    <row r="2472" spans="1:21" x14ac:dyDescent="0.25">
      <c r="A2472" s="33">
        <v>2487</v>
      </c>
      <c r="B2472" s="24">
        <v>44260</v>
      </c>
      <c r="C2472" t="s">
        <v>39</v>
      </c>
      <c r="D2472" t="s">
        <v>41</v>
      </c>
      <c r="E2472">
        <v>2000714721</v>
      </c>
      <c r="F2472">
        <v>720</v>
      </c>
      <c r="G2472">
        <v>19</v>
      </c>
      <c r="H2472">
        <v>0</v>
      </c>
      <c r="I2472" t="s">
        <v>661</v>
      </c>
      <c r="J2472" t="s">
        <v>174</v>
      </c>
      <c r="K2472" t="s">
        <v>774</v>
      </c>
      <c r="O2472">
        <v>0</v>
      </c>
      <c r="U2472" t="s">
        <v>81</v>
      </c>
    </row>
    <row r="2473" spans="1:21" x14ac:dyDescent="0.25">
      <c r="A2473" s="33">
        <v>2488</v>
      </c>
      <c r="B2473" s="24">
        <v>44260</v>
      </c>
      <c r="C2473" t="s">
        <v>39</v>
      </c>
      <c r="D2473" t="s">
        <v>41</v>
      </c>
      <c r="E2473">
        <v>2000714727</v>
      </c>
      <c r="F2473">
        <v>850</v>
      </c>
      <c r="G2473">
        <v>90</v>
      </c>
      <c r="H2473">
        <v>0</v>
      </c>
      <c r="I2473" t="s">
        <v>661</v>
      </c>
      <c r="J2473" t="s">
        <v>698</v>
      </c>
      <c r="K2473" t="s">
        <v>699</v>
      </c>
      <c r="O2473">
        <v>0</v>
      </c>
      <c r="U2473" t="s">
        <v>81</v>
      </c>
    </row>
    <row r="2474" spans="1:21" x14ac:dyDescent="0.25">
      <c r="A2474" s="33">
        <v>2489</v>
      </c>
      <c r="B2474" s="24">
        <v>44260</v>
      </c>
      <c r="C2474" t="s">
        <v>39</v>
      </c>
      <c r="D2474" t="s">
        <v>41</v>
      </c>
      <c r="E2474">
        <v>2000715086</v>
      </c>
      <c r="F2474">
        <v>2180</v>
      </c>
      <c r="G2474">
        <v>674</v>
      </c>
      <c r="H2474">
        <v>0</v>
      </c>
      <c r="I2474" t="s">
        <v>168</v>
      </c>
      <c r="J2474" t="s">
        <v>992</v>
      </c>
      <c r="K2474" t="s">
        <v>721</v>
      </c>
      <c r="O2474">
        <v>0</v>
      </c>
      <c r="U2474" t="s">
        <v>81</v>
      </c>
    </row>
    <row r="2475" spans="1:21" x14ac:dyDescent="0.25">
      <c r="A2475" s="33">
        <v>2490</v>
      </c>
      <c r="B2475" s="24">
        <v>44260</v>
      </c>
      <c r="C2475" t="s">
        <v>39</v>
      </c>
      <c r="D2475" t="s">
        <v>41</v>
      </c>
      <c r="E2475">
        <v>2000713146</v>
      </c>
      <c r="F2475">
        <v>2000</v>
      </c>
      <c r="G2475">
        <v>80</v>
      </c>
      <c r="H2475">
        <v>0</v>
      </c>
      <c r="I2475" t="s">
        <v>168</v>
      </c>
      <c r="J2475" t="s">
        <v>193</v>
      </c>
      <c r="K2475" t="s">
        <v>650</v>
      </c>
      <c r="O2475">
        <v>0</v>
      </c>
      <c r="U2475" t="s">
        <v>81</v>
      </c>
    </row>
    <row r="2476" spans="1:21" x14ac:dyDescent="0.25">
      <c r="A2476" s="33">
        <v>2491</v>
      </c>
      <c r="B2476" s="24">
        <v>44260</v>
      </c>
      <c r="C2476" t="s">
        <v>39</v>
      </c>
      <c r="D2476" t="s">
        <v>41</v>
      </c>
      <c r="E2476">
        <v>2000715418</v>
      </c>
      <c r="F2476">
        <v>1600</v>
      </c>
      <c r="G2476">
        <v>40</v>
      </c>
      <c r="H2476">
        <v>0</v>
      </c>
      <c r="I2476" t="s">
        <v>168</v>
      </c>
      <c r="J2476" t="s">
        <v>193</v>
      </c>
      <c r="K2476" t="s">
        <v>686</v>
      </c>
      <c r="O2476">
        <v>0</v>
      </c>
      <c r="U2476" t="s">
        <v>81</v>
      </c>
    </row>
    <row r="2477" spans="1:21" x14ac:dyDescent="0.25">
      <c r="A2477" s="33">
        <v>2492</v>
      </c>
      <c r="B2477" s="24">
        <v>44260</v>
      </c>
      <c r="C2477" t="s">
        <v>39</v>
      </c>
      <c r="D2477" t="s">
        <v>41</v>
      </c>
      <c r="E2477">
        <v>2000715711</v>
      </c>
      <c r="F2477">
        <v>1150</v>
      </c>
      <c r="G2477">
        <v>60</v>
      </c>
      <c r="H2477">
        <v>0</v>
      </c>
      <c r="I2477" t="s">
        <v>168</v>
      </c>
      <c r="J2477" t="s">
        <v>196</v>
      </c>
      <c r="K2477" t="s">
        <v>648</v>
      </c>
      <c r="O2477">
        <v>0</v>
      </c>
      <c r="U2477" t="s">
        <v>81</v>
      </c>
    </row>
    <row r="2478" spans="1:21" x14ac:dyDescent="0.25">
      <c r="A2478" s="33">
        <v>2493</v>
      </c>
      <c r="B2478" s="24">
        <v>44260</v>
      </c>
      <c r="C2478" t="s">
        <v>39</v>
      </c>
      <c r="D2478" t="s">
        <v>41</v>
      </c>
      <c r="E2478">
        <v>2000714699</v>
      </c>
      <c r="F2478">
        <v>1000</v>
      </c>
      <c r="G2478">
        <v>90</v>
      </c>
      <c r="H2478">
        <v>0</v>
      </c>
      <c r="I2478" t="s">
        <v>184</v>
      </c>
      <c r="J2478" t="s">
        <v>169</v>
      </c>
      <c r="K2478" t="s">
        <v>179</v>
      </c>
      <c r="O2478">
        <v>0</v>
      </c>
      <c r="U2478" t="s">
        <v>81</v>
      </c>
    </row>
    <row r="2479" spans="1:21" x14ac:dyDescent="0.25">
      <c r="A2479" s="33">
        <v>2494</v>
      </c>
      <c r="B2479" s="24">
        <v>44260</v>
      </c>
      <c r="C2479" t="s">
        <v>39</v>
      </c>
      <c r="D2479" t="s">
        <v>41</v>
      </c>
      <c r="E2479">
        <v>2000715068</v>
      </c>
      <c r="F2479">
        <v>2300</v>
      </c>
      <c r="G2479">
        <v>580</v>
      </c>
      <c r="H2479">
        <v>0</v>
      </c>
      <c r="I2479" t="s">
        <v>184</v>
      </c>
      <c r="J2479" t="s">
        <v>1022</v>
      </c>
      <c r="K2479" t="s">
        <v>724</v>
      </c>
      <c r="O2479">
        <v>0</v>
      </c>
      <c r="U2479" t="s">
        <v>81</v>
      </c>
    </row>
    <row r="2480" spans="1:21" x14ac:dyDescent="0.25">
      <c r="A2480" s="33">
        <v>2495</v>
      </c>
      <c r="B2480" s="24">
        <v>44260</v>
      </c>
      <c r="C2480" t="s">
        <v>39</v>
      </c>
      <c r="D2480" t="s">
        <v>41</v>
      </c>
      <c r="E2480">
        <v>2000715424</v>
      </c>
      <c r="F2480">
        <v>1600</v>
      </c>
      <c r="G2480">
        <v>580</v>
      </c>
      <c r="H2480">
        <v>0</v>
      </c>
      <c r="I2480" t="s">
        <v>693</v>
      </c>
      <c r="J2480" t="s">
        <v>193</v>
      </c>
      <c r="K2480" t="s">
        <v>647</v>
      </c>
      <c r="O2480">
        <v>0</v>
      </c>
      <c r="U2480" t="s">
        <v>81</v>
      </c>
    </row>
    <row r="2481" spans="1:21" x14ac:dyDescent="0.25">
      <c r="A2481" s="33">
        <v>2496</v>
      </c>
      <c r="B2481" s="24">
        <v>44260</v>
      </c>
      <c r="C2481" t="s">
        <v>39</v>
      </c>
      <c r="D2481" t="s">
        <v>41</v>
      </c>
      <c r="E2481">
        <v>2000715385</v>
      </c>
      <c r="F2481">
        <v>1344</v>
      </c>
      <c r="G2481">
        <v>320</v>
      </c>
      <c r="H2481">
        <v>0</v>
      </c>
      <c r="I2481" t="s">
        <v>666</v>
      </c>
      <c r="J2481" t="s">
        <v>655</v>
      </c>
      <c r="K2481" t="s">
        <v>656</v>
      </c>
      <c r="O2481">
        <v>0</v>
      </c>
      <c r="U2481" t="s">
        <v>81</v>
      </c>
    </row>
    <row r="2482" spans="1:21" x14ac:dyDescent="0.25">
      <c r="A2482" s="33">
        <v>2497</v>
      </c>
      <c r="B2482" s="24">
        <v>44260</v>
      </c>
      <c r="C2482" t="s">
        <v>39</v>
      </c>
      <c r="D2482" t="s">
        <v>41</v>
      </c>
      <c r="E2482">
        <v>2000713862</v>
      </c>
      <c r="F2482">
        <v>2640</v>
      </c>
      <c r="G2482">
        <v>8</v>
      </c>
      <c r="H2482">
        <v>0</v>
      </c>
      <c r="I2482" t="s">
        <v>666</v>
      </c>
      <c r="J2482" t="s">
        <v>990</v>
      </c>
      <c r="K2482" t="s">
        <v>640</v>
      </c>
      <c r="O2482">
        <v>0</v>
      </c>
      <c r="U2482" t="s">
        <v>81</v>
      </c>
    </row>
    <row r="2483" spans="1:21" x14ac:dyDescent="0.25">
      <c r="A2483" s="33">
        <v>2498</v>
      </c>
      <c r="B2483" s="24">
        <v>44260</v>
      </c>
      <c r="C2483" t="s">
        <v>39</v>
      </c>
      <c r="D2483" t="s">
        <v>41</v>
      </c>
      <c r="E2483">
        <v>2000715418</v>
      </c>
      <c r="F2483">
        <v>1600</v>
      </c>
      <c r="G2483">
        <v>120</v>
      </c>
      <c r="H2483">
        <v>0</v>
      </c>
      <c r="I2483" t="s">
        <v>666</v>
      </c>
      <c r="J2483" t="s">
        <v>193</v>
      </c>
      <c r="K2483" t="s">
        <v>686</v>
      </c>
      <c r="O2483">
        <v>0</v>
      </c>
      <c r="U2483" t="s">
        <v>81</v>
      </c>
    </row>
    <row r="2484" spans="1:21" x14ac:dyDescent="0.25">
      <c r="A2484" s="33">
        <v>2499</v>
      </c>
      <c r="B2484" s="24">
        <v>44260</v>
      </c>
      <c r="C2484" t="s">
        <v>39</v>
      </c>
      <c r="D2484" t="s">
        <v>41</v>
      </c>
      <c r="E2484">
        <v>2000714681</v>
      </c>
      <c r="F2484">
        <v>5360</v>
      </c>
      <c r="G2484">
        <v>400</v>
      </c>
      <c r="H2484">
        <v>0</v>
      </c>
      <c r="I2484" t="s">
        <v>666</v>
      </c>
      <c r="J2484" t="s">
        <v>200</v>
      </c>
      <c r="K2484" t="s">
        <v>653</v>
      </c>
      <c r="O2484">
        <v>0</v>
      </c>
      <c r="U2484" t="s">
        <v>81</v>
      </c>
    </row>
    <row r="2485" spans="1:21" x14ac:dyDescent="0.25">
      <c r="A2485" s="33">
        <v>2500</v>
      </c>
      <c r="B2485" s="24">
        <v>44260</v>
      </c>
      <c r="C2485" t="s">
        <v>39</v>
      </c>
      <c r="D2485" t="s">
        <v>41</v>
      </c>
      <c r="E2485">
        <v>2000714681</v>
      </c>
      <c r="F2485">
        <v>5360</v>
      </c>
      <c r="G2485">
        <v>240</v>
      </c>
      <c r="H2485">
        <v>0</v>
      </c>
      <c r="I2485" t="s">
        <v>666</v>
      </c>
      <c r="J2485" t="s">
        <v>200</v>
      </c>
      <c r="K2485" t="s">
        <v>653</v>
      </c>
      <c r="O2485">
        <v>0</v>
      </c>
      <c r="U2485" t="s">
        <v>81</v>
      </c>
    </row>
    <row r="2486" spans="1:21" x14ac:dyDescent="0.25">
      <c r="A2486" s="33">
        <v>2501</v>
      </c>
      <c r="B2486" s="24">
        <v>44260</v>
      </c>
      <c r="C2486" t="s">
        <v>39</v>
      </c>
      <c r="D2486" t="s">
        <v>41</v>
      </c>
      <c r="E2486">
        <v>2000715069</v>
      </c>
      <c r="F2486">
        <v>1180</v>
      </c>
      <c r="G2486">
        <v>240</v>
      </c>
      <c r="H2486">
        <v>0</v>
      </c>
      <c r="I2486" t="s">
        <v>191</v>
      </c>
      <c r="J2486" t="s">
        <v>172</v>
      </c>
      <c r="K2486" t="s">
        <v>173</v>
      </c>
      <c r="O2486">
        <v>0</v>
      </c>
      <c r="U2486" t="s">
        <v>81</v>
      </c>
    </row>
    <row r="2487" spans="1:21" x14ac:dyDescent="0.25">
      <c r="A2487" s="33">
        <v>2502</v>
      </c>
      <c r="B2487" s="24">
        <v>44260</v>
      </c>
      <c r="C2487" t="s">
        <v>39</v>
      </c>
      <c r="D2487" t="s">
        <v>41</v>
      </c>
      <c r="E2487">
        <v>2000714684</v>
      </c>
      <c r="F2487">
        <v>3600</v>
      </c>
      <c r="G2487">
        <v>180</v>
      </c>
      <c r="H2487">
        <v>0</v>
      </c>
      <c r="I2487" t="s">
        <v>1019</v>
      </c>
      <c r="J2487" t="s">
        <v>651</v>
      </c>
      <c r="K2487" t="s">
        <v>652</v>
      </c>
      <c r="O2487">
        <v>0</v>
      </c>
      <c r="U2487" t="s">
        <v>81</v>
      </c>
    </row>
    <row r="2488" spans="1:21" x14ac:dyDescent="0.25">
      <c r="A2488" s="33">
        <v>2503</v>
      </c>
      <c r="B2488" s="24">
        <v>44260</v>
      </c>
      <c r="C2488" t="s">
        <v>39</v>
      </c>
      <c r="D2488" t="s">
        <v>41</v>
      </c>
      <c r="E2488">
        <v>2000715418</v>
      </c>
      <c r="F2488">
        <v>1600</v>
      </c>
      <c r="G2488">
        <v>960</v>
      </c>
      <c r="H2488">
        <v>0</v>
      </c>
      <c r="I2488" t="s">
        <v>1019</v>
      </c>
      <c r="J2488" t="s">
        <v>193</v>
      </c>
      <c r="K2488" t="s">
        <v>686</v>
      </c>
      <c r="O2488">
        <v>0</v>
      </c>
      <c r="U2488" t="s">
        <v>81</v>
      </c>
    </row>
    <row r="2489" spans="1:21" x14ac:dyDescent="0.25">
      <c r="A2489" s="33">
        <v>2504</v>
      </c>
      <c r="B2489" s="24">
        <v>44260</v>
      </c>
      <c r="C2489" t="s">
        <v>39</v>
      </c>
      <c r="D2489" t="s">
        <v>41</v>
      </c>
      <c r="E2489">
        <v>2000715914</v>
      </c>
      <c r="F2489">
        <v>3904</v>
      </c>
      <c r="G2489">
        <v>1200</v>
      </c>
      <c r="H2489">
        <v>0</v>
      </c>
      <c r="I2489" t="s">
        <v>1019</v>
      </c>
      <c r="J2489" t="s">
        <v>990</v>
      </c>
      <c r="K2489" t="s">
        <v>788</v>
      </c>
      <c r="O2489">
        <v>0</v>
      </c>
      <c r="U2489" t="s">
        <v>81</v>
      </c>
    </row>
    <row r="2490" spans="1:21" x14ac:dyDescent="0.25">
      <c r="A2490" s="33">
        <v>2505</v>
      </c>
      <c r="B2490" s="24">
        <v>44260</v>
      </c>
      <c r="C2490" t="s">
        <v>39</v>
      </c>
      <c r="D2490" t="s">
        <v>41</v>
      </c>
      <c r="E2490">
        <v>2000715228</v>
      </c>
      <c r="F2490">
        <v>120</v>
      </c>
      <c r="G2490">
        <v>19</v>
      </c>
      <c r="H2490">
        <v>0</v>
      </c>
      <c r="I2490" t="s">
        <v>198</v>
      </c>
      <c r="J2490" t="s">
        <v>436</v>
      </c>
      <c r="K2490" t="s">
        <v>792</v>
      </c>
      <c r="O2490">
        <v>0</v>
      </c>
      <c r="U2490" t="s">
        <v>81</v>
      </c>
    </row>
    <row r="2491" spans="1:21" x14ac:dyDescent="0.25">
      <c r="A2491" s="33">
        <v>2506</v>
      </c>
      <c r="B2491" s="24">
        <v>44260</v>
      </c>
      <c r="C2491" t="s">
        <v>39</v>
      </c>
      <c r="D2491" t="s">
        <v>41</v>
      </c>
      <c r="E2491">
        <v>2000715577</v>
      </c>
      <c r="F2491">
        <v>160</v>
      </c>
      <c r="G2491">
        <v>40</v>
      </c>
      <c r="H2491">
        <v>0</v>
      </c>
      <c r="I2491" t="s">
        <v>198</v>
      </c>
      <c r="J2491" t="s">
        <v>436</v>
      </c>
      <c r="K2491" t="s">
        <v>870</v>
      </c>
      <c r="O2491">
        <v>0</v>
      </c>
      <c r="U2491" t="s">
        <v>81</v>
      </c>
    </row>
    <row r="2492" spans="1:21" x14ac:dyDescent="0.25">
      <c r="A2492" s="33">
        <v>2507</v>
      </c>
      <c r="B2492" s="24">
        <v>44260</v>
      </c>
      <c r="C2492" t="s">
        <v>39</v>
      </c>
      <c r="D2492" t="s">
        <v>41</v>
      </c>
      <c r="E2492">
        <v>2000716315</v>
      </c>
      <c r="F2492">
        <v>280</v>
      </c>
      <c r="G2492">
        <v>120</v>
      </c>
      <c r="H2492">
        <v>0</v>
      </c>
      <c r="I2492" t="s">
        <v>198</v>
      </c>
      <c r="J2492" t="s">
        <v>457</v>
      </c>
      <c r="K2492" t="s">
        <v>662</v>
      </c>
      <c r="O2492">
        <v>0</v>
      </c>
      <c r="U2492" t="s">
        <v>81</v>
      </c>
    </row>
    <row r="2493" spans="1:21" x14ac:dyDescent="0.25">
      <c r="A2493" s="33">
        <v>2508</v>
      </c>
      <c r="B2493" s="24">
        <v>44260</v>
      </c>
      <c r="C2493" t="s">
        <v>39</v>
      </c>
      <c r="D2493" t="s">
        <v>41</v>
      </c>
      <c r="E2493">
        <v>2000715232</v>
      </c>
      <c r="F2493">
        <v>1600</v>
      </c>
      <c r="G2493">
        <v>568</v>
      </c>
      <c r="H2493">
        <v>0</v>
      </c>
      <c r="I2493" t="s">
        <v>198</v>
      </c>
      <c r="J2493" t="s">
        <v>193</v>
      </c>
      <c r="K2493" t="s">
        <v>176</v>
      </c>
      <c r="O2493">
        <v>0</v>
      </c>
      <c r="U2493" t="s">
        <v>81</v>
      </c>
    </row>
    <row r="2494" spans="1:21" x14ac:dyDescent="0.25">
      <c r="A2494" s="33">
        <v>2509</v>
      </c>
      <c r="B2494" s="24">
        <v>44260</v>
      </c>
      <c r="C2494" t="s">
        <v>39</v>
      </c>
      <c r="D2494" t="s">
        <v>41</v>
      </c>
      <c r="E2494">
        <v>2000715415</v>
      </c>
      <c r="F2494">
        <v>1600</v>
      </c>
      <c r="G2494">
        <v>332</v>
      </c>
      <c r="H2494">
        <v>0</v>
      </c>
      <c r="I2494" t="s">
        <v>198</v>
      </c>
      <c r="J2494" t="s">
        <v>193</v>
      </c>
      <c r="K2494" t="s">
        <v>176</v>
      </c>
      <c r="O2494">
        <v>0</v>
      </c>
      <c r="U2494" t="s">
        <v>81</v>
      </c>
    </row>
    <row r="2495" spans="1:21" x14ac:dyDescent="0.25">
      <c r="A2495" s="33">
        <v>2510</v>
      </c>
      <c r="B2495" s="24">
        <v>44260</v>
      </c>
      <c r="C2495" t="s">
        <v>39</v>
      </c>
      <c r="D2495" t="s">
        <v>41</v>
      </c>
      <c r="E2495">
        <v>2000713146</v>
      </c>
      <c r="F2495">
        <v>2000</v>
      </c>
      <c r="G2495">
        <v>120</v>
      </c>
      <c r="H2495">
        <v>0</v>
      </c>
      <c r="I2495" t="s">
        <v>198</v>
      </c>
      <c r="J2495" t="s">
        <v>193</v>
      </c>
      <c r="K2495" t="s">
        <v>650</v>
      </c>
      <c r="O2495">
        <v>0</v>
      </c>
      <c r="T2495" s="62"/>
      <c r="U2495" t="s">
        <v>81</v>
      </c>
    </row>
    <row r="2496" spans="1:21" x14ac:dyDescent="0.25">
      <c r="A2496" s="33">
        <v>2511</v>
      </c>
      <c r="B2496" s="24">
        <v>44260</v>
      </c>
      <c r="C2496" t="s">
        <v>39</v>
      </c>
      <c r="D2496" t="s">
        <v>41</v>
      </c>
      <c r="E2496">
        <v>2000715578</v>
      </c>
      <c r="F2496">
        <v>80</v>
      </c>
      <c r="G2496">
        <v>80</v>
      </c>
      <c r="H2496">
        <v>0</v>
      </c>
      <c r="I2496" t="s">
        <v>198</v>
      </c>
      <c r="J2496" t="s">
        <v>436</v>
      </c>
      <c r="K2496" t="s">
        <v>811</v>
      </c>
      <c r="O2496">
        <v>0</v>
      </c>
      <c r="U2496" t="s">
        <v>81</v>
      </c>
    </row>
    <row r="2497" spans="1:21" x14ac:dyDescent="0.25">
      <c r="A2497" s="33">
        <v>2512</v>
      </c>
      <c r="B2497" s="24">
        <v>44260</v>
      </c>
      <c r="C2497" t="s">
        <v>39</v>
      </c>
      <c r="D2497" t="s">
        <v>41</v>
      </c>
      <c r="E2497">
        <v>2000715551</v>
      </c>
      <c r="F2497">
        <v>90</v>
      </c>
      <c r="G2497">
        <v>30</v>
      </c>
      <c r="H2497">
        <v>0</v>
      </c>
      <c r="I2497" t="s">
        <v>198</v>
      </c>
      <c r="J2497" t="s">
        <v>990</v>
      </c>
      <c r="K2497" t="s">
        <v>793</v>
      </c>
      <c r="O2497">
        <v>0</v>
      </c>
      <c r="U2497" t="s">
        <v>81</v>
      </c>
    </row>
    <row r="2498" spans="1:21" x14ac:dyDescent="0.25">
      <c r="A2498" s="33">
        <v>2513</v>
      </c>
      <c r="B2498" s="24">
        <v>44260</v>
      </c>
      <c r="C2498" t="s">
        <v>39</v>
      </c>
      <c r="D2498" t="s">
        <v>41</v>
      </c>
      <c r="E2498">
        <v>2000716314</v>
      </c>
      <c r="F2498">
        <v>164</v>
      </c>
      <c r="G2498">
        <v>163</v>
      </c>
      <c r="H2498">
        <v>0</v>
      </c>
      <c r="I2498" t="s">
        <v>198</v>
      </c>
      <c r="J2498" t="s">
        <v>457</v>
      </c>
      <c r="K2498" t="s">
        <v>177</v>
      </c>
      <c r="O2498">
        <v>0</v>
      </c>
      <c r="U2498" t="s">
        <v>81</v>
      </c>
    </row>
    <row r="2499" spans="1:21" x14ac:dyDescent="0.25">
      <c r="A2499" s="33">
        <v>2514</v>
      </c>
      <c r="B2499" s="24">
        <v>44260</v>
      </c>
      <c r="C2499" t="s">
        <v>39</v>
      </c>
      <c r="D2499" t="s">
        <v>41</v>
      </c>
      <c r="E2499">
        <v>2000715581</v>
      </c>
      <c r="F2499">
        <v>720</v>
      </c>
      <c r="G2499">
        <v>80</v>
      </c>
      <c r="H2499">
        <v>0</v>
      </c>
      <c r="I2499" t="s">
        <v>198</v>
      </c>
      <c r="J2499" t="s">
        <v>457</v>
      </c>
      <c r="K2499" t="s">
        <v>644</v>
      </c>
      <c r="O2499">
        <v>0</v>
      </c>
      <c r="U2499" t="s">
        <v>81</v>
      </c>
    </row>
    <row r="2500" spans="1:21" x14ac:dyDescent="0.25">
      <c r="A2500" s="33">
        <v>2515</v>
      </c>
      <c r="B2500" s="24">
        <v>44260</v>
      </c>
      <c r="C2500" t="s">
        <v>39</v>
      </c>
      <c r="D2500" t="s">
        <v>41</v>
      </c>
      <c r="E2500">
        <v>2000715070</v>
      </c>
      <c r="F2500">
        <v>520</v>
      </c>
      <c r="G2500">
        <v>20</v>
      </c>
      <c r="H2500">
        <v>0</v>
      </c>
      <c r="I2500" t="s">
        <v>665</v>
      </c>
      <c r="J2500" t="s">
        <v>172</v>
      </c>
      <c r="K2500" t="s">
        <v>854</v>
      </c>
      <c r="O2500">
        <v>0</v>
      </c>
      <c r="U2500" t="s">
        <v>81</v>
      </c>
    </row>
    <row r="2501" spans="1:21" x14ac:dyDescent="0.25">
      <c r="A2501" s="33">
        <v>2516</v>
      </c>
      <c r="B2501" s="24">
        <v>44260</v>
      </c>
      <c r="C2501" t="s">
        <v>39</v>
      </c>
      <c r="D2501" t="s">
        <v>41</v>
      </c>
      <c r="E2501">
        <v>2000715068</v>
      </c>
      <c r="F2501">
        <v>2300</v>
      </c>
      <c r="G2501">
        <v>150</v>
      </c>
      <c r="H2501">
        <v>0</v>
      </c>
      <c r="I2501" t="s">
        <v>665</v>
      </c>
      <c r="J2501" t="s">
        <v>172</v>
      </c>
      <c r="K2501" t="s">
        <v>724</v>
      </c>
      <c r="O2501">
        <v>0</v>
      </c>
      <c r="U2501" t="s">
        <v>81</v>
      </c>
    </row>
    <row r="2502" spans="1:21" x14ac:dyDescent="0.25">
      <c r="A2502" s="33">
        <v>2517</v>
      </c>
      <c r="B2502" s="24">
        <v>44260</v>
      </c>
      <c r="C2502" t="s">
        <v>39</v>
      </c>
      <c r="D2502" t="s">
        <v>41</v>
      </c>
      <c r="E2502">
        <v>2000715577</v>
      </c>
      <c r="F2502">
        <v>160</v>
      </c>
      <c r="G2502">
        <v>119</v>
      </c>
      <c r="H2502">
        <v>0</v>
      </c>
      <c r="I2502" t="s">
        <v>665</v>
      </c>
      <c r="J2502" t="s">
        <v>174</v>
      </c>
      <c r="K2502" t="s">
        <v>870</v>
      </c>
      <c r="O2502">
        <v>0</v>
      </c>
      <c r="U2502" t="s">
        <v>81</v>
      </c>
    </row>
    <row r="2503" spans="1:21" x14ac:dyDescent="0.25">
      <c r="A2503" s="33">
        <v>2518</v>
      </c>
      <c r="B2503" s="24">
        <v>44260</v>
      </c>
      <c r="C2503" t="s">
        <v>39</v>
      </c>
      <c r="D2503" t="s">
        <v>41</v>
      </c>
      <c r="E2503">
        <v>2000715581</v>
      </c>
      <c r="F2503">
        <v>720</v>
      </c>
      <c r="G2503">
        <v>280</v>
      </c>
      <c r="H2503">
        <v>0</v>
      </c>
      <c r="I2503" t="s">
        <v>665</v>
      </c>
      <c r="J2503" t="s">
        <v>174</v>
      </c>
      <c r="K2503" t="s">
        <v>644</v>
      </c>
      <c r="O2503">
        <v>0</v>
      </c>
      <c r="U2503" t="s">
        <v>81</v>
      </c>
    </row>
    <row r="2504" spans="1:21" x14ac:dyDescent="0.25">
      <c r="A2504" s="33">
        <v>2519</v>
      </c>
      <c r="B2504" s="24">
        <v>44260</v>
      </c>
      <c r="C2504" t="s">
        <v>39</v>
      </c>
      <c r="D2504" t="s">
        <v>41</v>
      </c>
      <c r="E2504">
        <v>2000715177</v>
      </c>
      <c r="F2504">
        <v>800</v>
      </c>
      <c r="G2504">
        <v>45</v>
      </c>
      <c r="H2504">
        <v>0</v>
      </c>
      <c r="I2504" t="s">
        <v>183</v>
      </c>
      <c r="J2504" t="s">
        <v>998</v>
      </c>
      <c r="K2504" t="s">
        <v>790</v>
      </c>
      <c r="O2504">
        <v>0</v>
      </c>
      <c r="U2504" t="s">
        <v>81</v>
      </c>
    </row>
    <row r="2505" spans="1:21" x14ac:dyDescent="0.25">
      <c r="A2505" s="33">
        <v>2520</v>
      </c>
      <c r="B2505" s="24">
        <v>44260</v>
      </c>
      <c r="C2505" t="s">
        <v>39</v>
      </c>
      <c r="D2505" t="s">
        <v>41</v>
      </c>
      <c r="E2505">
        <v>2000715173</v>
      </c>
      <c r="F2505">
        <v>550</v>
      </c>
      <c r="G2505">
        <v>550</v>
      </c>
      <c r="H2505">
        <v>0</v>
      </c>
      <c r="I2505" t="s">
        <v>183</v>
      </c>
      <c r="J2505" t="s">
        <v>1007</v>
      </c>
      <c r="K2505" t="s">
        <v>646</v>
      </c>
      <c r="O2505">
        <v>0</v>
      </c>
      <c r="T2505" s="62"/>
      <c r="U2505" t="s">
        <v>81</v>
      </c>
    </row>
    <row r="2506" spans="1:21" x14ac:dyDescent="0.25">
      <c r="A2506" s="33">
        <v>2521</v>
      </c>
      <c r="B2506" s="24">
        <v>44260</v>
      </c>
      <c r="C2506" t="s">
        <v>39</v>
      </c>
      <c r="D2506" t="s">
        <v>41</v>
      </c>
      <c r="E2506">
        <v>2000715234</v>
      </c>
      <c r="F2506">
        <v>1600</v>
      </c>
      <c r="G2506">
        <v>100</v>
      </c>
      <c r="H2506">
        <v>0</v>
      </c>
      <c r="I2506" t="s">
        <v>183</v>
      </c>
      <c r="J2506" t="s">
        <v>193</v>
      </c>
      <c r="K2506" t="s">
        <v>650</v>
      </c>
      <c r="O2506">
        <v>0</v>
      </c>
      <c r="U2506" t="s">
        <v>81</v>
      </c>
    </row>
    <row r="2507" spans="1:21" x14ac:dyDescent="0.25">
      <c r="A2507" s="33">
        <v>2522</v>
      </c>
      <c r="B2507" s="24">
        <v>44260</v>
      </c>
      <c r="C2507" t="s">
        <v>39</v>
      </c>
      <c r="D2507" t="s">
        <v>41</v>
      </c>
      <c r="E2507">
        <v>2000715761</v>
      </c>
      <c r="F2507">
        <v>400</v>
      </c>
      <c r="G2507">
        <v>400</v>
      </c>
      <c r="H2507">
        <v>0</v>
      </c>
      <c r="I2507" t="s">
        <v>183</v>
      </c>
      <c r="J2507" t="s">
        <v>987</v>
      </c>
      <c r="K2507" t="s">
        <v>734</v>
      </c>
      <c r="O2507">
        <v>0</v>
      </c>
      <c r="U2507" t="s">
        <v>81</v>
      </c>
    </row>
    <row r="2508" spans="1:21" x14ac:dyDescent="0.25">
      <c r="A2508" s="33">
        <v>2523</v>
      </c>
      <c r="B2508" s="24">
        <v>44260</v>
      </c>
      <c r="C2508" t="s">
        <v>39</v>
      </c>
      <c r="D2508" t="s">
        <v>41</v>
      </c>
      <c r="E2508">
        <v>2000715189</v>
      </c>
      <c r="F2508">
        <v>1300</v>
      </c>
      <c r="G2508">
        <v>420</v>
      </c>
      <c r="H2508">
        <v>0</v>
      </c>
      <c r="I2508" t="s">
        <v>178</v>
      </c>
      <c r="J2508" t="s">
        <v>203</v>
      </c>
      <c r="K2508" t="s">
        <v>639</v>
      </c>
      <c r="O2508">
        <v>0</v>
      </c>
      <c r="U2508" t="s">
        <v>81</v>
      </c>
    </row>
    <row r="2509" spans="1:21" x14ac:dyDescent="0.25">
      <c r="A2509" s="33">
        <v>2524</v>
      </c>
      <c r="B2509" s="24">
        <v>44260</v>
      </c>
      <c r="C2509" t="s">
        <v>39</v>
      </c>
      <c r="D2509" t="s">
        <v>41</v>
      </c>
      <c r="E2509">
        <v>2000715551</v>
      </c>
      <c r="F2509">
        <v>90</v>
      </c>
      <c r="G2509">
        <v>60</v>
      </c>
      <c r="H2509">
        <v>0</v>
      </c>
      <c r="I2509" t="s">
        <v>178</v>
      </c>
      <c r="J2509" t="s">
        <v>203</v>
      </c>
      <c r="K2509" t="s">
        <v>793</v>
      </c>
      <c r="O2509">
        <v>0</v>
      </c>
      <c r="U2509" t="s">
        <v>81</v>
      </c>
    </row>
    <row r="2510" spans="1:21" x14ac:dyDescent="0.25">
      <c r="A2510" s="33">
        <v>2525</v>
      </c>
      <c r="B2510" s="24">
        <v>44260</v>
      </c>
      <c r="C2510" t="s">
        <v>39</v>
      </c>
      <c r="D2510" t="s">
        <v>41</v>
      </c>
      <c r="E2510">
        <v>2000716206</v>
      </c>
      <c r="F2510">
        <v>450</v>
      </c>
      <c r="G2510">
        <v>60</v>
      </c>
      <c r="H2510">
        <v>0</v>
      </c>
      <c r="I2510" t="s">
        <v>178</v>
      </c>
      <c r="J2510" t="s">
        <v>203</v>
      </c>
      <c r="K2510" t="s">
        <v>785</v>
      </c>
      <c r="O2510">
        <v>0</v>
      </c>
      <c r="U2510" t="s">
        <v>81</v>
      </c>
    </row>
    <row r="2511" spans="1:21" x14ac:dyDescent="0.25">
      <c r="A2511" s="33">
        <v>2526</v>
      </c>
      <c r="B2511" s="24">
        <v>44260</v>
      </c>
      <c r="C2511" t="s">
        <v>39</v>
      </c>
      <c r="D2511" t="s">
        <v>41</v>
      </c>
      <c r="E2511">
        <v>2000715234</v>
      </c>
      <c r="F2511">
        <v>1600</v>
      </c>
      <c r="G2511">
        <v>380</v>
      </c>
      <c r="H2511">
        <v>0</v>
      </c>
      <c r="I2511" t="s">
        <v>178</v>
      </c>
      <c r="J2511" t="s">
        <v>193</v>
      </c>
      <c r="K2511" t="s">
        <v>650</v>
      </c>
      <c r="O2511">
        <v>0</v>
      </c>
      <c r="U2511" t="s">
        <v>81</v>
      </c>
    </row>
    <row r="2512" spans="1:21" x14ac:dyDescent="0.25">
      <c r="A2512" s="33">
        <v>2527</v>
      </c>
      <c r="B2512" s="24">
        <v>44260</v>
      </c>
      <c r="C2512" t="s">
        <v>39</v>
      </c>
      <c r="D2512" t="s">
        <v>41</v>
      </c>
      <c r="E2512">
        <v>2000715914</v>
      </c>
      <c r="F2512">
        <v>3904</v>
      </c>
      <c r="G2512">
        <v>400</v>
      </c>
      <c r="H2512">
        <v>0</v>
      </c>
      <c r="I2512" t="s">
        <v>201</v>
      </c>
      <c r="J2512" t="s">
        <v>990</v>
      </c>
      <c r="K2512" t="s">
        <v>788</v>
      </c>
      <c r="O2512">
        <v>0</v>
      </c>
      <c r="U2512" t="s">
        <v>81</v>
      </c>
    </row>
    <row r="2513" spans="1:21" x14ac:dyDescent="0.25">
      <c r="A2513" s="33">
        <v>2528</v>
      </c>
      <c r="B2513" s="24">
        <v>44260</v>
      </c>
      <c r="C2513" t="s">
        <v>39</v>
      </c>
      <c r="D2513" t="s">
        <v>41</v>
      </c>
      <c r="E2513">
        <v>2000715233</v>
      </c>
      <c r="F2513">
        <v>1600</v>
      </c>
      <c r="G2513">
        <v>699</v>
      </c>
      <c r="H2513">
        <v>0</v>
      </c>
      <c r="I2513" t="s">
        <v>201</v>
      </c>
      <c r="J2513" t="s">
        <v>193</v>
      </c>
      <c r="K2513" t="s">
        <v>683</v>
      </c>
      <c r="O2513">
        <v>0</v>
      </c>
      <c r="U2513" t="s">
        <v>81</v>
      </c>
    </row>
    <row r="2514" spans="1:21" x14ac:dyDescent="0.25">
      <c r="A2514" s="33">
        <v>2529</v>
      </c>
      <c r="B2514" s="24">
        <v>44260</v>
      </c>
      <c r="C2514" t="s">
        <v>39</v>
      </c>
      <c r="D2514" t="s">
        <v>41</v>
      </c>
      <c r="E2514">
        <v>2000715416</v>
      </c>
      <c r="F2514">
        <v>1600</v>
      </c>
      <c r="G2514">
        <v>151</v>
      </c>
      <c r="H2514">
        <v>0</v>
      </c>
      <c r="I2514" t="s">
        <v>201</v>
      </c>
      <c r="J2514" t="s">
        <v>193</v>
      </c>
      <c r="K2514" t="s">
        <v>683</v>
      </c>
      <c r="O2514">
        <v>0</v>
      </c>
      <c r="U2514" t="s">
        <v>81</v>
      </c>
    </row>
    <row r="2515" spans="1:21" x14ac:dyDescent="0.25">
      <c r="A2515" s="33">
        <v>2530</v>
      </c>
      <c r="B2515" s="24">
        <v>44260</v>
      </c>
      <c r="C2515" t="s">
        <v>39</v>
      </c>
      <c r="D2515" t="s">
        <v>41</v>
      </c>
      <c r="E2515">
        <v>2000713146</v>
      </c>
      <c r="F2515">
        <v>2000</v>
      </c>
      <c r="G2515">
        <v>280</v>
      </c>
      <c r="H2515">
        <v>0</v>
      </c>
      <c r="I2515" t="s">
        <v>201</v>
      </c>
      <c r="J2515" t="s">
        <v>193</v>
      </c>
      <c r="K2515" t="s">
        <v>650</v>
      </c>
      <c r="O2515">
        <v>0</v>
      </c>
      <c r="U2515" t="s">
        <v>81</v>
      </c>
    </row>
    <row r="2516" spans="1:21" x14ac:dyDescent="0.25">
      <c r="A2516" s="33">
        <v>2531</v>
      </c>
      <c r="B2516" s="24">
        <v>44260</v>
      </c>
      <c r="C2516" t="s">
        <v>39</v>
      </c>
      <c r="D2516" t="s">
        <v>41</v>
      </c>
      <c r="E2516">
        <v>2000715191</v>
      </c>
      <c r="F2516">
        <v>896</v>
      </c>
      <c r="G2516">
        <v>895</v>
      </c>
      <c r="H2516">
        <v>0</v>
      </c>
      <c r="I2516" t="s">
        <v>201</v>
      </c>
      <c r="J2516" t="s">
        <v>265</v>
      </c>
      <c r="K2516" t="s">
        <v>1023</v>
      </c>
      <c r="O2516">
        <v>0</v>
      </c>
      <c r="U2516" t="s">
        <v>81</v>
      </c>
    </row>
    <row r="2517" spans="1:21" x14ac:dyDescent="0.25">
      <c r="A2517" s="33">
        <v>2532</v>
      </c>
      <c r="B2517" s="24">
        <v>44260</v>
      </c>
      <c r="C2517" t="s">
        <v>39</v>
      </c>
      <c r="D2517" t="s">
        <v>41</v>
      </c>
      <c r="E2517">
        <v>2000715234</v>
      </c>
      <c r="F2517">
        <v>1600</v>
      </c>
      <c r="G2517">
        <v>480</v>
      </c>
      <c r="H2517">
        <v>1</v>
      </c>
      <c r="I2517" t="s">
        <v>201</v>
      </c>
      <c r="J2517" t="s">
        <v>193</v>
      </c>
      <c r="K2517" t="s">
        <v>650</v>
      </c>
      <c r="L2517" t="s">
        <v>107</v>
      </c>
      <c r="N2517" t="s">
        <v>1024</v>
      </c>
      <c r="O2517">
        <v>1</v>
      </c>
      <c r="P2517" t="s">
        <v>1025</v>
      </c>
      <c r="Q2517" t="s">
        <v>1026</v>
      </c>
      <c r="S2517" s="36">
        <v>0.7402777777777777</v>
      </c>
      <c r="U2517" t="s">
        <v>81</v>
      </c>
    </row>
    <row r="2518" spans="1:21" x14ac:dyDescent="0.25">
      <c r="A2518" s="33">
        <v>2533</v>
      </c>
      <c r="B2518" s="24">
        <v>44261</v>
      </c>
      <c r="C2518" t="s">
        <v>39</v>
      </c>
      <c r="D2518" t="s">
        <v>51</v>
      </c>
      <c r="E2518">
        <v>2000716162</v>
      </c>
      <c r="F2518">
        <v>170</v>
      </c>
      <c r="G2518">
        <v>170</v>
      </c>
      <c r="H2518">
        <v>0</v>
      </c>
      <c r="I2518" t="s">
        <v>706</v>
      </c>
      <c r="J2518" t="s">
        <v>669</v>
      </c>
      <c r="K2518" t="s">
        <v>810</v>
      </c>
      <c r="O2518">
        <v>0</v>
      </c>
      <c r="T2518" s="62"/>
      <c r="U2518" t="s">
        <v>81</v>
      </c>
    </row>
    <row r="2519" spans="1:21" x14ac:dyDescent="0.25">
      <c r="A2519" s="33">
        <v>2534</v>
      </c>
      <c r="B2519" s="24">
        <v>44261</v>
      </c>
      <c r="C2519" t="s">
        <v>39</v>
      </c>
      <c r="D2519" t="s">
        <v>51</v>
      </c>
      <c r="E2519">
        <v>2000715376</v>
      </c>
      <c r="F2519">
        <v>330</v>
      </c>
      <c r="G2519">
        <v>60</v>
      </c>
      <c r="H2519">
        <v>0</v>
      </c>
      <c r="I2519" t="s">
        <v>706</v>
      </c>
      <c r="J2519" t="s">
        <v>669</v>
      </c>
      <c r="K2519" t="s">
        <v>802</v>
      </c>
      <c r="O2519">
        <v>0</v>
      </c>
      <c r="T2519" s="62"/>
      <c r="U2519" t="s">
        <v>81</v>
      </c>
    </row>
    <row r="2520" spans="1:21" x14ac:dyDescent="0.25">
      <c r="A2520" s="33">
        <v>2535</v>
      </c>
      <c r="B2520" s="24">
        <v>44261</v>
      </c>
      <c r="C2520" t="s">
        <v>39</v>
      </c>
      <c r="D2520" t="s">
        <v>51</v>
      </c>
      <c r="E2520">
        <v>2000715656</v>
      </c>
      <c r="F2520">
        <v>600</v>
      </c>
      <c r="G2520">
        <v>210</v>
      </c>
      <c r="H2520">
        <v>0</v>
      </c>
      <c r="I2520" t="s">
        <v>706</v>
      </c>
      <c r="J2520" t="s">
        <v>673</v>
      </c>
      <c r="K2520" t="s">
        <v>674</v>
      </c>
      <c r="O2520">
        <v>0</v>
      </c>
      <c r="U2520" t="s">
        <v>81</v>
      </c>
    </row>
    <row r="2521" spans="1:21" x14ac:dyDescent="0.25">
      <c r="A2521" s="33">
        <v>2536</v>
      </c>
      <c r="B2521" s="24">
        <v>44261</v>
      </c>
      <c r="C2521" t="s">
        <v>39</v>
      </c>
      <c r="D2521" t="s">
        <v>51</v>
      </c>
      <c r="E2521">
        <v>2000716166</v>
      </c>
      <c r="F2521">
        <v>380</v>
      </c>
      <c r="G2521">
        <v>130</v>
      </c>
      <c r="H2521">
        <v>0</v>
      </c>
      <c r="I2521" t="s">
        <v>706</v>
      </c>
      <c r="J2521" t="s">
        <v>673</v>
      </c>
      <c r="K2521" t="s">
        <v>708</v>
      </c>
      <c r="O2521">
        <v>0</v>
      </c>
      <c r="U2521" t="s">
        <v>81</v>
      </c>
    </row>
    <row r="2522" spans="1:21" x14ac:dyDescent="0.25">
      <c r="A2522" s="33">
        <v>2537</v>
      </c>
      <c r="B2522" s="24">
        <v>44261</v>
      </c>
      <c r="C2522" t="s">
        <v>39</v>
      </c>
      <c r="D2522" t="s">
        <v>51</v>
      </c>
      <c r="E2522">
        <v>2000716167</v>
      </c>
      <c r="F2522">
        <v>380</v>
      </c>
      <c r="G2522">
        <v>70</v>
      </c>
      <c r="H2522">
        <v>0</v>
      </c>
      <c r="I2522" t="s">
        <v>706</v>
      </c>
      <c r="J2522" t="s">
        <v>673</v>
      </c>
      <c r="K2522" t="s">
        <v>708</v>
      </c>
      <c r="O2522">
        <v>0</v>
      </c>
      <c r="U2522" t="s">
        <v>81</v>
      </c>
    </row>
    <row r="2523" spans="1:21" x14ac:dyDescent="0.25">
      <c r="A2523" s="33">
        <v>2538</v>
      </c>
      <c r="B2523" s="24">
        <v>44261</v>
      </c>
      <c r="C2523" t="s">
        <v>39</v>
      </c>
      <c r="D2523" t="s">
        <v>51</v>
      </c>
      <c r="E2523">
        <v>2000715655</v>
      </c>
      <c r="F2523">
        <v>501</v>
      </c>
      <c r="G2523">
        <v>210</v>
      </c>
      <c r="H2523">
        <v>0</v>
      </c>
      <c r="I2523" t="s">
        <v>706</v>
      </c>
      <c r="J2523" t="s">
        <v>667</v>
      </c>
      <c r="K2523" t="s">
        <v>668</v>
      </c>
      <c r="O2523">
        <v>0</v>
      </c>
      <c r="U2523" t="s">
        <v>81</v>
      </c>
    </row>
    <row r="2524" spans="1:21" x14ac:dyDescent="0.25">
      <c r="A2524" s="33">
        <v>2539</v>
      </c>
      <c r="B2524" s="24">
        <v>44261</v>
      </c>
      <c r="C2524" t="s">
        <v>39</v>
      </c>
      <c r="D2524" t="s">
        <v>51</v>
      </c>
      <c r="E2524">
        <v>2000715874</v>
      </c>
      <c r="F2524">
        <v>440</v>
      </c>
      <c r="G2524">
        <v>70</v>
      </c>
      <c r="H2524">
        <v>0</v>
      </c>
      <c r="I2524" t="s">
        <v>706</v>
      </c>
      <c r="J2524" t="s">
        <v>667</v>
      </c>
      <c r="K2524" t="s">
        <v>671</v>
      </c>
      <c r="O2524">
        <v>0</v>
      </c>
      <c r="U2524" t="s">
        <v>81</v>
      </c>
    </row>
    <row r="2525" spans="1:21" x14ac:dyDescent="0.25">
      <c r="A2525" s="33">
        <v>2540</v>
      </c>
      <c r="B2525" s="24">
        <v>44261</v>
      </c>
      <c r="C2525" t="s">
        <v>39</v>
      </c>
      <c r="D2525" t="s">
        <v>51</v>
      </c>
      <c r="E2525">
        <v>2000715659</v>
      </c>
      <c r="F2525">
        <v>1140</v>
      </c>
      <c r="G2525">
        <v>70</v>
      </c>
      <c r="H2525">
        <v>0</v>
      </c>
      <c r="I2525" t="s">
        <v>706</v>
      </c>
      <c r="J2525" t="s">
        <v>667</v>
      </c>
      <c r="K2525" t="s">
        <v>671</v>
      </c>
      <c r="O2525">
        <v>0</v>
      </c>
      <c r="U2525" t="s">
        <v>81</v>
      </c>
    </row>
    <row r="2526" spans="1:21" x14ac:dyDescent="0.25">
      <c r="A2526" s="33">
        <v>2541</v>
      </c>
      <c r="B2526" s="24">
        <v>44261</v>
      </c>
      <c r="C2526" t="s">
        <v>39</v>
      </c>
      <c r="D2526" t="s">
        <v>51</v>
      </c>
      <c r="E2526">
        <v>2000716166</v>
      </c>
      <c r="F2526">
        <v>380</v>
      </c>
      <c r="G2526">
        <v>190</v>
      </c>
      <c r="H2526">
        <v>0</v>
      </c>
      <c r="I2526" t="s">
        <v>191</v>
      </c>
      <c r="J2526" t="s">
        <v>673</v>
      </c>
      <c r="K2526" t="s">
        <v>708</v>
      </c>
      <c r="O2526">
        <v>0</v>
      </c>
      <c r="T2526" s="62"/>
      <c r="U2526" t="s">
        <v>81</v>
      </c>
    </row>
    <row r="2527" spans="1:21" x14ac:dyDescent="0.25">
      <c r="A2527" s="33">
        <v>2542</v>
      </c>
      <c r="B2527" s="24">
        <v>44261</v>
      </c>
      <c r="C2527" t="s">
        <v>39</v>
      </c>
      <c r="D2527" t="s">
        <v>51</v>
      </c>
      <c r="E2527">
        <v>2000714912</v>
      </c>
      <c r="F2527">
        <v>500</v>
      </c>
      <c r="G2527">
        <v>10</v>
      </c>
      <c r="H2527">
        <v>0</v>
      </c>
      <c r="I2527" t="s">
        <v>191</v>
      </c>
      <c r="J2527" t="s">
        <v>667</v>
      </c>
      <c r="K2527" t="s">
        <v>671</v>
      </c>
      <c r="O2527">
        <v>0</v>
      </c>
      <c r="T2527" s="62"/>
      <c r="U2527" t="s">
        <v>81</v>
      </c>
    </row>
    <row r="2528" spans="1:21" x14ac:dyDescent="0.25">
      <c r="A2528" s="33">
        <v>2543</v>
      </c>
      <c r="B2528" s="24">
        <v>44261</v>
      </c>
      <c r="C2528" t="s">
        <v>39</v>
      </c>
      <c r="D2528" t="s">
        <v>51</v>
      </c>
      <c r="E2528">
        <v>2000715374</v>
      </c>
      <c r="F2528">
        <v>440</v>
      </c>
      <c r="G2528">
        <v>245</v>
      </c>
      <c r="H2528">
        <v>0</v>
      </c>
      <c r="I2528" t="s">
        <v>191</v>
      </c>
      <c r="J2528" t="s">
        <v>667</v>
      </c>
      <c r="K2528" t="s">
        <v>671</v>
      </c>
      <c r="O2528">
        <v>0</v>
      </c>
      <c r="U2528" t="s">
        <v>81</v>
      </c>
    </row>
    <row r="2529" spans="1:21" x14ac:dyDescent="0.25">
      <c r="A2529" s="33">
        <v>2544</v>
      </c>
      <c r="B2529" s="24">
        <v>44261</v>
      </c>
      <c r="C2529" t="s">
        <v>39</v>
      </c>
      <c r="D2529" t="s">
        <v>51</v>
      </c>
      <c r="E2529">
        <v>2000715656</v>
      </c>
      <c r="F2529">
        <v>600</v>
      </c>
      <c r="G2529">
        <v>210</v>
      </c>
      <c r="H2529">
        <v>0</v>
      </c>
      <c r="I2529" t="s">
        <v>191</v>
      </c>
      <c r="J2529" t="s">
        <v>673</v>
      </c>
      <c r="K2529" t="s">
        <v>674</v>
      </c>
      <c r="O2529">
        <v>0</v>
      </c>
      <c r="U2529" t="s">
        <v>81</v>
      </c>
    </row>
    <row r="2530" spans="1:21" x14ac:dyDescent="0.25">
      <c r="A2530" s="33">
        <v>2545</v>
      </c>
      <c r="B2530" s="24">
        <v>44261</v>
      </c>
      <c r="C2530" t="s">
        <v>39</v>
      </c>
      <c r="D2530" t="s">
        <v>51</v>
      </c>
      <c r="E2530">
        <v>2000715376</v>
      </c>
      <c r="F2530">
        <v>330</v>
      </c>
      <c r="G2530">
        <v>60</v>
      </c>
      <c r="H2530">
        <v>0</v>
      </c>
      <c r="I2530" t="s">
        <v>191</v>
      </c>
      <c r="J2530" t="s">
        <v>669</v>
      </c>
      <c r="K2530" t="s">
        <v>802</v>
      </c>
      <c r="O2530">
        <v>0</v>
      </c>
      <c r="U2530" t="s">
        <v>81</v>
      </c>
    </row>
    <row r="2531" spans="1:21" x14ac:dyDescent="0.25">
      <c r="A2531" s="33">
        <v>2546</v>
      </c>
      <c r="B2531" s="24">
        <v>44261</v>
      </c>
      <c r="C2531" t="s">
        <v>39</v>
      </c>
      <c r="D2531" t="s">
        <v>41</v>
      </c>
      <c r="E2531">
        <v>2000715068</v>
      </c>
      <c r="F2531">
        <v>2300</v>
      </c>
      <c r="G2531">
        <v>10</v>
      </c>
      <c r="H2531">
        <v>0</v>
      </c>
      <c r="I2531" t="s">
        <v>184</v>
      </c>
      <c r="J2531" t="s">
        <v>172</v>
      </c>
      <c r="K2531" t="s">
        <v>724</v>
      </c>
      <c r="O2531">
        <v>0</v>
      </c>
      <c r="U2531" t="s">
        <v>81</v>
      </c>
    </row>
    <row r="2532" spans="1:21" x14ac:dyDescent="0.25">
      <c r="A2532" s="33">
        <v>2547</v>
      </c>
      <c r="B2532" s="24">
        <v>44261</v>
      </c>
      <c r="C2532" t="s">
        <v>39</v>
      </c>
      <c r="D2532" t="s">
        <v>41</v>
      </c>
      <c r="E2532">
        <v>2000716315</v>
      </c>
      <c r="F2532">
        <v>280</v>
      </c>
      <c r="G2532">
        <v>40</v>
      </c>
      <c r="H2532">
        <v>0</v>
      </c>
      <c r="I2532" t="s">
        <v>184</v>
      </c>
      <c r="J2532" t="s">
        <v>174</v>
      </c>
      <c r="K2532" t="s">
        <v>662</v>
      </c>
      <c r="O2532">
        <v>0</v>
      </c>
      <c r="U2532" t="s">
        <v>81</v>
      </c>
    </row>
    <row r="2533" spans="1:21" x14ac:dyDescent="0.25">
      <c r="A2533" s="33">
        <v>2548</v>
      </c>
      <c r="B2533" s="24">
        <v>44261</v>
      </c>
      <c r="C2533" t="s">
        <v>39</v>
      </c>
      <c r="D2533" t="s">
        <v>41</v>
      </c>
      <c r="E2533">
        <v>2000715069</v>
      </c>
      <c r="F2533">
        <v>1180</v>
      </c>
      <c r="G2533">
        <v>10</v>
      </c>
      <c r="H2533">
        <v>0</v>
      </c>
      <c r="I2533" t="s">
        <v>184</v>
      </c>
      <c r="J2533" t="s">
        <v>172</v>
      </c>
      <c r="K2533" t="s">
        <v>173</v>
      </c>
      <c r="O2533">
        <v>0</v>
      </c>
      <c r="U2533" t="s">
        <v>81</v>
      </c>
    </row>
    <row r="2534" spans="1:21" x14ac:dyDescent="0.25">
      <c r="A2534" s="33">
        <v>2549</v>
      </c>
      <c r="B2534" s="24">
        <v>44261</v>
      </c>
      <c r="C2534" t="s">
        <v>39</v>
      </c>
      <c r="D2534" t="s">
        <v>41</v>
      </c>
      <c r="E2534">
        <v>2000716336</v>
      </c>
      <c r="F2534">
        <v>820</v>
      </c>
      <c r="G2534">
        <v>739</v>
      </c>
      <c r="H2534">
        <v>0</v>
      </c>
      <c r="I2534" t="s">
        <v>184</v>
      </c>
      <c r="J2534" t="s">
        <v>745</v>
      </c>
      <c r="K2534" t="s">
        <v>746</v>
      </c>
      <c r="O2534">
        <v>0</v>
      </c>
      <c r="U2534" t="s">
        <v>81</v>
      </c>
    </row>
    <row r="2535" spans="1:21" x14ac:dyDescent="0.25">
      <c r="A2535" s="33">
        <v>2550</v>
      </c>
      <c r="B2535" s="24">
        <v>44261</v>
      </c>
      <c r="C2535" t="s">
        <v>39</v>
      </c>
      <c r="D2535" t="s">
        <v>41</v>
      </c>
      <c r="E2535">
        <v>2000714130</v>
      </c>
      <c r="F2535">
        <v>920</v>
      </c>
      <c r="G2535">
        <v>40</v>
      </c>
      <c r="H2535">
        <v>0</v>
      </c>
      <c r="I2535" t="s">
        <v>184</v>
      </c>
      <c r="J2535" t="s">
        <v>745</v>
      </c>
      <c r="K2535" t="s">
        <v>746</v>
      </c>
      <c r="O2535">
        <v>0</v>
      </c>
      <c r="U2535" t="s">
        <v>81</v>
      </c>
    </row>
    <row r="2536" spans="1:21" x14ac:dyDescent="0.25">
      <c r="A2536" s="33">
        <v>2551</v>
      </c>
      <c r="B2536" s="24">
        <v>44261</v>
      </c>
      <c r="C2536" t="s">
        <v>39</v>
      </c>
      <c r="D2536" t="s">
        <v>41</v>
      </c>
      <c r="E2536">
        <v>2000715086</v>
      </c>
      <c r="F2536">
        <v>2180</v>
      </c>
      <c r="G2536">
        <v>100</v>
      </c>
      <c r="H2536">
        <v>0</v>
      </c>
      <c r="I2536" t="s">
        <v>184</v>
      </c>
      <c r="J2536" t="s">
        <v>645</v>
      </c>
      <c r="K2536" t="s">
        <v>721</v>
      </c>
      <c r="O2536">
        <v>0</v>
      </c>
      <c r="U2536" t="s">
        <v>81</v>
      </c>
    </row>
    <row r="2537" spans="1:21" x14ac:dyDescent="0.25">
      <c r="A2537" s="33">
        <v>2552</v>
      </c>
      <c r="B2537" s="24">
        <v>44261</v>
      </c>
      <c r="C2537" t="s">
        <v>39</v>
      </c>
      <c r="D2537" t="s">
        <v>41</v>
      </c>
      <c r="E2537">
        <v>2000715068</v>
      </c>
      <c r="F2537">
        <v>2300</v>
      </c>
      <c r="G2537">
        <v>140</v>
      </c>
      <c r="H2537">
        <v>0</v>
      </c>
      <c r="I2537" t="s">
        <v>665</v>
      </c>
      <c r="J2537" t="s">
        <v>172</v>
      </c>
      <c r="K2537" t="s">
        <v>724</v>
      </c>
      <c r="O2537">
        <v>0</v>
      </c>
      <c r="U2537" t="s">
        <v>81</v>
      </c>
    </row>
    <row r="2538" spans="1:21" x14ac:dyDescent="0.25">
      <c r="A2538" s="33">
        <v>2553</v>
      </c>
      <c r="B2538" s="24">
        <v>44261</v>
      </c>
      <c r="C2538" t="s">
        <v>39</v>
      </c>
      <c r="D2538" t="s">
        <v>41</v>
      </c>
      <c r="E2538">
        <v>2000715067</v>
      </c>
      <c r="F2538">
        <v>1180</v>
      </c>
      <c r="G2538">
        <v>1000</v>
      </c>
      <c r="H2538">
        <v>0</v>
      </c>
      <c r="I2538" t="s">
        <v>665</v>
      </c>
      <c r="J2538" t="s">
        <v>172</v>
      </c>
      <c r="K2538" t="s">
        <v>725</v>
      </c>
      <c r="O2538">
        <v>0</v>
      </c>
      <c r="U2538" t="s">
        <v>81</v>
      </c>
    </row>
    <row r="2539" spans="1:21" x14ac:dyDescent="0.25">
      <c r="A2539" s="33">
        <v>2554</v>
      </c>
      <c r="B2539" s="24">
        <v>44261</v>
      </c>
      <c r="C2539" t="s">
        <v>39</v>
      </c>
      <c r="D2539" t="s">
        <v>41</v>
      </c>
      <c r="E2539">
        <v>2000713146</v>
      </c>
      <c r="F2539">
        <v>2000</v>
      </c>
      <c r="G2539">
        <v>163</v>
      </c>
      <c r="H2539">
        <v>0</v>
      </c>
      <c r="I2539" t="s">
        <v>665</v>
      </c>
      <c r="J2539" t="s">
        <v>193</v>
      </c>
      <c r="K2539" t="s">
        <v>650</v>
      </c>
      <c r="O2539">
        <v>0</v>
      </c>
      <c r="T2539" s="62"/>
      <c r="U2539" t="s">
        <v>81</v>
      </c>
    </row>
    <row r="2540" spans="1:21" x14ac:dyDescent="0.25">
      <c r="A2540" s="33">
        <v>2555</v>
      </c>
      <c r="B2540" s="24">
        <v>44261</v>
      </c>
      <c r="C2540" t="s">
        <v>39</v>
      </c>
      <c r="D2540" t="s">
        <v>41</v>
      </c>
      <c r="E2540">
        <v>2000716336</v>
      </c>
      <c r="F2540">
        <v>820</v>
      </c>
      <c r="G2540">
        <v>40</v>
      </c>
      <c r="H2540">
        <v>0</v>
      </c>
      <c r="I2540" t="s">
        <v>198</v>
      </c>
      <c r="J2540" t="s">
        <v>745</v>
      </c>
      <c r="K2540" t="s">
        <v>746</v>
      </c>
      <c r="O2540">
        <v>0</v>
      </c>
      <c r="U2540" t="s">
        <v>81</v>
      </c>
    </row>
    <row r="2541" spans="1:21" x14ac:dyDescent="0.25">
      <c r="A2541" s="33">
        <v>2556</v>
      </c>
      <c r="B2541" s="24">
        <v>44261</v>
      </c>
      <c r="C2541" t="s">
        <v>39</v>
      </c>
      <c r="D2541" t="s">
        <v>41</v>
      </c>
      <c r="E2541">
        <v>2000715084</v>
      </c>
      <c r="F2541">
        <v>2180</v>
      </c>
      <c r="G2541">
        <v>800</v>
      </c>
      <c r="H2541">
        <v>0</v>
      </c>
      <c r="I2541" t="s">
        <v>198</v>
      </c>
      <c r="J2541" t="s">
        <v>645</v>
      </c>
      <c r="K2541" t="s">
        <v>739</v>
      </c>
      <c r="O2541">
        <v>0</v>
      </c>
      <c r="U2541" t="s">
        <v>81</v>
      </c>
    </row>
    <row r="2542" spans="1:21" x14ac:dyDescent="0.25">
      <c r="A2542" s="33">
        <v>2557</v>
      </c>
      <c r="B2542" s="24">
        <v>44261</v>
      </c>
      <c r="C2542" t="s">
        <v>39</v>
      </c>
      <c r="D2542" t="s">
        <v>41</v>
      </c>
      <c r="E2542">
        <v>2000714571</v>
      </c>
      <c r="F2542">
        <v>300</v>
      </c>
      <c r="G2542">
        <v>200</v>
      </c>
      <c r="H2542">
        <v>0</v>
      </c>
      <c r="I2542" t="s">
        <v>198</v>
      </c>
      <c r="J2542" t="s">
        <v>172</v>
      </c>
      <c r="K2542" t="s">
        <v>729</v>
      </c>
      <c r="O2542">
        <v>0</v>
      </c>
      <c r="U2542" t="s">
        <v>81</v>
      </c>
    </row>
    <row r="2543" spans="1:21" x14ac:dyDescent="0.25">
      <c r="A2543" s="33">
        <v>2558</v>
      </c>
      <c r="B2543" s="24">
        <v>44261</v>
      </c>
      <c r="C2543" t="s">
        <v>39</v>
      </c>
      <c r="D2543" t="s">
        <v>41</v>
      </c>
      <c r="E2543">
        <v>2000715710</v>
      </c>
      <c r="F2543">
        <v>1150</v>
      </c>
      <c r="G2543">
        <v>200</v>
      </c>
      <c r="H2543">
        <v>0</v>
      </c>
      <c r="I2543" t="s">
        <v>198</v>
      </c>
      <c r="J2543" t="s">
        <v>196</v>
      </c>
      <c r="K2543" t="s">
        <v>685</v>
      </c>
      <c r="O2543">
        <v>0</v>
      </c>
      <c r="U2543" t="s">
        <v>81</v>
      </c>
    </row>
    <row r="2544" spans="1:21" x14ac:dyDescent="0.25">
      <c r="A2544" s="33">
        <v>2559</v>
      </c>
      <c r="B2544" s="24">
        <v>44261</v>
      </c>
      <c r="C2544" t="s">
        <v>39</v>
      </c>
      <c r="D2544" t="s">
        <v>41</v>
      </c>
      <c r="E2544">
        <v>2000715629</v>
      </c>
      <c r="F2544">
        <v>60</v>
      </c>
      <c r="G2544">
        <v>56</v>
      </c>
      <c r="H2544">
        <v>0</v>
      </c>
      <c r="I2544" t="s">
        <v>198</v>
      </c>
      <c r="J2544" t="s">
        <v>1031</v>
      </c>
      <c r="K2544" t="s">
        <v>1027</v>
      </c>
      <c r="O2544">
        <v>0</v>
      </c>
      <c r="T2544" t="s">
        <v>1028</v>
      </c>
      <c r="U2544" t="s">
        <v>81</v>
      </c>
    </row>
    <row r="2545" spans="1:21" x14ac:dyDescent="0.25">
      <c r="A2545" s="33">
        <v>2560</v>
      </c>
      <c r="B2545" s="24">
        <v>44261</v>
      </c>
      <c r="C2545" t="s">
        <v>39</v>
      </c>
      <c r="D2545" t="s">
        <v>41</v>
      </c>
      <c r="E2545">
        <v>2000716213</v>
      </c>
      <c r="F2545">
        <v>30</v>
      </c>
      <c r="G2545">
        <v>26</v>
      </c>
      <c r="H2545">
        <v>0</v>
      </c>
      <c r="I2545" t="s">
        <v>198</v>
      </c>
      <c r="J2545" t="s">
        <v>1031</v>
      </c>
      <c r="K2545" t="s">
        <v>1027</v>
      </c>
      <c r="O2545">
        <v>0</v>
      </c>
      <c r="T2545" t="s">
        <v>1029</v>
      </c>
      <c r="U2545" t="s">
        <v>81</v>
      </c>
    </row>
    <row r="2546" spans="1:21" x14ac:dyDescent="0.25">
      <c r="A2546" s="33">
        <v>2561</v>
      </c>
      <c r="B2546" s="24">
        <v>44261</v>
      </c>
      <c r="C2546" t="s">
        <v>39</v>
      </c>
      <c r="D2546" t="s">
        <v>41</v>
      </c>
      <c r="E2546">
        <v>2000715630</v>
      </c>
      <c r="F2546">
        <v>30</v>
      </c>
      <c r="G2546">
        <v>28</v>
      </c>
      <c r="H2546">
        <v>0</v>
      </c>
      <c r="I2546" t="s">
        <v>198</v>
      </c>
      <c r="J2546" t="s">
        <v>1031</v>
      </c>
      <c r="K2546" t="s">
        <v>1027</v>
      </c>
      <c r="O2546">
        <v>0</v>
      </c>
      <c r="T2546" t="s">
        <v>1030</v>
      </c>
      <c r="U2546" t="s">
        <v>83</v>
      </c>
    </row>
    <row r="2547" spans="1:21" x14ac:dyDescent="0.25">
      <c r="A2547" s="33">
        <v>2562</v>
      </c>
      <c r="B2547" s="24">
        <v>44261</v>
      </c>
      <c r="C2547" t="s">
        <v>39</v>
      </c>
      <c r="D2547" t="s">
        <v>41</v>
      </c>
      <c r="E2547">
        <v>2000716316</v>
      </c>
      <c r="F2547">
        <v>400</v>
      </c>
      <c r="G2547">
        <v>279</v>
      </c>
      <c r="H2547">
        <v>0</v>
      </c>
      <c r="I2547" t="s">
        <v>198</v>
      </c>
      <c r="J2547" t="s">
        <v>174</v>
      </c>
      <c r="K2547" t="s">
        <v>695</v>
      </c>
      <c r="O2547">
        <v>0</v>
      </c>
      <c r="U2547" t="s">
        <v>81</v>
      </c>
    </row>
    <row r="2548" spans="1:21" x14ac:dyDescent="0.25">
      <c r="A2548" s="33">
        <v>2563</v>
      </c>
      <c r="B2548" s="24">
        <v>44261</v>
      </c>
      <c r="C2548" t="s">
        <v>39</v>
      </c>
      <c r="D2548" t="s">
        <v>41</v>
      </c>
      <c r="E2548">
        <v>2000715416</v>
      </c>
      <c r="F2548">
        <v>1600</v>
      </c>
      <c r="G2548">
        <v>600</v>
      </c>
      <c r="H2548">
        <v>0</v>
      </c>
      <c r="I2548" t="s">
        <v>201</v>
      </c>
      <c r="J2548" t="s">
        <v>193</v>
      </c>
      <c r="K2548" t="s">
        <v>683</v>
      </c>
      <c r="O2548">
        <v>0</v>
      </c>
      <c r="U2548" t="s">
        <v>81</v>
      </c>
    </row>
    <row r="2549" spans="1:21" x14ac:dyDescent="0.25">
      <c r="A2549" s="33">
        <v>2564</v>
      </c>
      <c r="B2549" s="24">
        <v>44261</v>
      </c>
      <c r="C2549" t="s">
        <v>39</v>
      </c>
      <c r="D2549" t="s">
        <v>41</v>
      </c>
      <c r="E2549">
        <v>2000715415</v>
      </c>
      <c r="F2549">
        <v>1600</v>
      </c>
      <c r="G2549">
        <v>900</v>
      </c>
      <c r="H2549">
        <v>0</v>
      </c>
      <c r="I2549" t="s">
        <v>201</v>
      </c>
      <c r="J2549" t="s">
        <v>193</v>
      </c>
      <c r="K2549" t="s">
        <v>176</v>
      </c>
      <c r="O2549">
        <v>0</v>
      </c>
      <c r="U2549" t="s">
        <v>81</v>
      </c>
    </row>
    <row r="2550" spans="1:21" x14ac:dyDescent="0.25">
      <c r="A2550" s="33">
        <v>2565</v>
      </c>
      <c r="B2550" s="24">
        <v>44261</v>
      </c>
      <c r="C2550" t="s">
        <v>39</v>
      </c>
      <c r="D2550" t="s">
        <v>41</v>
      </c>
      <c r="E2550">
        <v>2000714129</v>
      </c>
      <c r="F2550">
        <v>4014</v>
      </c>
      <c r="G2550">
        <v>600</v>
      </c>
      <c r="H2550">
        <v>0</v>
      </c>
      <c r="I2550" t="s">
        <v>201</v>
      </c>
      <c r="J2550" t="s">
        <v>645</v>
      </c>
      <c r="K2550" t="s">
        <v>659</v>
      </c>
      <c r="O2550">
        <v>0</v>
      </c>
      <c r="U2550" t="s">
        <v>81</v>
      </c>
    </row>
    <row r="2551" spans="1:21" x14ac:dyDescent="0.25">
      <c r="A2551" s="33">
        <v>2566</v>
      </c>
      <c r="B2551" s="24">
        <v>44261</v>
      </c>
      <c r="C2551" t="s">
        <v>39</v>
      </c>
      <c r="D2551" t="s">
        <v>41</v>
      </c>
      <c r="E2551">
        <v>2000713522</v>
      </c>
      <c r="F2551">
        <v>4210</v>
      </c>
      <c r="G2551">
        <v>970</v>
      </c>
      <c r="H2551">
        <v>0</v>
      </c>
      <c r="I2551" t="s">
        <v>201</v>
      </c>
      <c r="J2551" t="s">
        <v>199</v>
      </c>
      <c r="K2551" t="s">
        <v>660</v>
      </c>
      <c r="O2551">
        <v>0</v>
      </c>
      <c r="U2551" t="s">
        <v>81</v>
      </c>
    </row>
    <row r="2552" spans="1:21" x14ac:dyDescent="0.25">
      <c r="A2552" s="33">
        <v>2567</v>
      </c>
      <c r="B2552" s="24">
        <v>44261</v>
      </c>
      <c r="C2552" t="s">
        <v>39</v>
      </c>
      <c r="D2552" t="s">
        <v>41</v>
      </c>
      <c r="E2552">
        <v>2000715417</v>
      </c>
      <c r="F2552">
        <v>1600</v>
      </c>
      <c r="G2552">
        <v>480</v>
      </c>
      <c r="H2552">
        <v>0</v>
      </c>
      <c r="I2552" t="s">
        <v>201</v>
      </c>
      <c r="J2552" t="s">
        <v>193</v>
      </c>
      <c r="K2552" t="s">
        <v>650</v>
      </c>
      <c r="O2552">
        <v>0</v>
      </c>
      <c r="U2552" t="s">
        <v>81</v>
      </c>
    </row>
    <row r="2553" spans="1:21" x14ac:dyDescent="0.25">
      <c r="A2553" s="33">
        <v>2568</v>
      </c>
      <c r="B2553" s="24">
        <v>44261</v>
      </c>
      <c r="C2553" t="s">
        <v>39</v>
      </c>
      <c r="D2553" t="s">
        <v>41</v>
      </c>
      <c r="E2553">
        <v>2000715234</v>
      </c>
      <c r="F2553">
        <v>1600</v>
      </c>
      <c r="G2553">
        <v>160</v>
      </c>
      <c r="H2553">
        <v>0</v>
      </c>
      <c r="I2553" t="s">
        <v>201</v>
      </c>
      <c r="J2553" t="s">
        <v>193</v>
      </c>
      <c r="K2553" t="s">
        <v>650</v>
      </c>
      <c r="O2553">
        <v>0</v>
      </c>
      <c r="U2553" t="s">
        <v>81</v>
      </c>
    </row>
    <row r="2554" spans="1:21" x14ac:dyDescent="0.25">
      <c r="A2554" s="33">
        <v>2569</v>
      </c>
      <c r="B2554" s="24">
        <v>44261</v>
      </c>
      <c r="C2554" t="s">
        <v>39</v>
      </c>
      <c r="D2554" t="s">
        <v>41</v>
      </c>
      <c r="E2554">
        <v>2000715424</v>
      </c>
      <c r="F2554">
        <v>1600</v>
      </c>
      <c r="G2554">
        <v>20</v>
      </c>
      <c r="H2554">
        <v>0</v>
      </c>
      <c r="I2554" t="s">
        <v>693</v>
      </c>
      <c r="J2554" t="s">
        <v>193</v>
      </c>
      <c r="K2554" t="s">
        <v>647</v>
      </c>
      <c r="O2554">
        <v>0</v>
      </c>
      <c r="U2554" t="s">
        <v>81</v>
      </c>
    </row>
    <row r="2555" spans="1:21" x14ac:dyDescent="0.25">
      <c r="A2555" s="33">
        <v>2570</v>
      </c>
      <c r="B2555" s="24">
        <v>44261</v>
      </c>
      <c r="C2555" t="s">
        <v>39</v>
      </c>
      <c r="D2555" t="s">
        <v>41</v>
      </c>
      <c r="E2555">
        <v>2000716199</v>
      </c>
      <c r="F2555">
        <v>300</v>
      </c>
      <c r="G2555">
        <v>80</v>
      </c>
      <c r="H2555">
        <v>0</v>
      </c>
      <c r="I2555" t="s">
        <v>693</v>
      </c>
      <c r="J2555" t="s">
        <v>193</v>
      </c>
      <c r="K2555" t="s">
        <v>647</v>
      </c>
      <c r="O2555">
        <v>0</v>
      </c>
      <c r="U2555" t="s">
        <v>81</v>
      </c>
    </row>
    <row r="2556" spans="1:21" x14ac:dyDescent="0.25">
      <c r="A2556" s="33">
        <v>2571</v>
      </c>
      <c r="B2556" s="24">
        <v>44261</v>
      </c>
      <c r="C2556" t="s">
        <v>39</v>
      </c>
      <c r="D2556" t="s">
        <v>41</v>
      </c>
      <c r="E2556">
        <v>2000714571</v>
      </c>
      <c r="F2556">
        <v>3000</v>
      </c>
      <c r="G2556">
        <v>600</v>
      </c>
      <c r="H2556">
        <v>0</v>
      </c>
      <c r="I2556" t="s">
        <v>693</v>
      </c>
      <c r="J2556" t="s">
        <v>172</v>
      </c>
      <c r="K2556" t="s">
        <v>729</v>
      </c>
      <c r="O2556">
        <v>0</v>
      </c>
      <c r="U2556" t="s">
        <v>81</v>
      </c>
    </row>
    <row r="2557" spans="1:21" x14ac:dyDescent="0.25">
      <c r="A2557" s="33">
        <v>2572</v>
      </c>
      <c r="B2557" s="24">
        <v>44261</v>
      </c>
      <c r="C2557" t="s">
        <v>39</v>
      </c>
      <c r="D2557" t="s">
        <v>41</v>
      </c>
      <c r="E2557">
        <v>2000715872</v>
      </c>
      <c r="F2557">
        <v>1100</v>
      </c>
      <c r="G2557">
        <v>189</v>
      </c>
      <c r="H2557">
        <v>0</v>
      </c>
      <c r="I2557" t="s">
        <v>693</v>
      </c>
      <c r="J2557" t="s">
        <v>645</v>
      </c>
      <c r="K2557" t="s">
        <v>718</v>
      </c>
      <c r="O2557">
        <v>0</v>
      </c>
      <c r="U2557" t="s">
        <v>81</v>
      </c>
    </row>
    <row r="2558" spans="1:21" x14ac:dyDescent="0.25">
      <c r="A2558" s="33">
        <v>2573</v>
      </c>
      <c r="B2558" s="24">
        <v>44261</v>
      </c>
      <c r="C2558" t="s">
        <v>39</v>
      </c>
      <c r="D2558" t="s">
        <v>41</v>
      </c>
      <c r="E2558">
        <v>2000716271</v>
      </c>
      <c r="F2558">
        <v>200</v>
      </c>
      <c r="G2558">
        <v>119</v>
      </c>
      <c r="H2558">
        <v>0</v>
      </c>
      <c r="I2558" t="s">
        <v>693</v>
      </c>
      <c r="J2558" t="s">
        <v>175</v>
      </c>
      <c r="K2558" t="s">
        <v>764</v>
      </c>
      <c r="O2558">
        <v>0</v>
      </c>
      <c r="U2558" t="s">
        <v>81</v>
      </c>
    </row>
    <row r="2559" spans="1:21" x14ac:dyDescent="0.25">
      <c r="A2559" s="33">
        <v>2574</v>
      </c>
      <c r="B2559" s="24">
        <v>44261</v>
      </c>
      <c r="C2559" t="s">
        <v>39</v>
      </c>
      <c r="D2559" t="s">
        <v>41</v>
      </c>
      <c r="E2559">
        <v>2000715872</v>
      </c>
      <c r="F2559">
        <v>1100</v>
      </c>
      <c r="G2559">
        <v>400</v>
      </c>
      <c r="H2559">
        <v>0</v>
      </c>
      <c r="I2559" t="s">
        <v>183</v>
      </c>
      <c r="J2559" t="s">
        <v>645</v>
      </c>
      <c r="K2559" t="s">
        <v>718</v>
      </c>
      <c r="O2559">
        <v>0</v>
      </c>
      <c r="U2559" t="s">
        <v>81</v>
      </c>
    </row>
    <row r="2560" spans="1:21" x14ac:dyDescent="0.25">
      <c r="A2560" s="33">
        <v>2575</v>
      </c>
      <c r="B2560" s="24">
        <v>44261</v>
      </c>
      <c r="C2560" t="s">
        <v>39</v>
      </c>
      <c r="D2560" t="s">
        <v>41</v>
      </c>
      <c r="E2560">
        <v>2000715083</v>
      </c>
      <c r="F2560">
        <v>2180</v>
      </c>
      <c r="G2560">
        <v>300</v>
      </c>
      <c r="H2560">
        <v>0</v>
      </c>
      <c r="I2560" t="s">
        <v>183</v>
      </c>
      <c r="J2560" t="s">
        <v>645</v>
      </c>
      <c r="K2560" t="s">
        <v>756</v>
      </c>
      <c r="O2560">
        <v>0</v>
      </c>
      <c r="U2560" t="s">
        <v>81</v>
      </c>
    </row>
    <row r="2561" spans="1:21" x14ac:dyDescent="0.25">
      <c r="A2561" s="33">
        <v>2576</v>
      </c>
      <c r="B2561" s="24">
        <v>44261</v>
      </c>
      <c r="C2561" t="s">
        <v>39</v>
      </c>
      <c r="D2561" t="s">
        <v>41</v>
      </c>
      <c r="E2561">
        <v>2000716271</v>
      </c>
      <c r="F2561">
        <v>200</v>
      </c>
      <c r="G2561">
        <v>80</v>
      </c>
      <c r="H2561">
        <v>0</v>
      </c>
      <c r="I2561" t="s">
        <v>183</v>
      </c>
      <c r="J2561" t="s">
        <v>197</v>
      </c>
      <c r="K2561" t="s">
        <v>764</v>
      </c>
      <c r="O2561">
        <v>0</v>
      </c>
      <c r="U2561" t="s">
        <v>81</v>
      </c>
    </row>
    <row r="2562" spans="1:21" x14ac:dyDescent="0.25">
      <c r="A2562" s="33">
        <v>2577</v>
      </c>
      <c r="B2562" s="24">
        <v>44261</v>
      </c>
      <c r="C2562" t="s">
        <v>39</v>
      </c>
      <c r="D2562" t="s">
        <v>41</v>
      </c>
      <c r="E2562">
        <v>2000715085</v>
      </c>
      <c r="F2562">
        <v>2180</v>
      </c>
      <c r="G2562">
        <v>337</v>
      </c>
      <c r="H2562">
        <v>0</v>
      </c>
      <c r="I2562" t="s">
        <v>183</v>
      </c>
      <c r="J2562" t="s">
        <v>645</v>
      </c>
      <c r="K2562" t="s">
        <v>658</v>
      </c>
      <c r="O2562">
        <v>0</v>
      </c>
      <c r="U2562" t="s">
        <v>81</v>
      </c>
    </row>
    <row r="2563" spans="1:21" x14ac:dyDescent="0.25">
      <c r="A2563" s="33">
        <v>2578</v>
      </c>
      <c r="B2563" s="24">
        <v>44261</v>
      </c>
      <c r="C2563" t="s">
        <v>39</v>
      </c>
      <c r="D2563" t="s">
        <v>41</v>
      </c>
      <c r="E2563">
        <v>2000715709</v>
      </c>
      <c r="F2563">
        <v>1150</v>
      </c>
      <c r="G2563">
        <v>200</v>
      </c>
      <c r="H2563">
        <v>0</v>
      </c>
      <c r="I2563" t="s">
        <v>183</v>
      </c>
      <c r="J2563" t="s">
        <v>196</v>
      </c>
      <c r="K2563" t="s">
        <v>682</v>
      </c>
      <c r="O2563">
        <v>0</v>
      </c>
      <c r="U2563" t="s">
        <v>81</v>
      </c>
    </row>
    <row r="2564" spans="1:21" x14ac:dyDescent="0.25">
      <c r="A2564" s="33">
        <v>2579</v>
      </c>
      <c r="B2564" s="24">
        <v>44261</v>
      </c>
      <c r="C2564" t="s">
        <v>39</v>
      </c>
      <c r="D2564" t="s">
        <v>41</v>
      </c>
      <c r="E2564">
        <v>2000714571</v>
      </c>
      <c r="F2564">
        <v>3000</v>
      </c>
      <c r="G2564">
        <v>200</v>
      </c>
      <c r="H2564">
        <v>0</v>
      </c>
      <c r="I2564" t="s">
        <v>183</v>
      </c>
      <c r="J2564" t="s">
        <v>172</v>
      </c>
      <c r="K2564" t="s">
        <v>729</v>
      </c>
      <c r="O2564">
        <v>0</v>
      </c>
      <c r="U2564" t="s">
        <v>81</v>
      </c>
    </row>
    <row r="2565" spans="1:21" x14ac:dyDescent="0.25">
      <c r="A2565" s="33">
        <v>2580</v>
      </c>
      <c r="B2565" s="24">
        <v>44261</v>
      </c>
      <c r="C2565" t="s">
        <v>39</v>
      </c>
      <c r="D2565" t="s">
        <v>41</v>
      </c>
      <c r="E2565">
        <v>2000715177</v>
      </c>
      <c r="F2565">
        <v>800</v>
      </c>
      <c r="G2565">
        <v>230</v>
      </c>
      <c r="H2565">
        <v>0</v>
      </c>
      <c r="I2565" t="s">
        <v>183</v>
      </c>
      <c r="J2565" t="s">
        <v>645</v>
      </c>
      <c r="K2565" t="s">
        <v>790</v>
      </c>
      <c r="O2565">
        <v>0</v>
      </c>
      <c r="U2565" t="s">
        <v>81</v>
      </c>
    </row>
    <row r="2566" spans="1:21" x14ac:dyDescent="0.25">
      <c r="A2566" s="33">
        <v>2581</v>
      </c>
      <c r="B2566" s="24">
        <v>44261</v>
      </c>
      <c r="C2566" t="s">
        <v>39</v>
      </c>
      <c r="D2566" t="s">
        <v>41</v>
      </c>
      <c r="E2566">
        <v>2000716206</v>
      </c>
      <c r="F2566">
        <v>450</v>
      </c>
      <c r="G2566">
        <v>390</v>
      </c>
      <c r="H2566">
        <v>0</v>
      </c>
      <c r="I2566" t="s">
        <v>178</v>
      </c>
      <c r="J2566" t="s">
        <v>203</v>
      </c>
      <c r="K2566" t="s">
        <v>785</v>
      </c>
      <c r="O2566">
        <v>0</v>
      </c>
      <c r="U2566" t="s">
        <v>81</v>
      </c>
    </row>
    <row r="2567" spans="1:21" x14ac:dyDescent="0.25">
      <c r="A2567" s="33">
        <v>2582</v>
      </c>
      <c r="B2567" s="24">
        <v>44261</v>
      </c>
      <c r="C2567" t="s">
        <v>39</v>
      </c>
      <c r="D2567" t="s">
        <v>41</v>
      </c>
      <c r="E2567">
        <v>2000715190</v>
      </c>
      <c r="F2567">
        <v>380</v>
      </c>
      <c r="G2567">
        <v>23</v>
      </c>
      <c r="H2567">
        <v>0</v>
      </c>
      <c r="I2567" t="s">
        <v>178</v>
      </c>
      <c r="J2567" t="s">
        <v>203</v>
      </c>
      <c r="K2567" t="s">
        <v>785</v>
      </c>
      <c r="O2567">
        <v>0</v>
      </c>
      <c r="U2567" t="s">
        <v>81</v>
      </c>
    </row>
    <row r="2568" spans="1:21" x14ac:dyDescent="0.25">
      <c r="A2568" s="33">
        <v>2583</v>
      </c>
      <c r="B2568" s="24">
        <v>44261</v>
      </c>
      <c r="C2568" t="s">
        <v>39</v>
      </c>
      <c r="D2568" t="s">
        <v>41</v>
      </c>
      <c r="E2568">
        <v>2000715189</v>
      </c>
      <c r="F2568">
        <v>1300</v>
      </c>
      <c r="G2568">
        <v>90</v>
      </c>
      <c r="H2568">
        <v>0</v>
      </c>
      <c r="I2568" t="s">
        <v>178</v>
      </c>
      <c r="J2568" t="s">
        <v>203</v>
      </c>
      <c r="K2568" t="s">
        <v>639</v>
      </c>
      <c r="O2568">
        <v>0</v>
      </c>
      <c r="U2568" t="s">
        <v>81</v>
      </c>
    </row>
    <row r="2569" spans="1:21" x14ac:dyDescent="0.25">
      <c r="A2569" s="33">
        <v>2584</v>
      </c>
      <c r="B2569" s="24">
        <v>44261</v>
      </c>
      <c r="C2569" t="s">
        <v>39</v>
      </c>
      <c r="D2569" t="s">
        <v>41</v>
      </c>
      <c r="E2569">
        <v>2000714124</v>
      </c>
      <c r="F2569">
        <v>4200</v>
      </c>
      <c r="G2569">
        <v>120</v>
      </c>
      <c r="H2569">
        <v>0</v>
      </c>
      <c r="I2569" t="s">
        <v>178</v>
      </c>
      <c r="J2569" t="s">
        <v>199</v>
      </c>
      <c r="K2569" t="s">
        <v>660</v>
      </c>
      <c r="O2569">
        <v>0</v>
      </c>
      <c r="U2569" t="s">
        <v>81</v>
      </c>
    </row>
    <row r="2570" spans="1:21" x14ac:dyDescent="0.25">
      <c r="A2570" s="33">
        <v>2585</v>
      </c>
      <c r="B2570" s="24">
        <v>44261</v>
      </c>
      <c r="C2570" t="s">
        <v>39</v>
      </c>
      <c r="D2570" t="s">
        <v>41</v>
      </c>
      <c r="E2570">
        <v>2000715552</v>
      </c>
      <c r="F2570">
        <v>1010</v>
      </c>
      <c r="G2570">
        <v>60</v>
      </c>
      <c r="H2570">
        <v>0</v>
      </c>
      <c r="I2570" t="s">
        <v>178</v>
      </c>
      <c r="J2570" t="s">
        <v>203</v>
      </c>
      <c r="K2570" t="s">
        <v>768</v>
      </c>
      <c r="O2570">
        <v>0</v>
      </c>
      <c r="U2570" t="s">
        <v>81</v>
      </c>
    </row>
    <row r="2571" spans="1:21" x14ac:dyDescent="0.25">
      <c r="A2571" s="33">
        <v>2586</v>
      </c>
      <c r="B2571" s="24">
        <v>44261</v>
      </c>
      <c r="C2571" t="s">
        <v>39</v>
      </c>
      <c r="D2571" t="s">
        <v>41</v>
      </c>
      <c r="E2571">
        <v>2000714681</v>
      </c>
      <c r="F2571">
        <v>5360</v>
      </c>
      <c r="G2571">
        <v>40</v>
      </c>
      <c r="H2571">
        <v>0</v>
      </c>
      <c r="I2571" t="s">
        <v>666</v>
      </c>
      <c r="J2571" t="s">
        <v>200</v>
      </c>
      <c r="K2571" t="s">
        <v>653</v>
      </c>
      <c r="O2571">
        <v>0</v>
      </c>
      <c r="U2571" t="s">
        <v>81</v>
      </c>
    </row>
    <row r="2572" spans="1:21" x14ac:dyDescent="0.25">
      <c r="A2572" s="33">
        <v>2587</v>
      </c>
      <c r="B2572" s="24">
        <v>44261</v>
      </c>
      <c r="C2572" t="s">
        <v>39</v>
      </c>
      <c r="D2572" t="s">
        <v>41</v>
      </c>
      <c r="E2572">
        <v>2000715581</v>
      </c>
      <c r="F2572">
        <v>720</v>
      </c>
      <c r="G2572">
        <v>165</v>
      </c>
      <c r="H2572">
        <v>0</v>
      </c>
      <c r="I2572" t="s">
        <v>666</v>
      </c>
      <c r="J2572" t="s">
        <v>174</v>
      </c>
      <c r="K2572" t="s">
        <v>644</v>
      </c>
      <c r="O2572">
        <v>0</v>
      </c>
      <c r="U2572" t="s">
        <v>81</v>
      </c>
    </row>
    <row r="2573" spans="1:21" x14ac:dyDescent="0.25">
      <c r="A2573" s="33">
        <v>2588</v>
      </c>
      <c r="B2573" s="24">
        <v>44261</v>
      </c>
      <c r="C2573" t="s">
        <v>39</v>
      </c>
      <c r="D2573" t="s">
        <v>41</v>
      </c>
      <c r="E2573">
        <v>2000714124</v>
      </c>
      <c r="F2573">
        <v>4200</v>
      </c>
      <c r="G2573">
        <v>120</v>
      </c>
      <c r="H2573">
        <v>0</v>
      </c>
      <c r="I2573" t="s">
        <v>666</v>
      </c>
      <c r="J2573" t="s">
        <v>199</v>
      </c>
      <c r="K2573" t="s">
        <v>660</v>
      </c>
      <c r="O2573">
        <v>0</v>
      </c>
      <c r="U2573" t="s">
        <v>81</v>
      </c>
    </row>
    <row r="2574" spans="1:21" x14ac:dyDescent="0.25">
      <c r="A2574" s="33">
        <v>2589</v>
      </c>
      <c r="B2574" s="24">
        <v>44261</v>
      </c>
      <c r="C2574" t="s">
        <v>39</v>
      </c>
      <c r="D2574" t="s">
        <v>41</v>
      </c>
      <c r="E2574">
        <v>2000715711</v>
      </c>
      <c r="F2574">
        <v>1150</v>
      </c>
      <c r="G2574">
        <v>336</v>
      </c>
      <c r="H2574">
        <v>0</v>
      </c>
      <c r="I2574" t="s">
        <v>666</v>
      </c>
      <c r="J2574" t="s">
        <v>196</v>
      </c>
      <c r="K2574" t="s">
        <v>648</v>
      </c>
      <c r="O2574">
        <v>0</v>
      </c>
      <c r="U2574" t="s">
        <v>81</v>
      </c>
    </row>
    <row r="2575" spans="1:21" x14ac:dyDescent="0.25">
      <c r="A2575" s="33">
        <v>2590</v>
      </c>
      <c r="B2575" s="24">
        <v>44261</v>
      </c>
      <c r="C2575" t="s">
        <v>39</v>
      </c>
      <c r="D2575" t="s">
        <v>41</v>
      </c>
      <c r="E2575">
        <v>2000715086</v>
      </c>
      <c r="F2575">
        <v>2180</v>
      </c>
      <c r="G2575">
        <v>120</v>
      </c>
      <c r="H2575">
        <v>0</v>
      </c>
      <c r="I2575" t="s">
        <v>666</v>
      </c>
      <c r="J2575" t="s">
        <v>645</v>
      </c>
      <c r="K2575" t="s">
        <v>721</v>
      </c>
      <c r="O2575">
        <v>0</v>
      </c>
      <c r="U2575" t="s">
        <v>81</v>
      </c>
    </row>
    <row r="2576" spans="1:21" x14ac:dyDescent="0.25">
      <c r="A2576" s="33">
        <v>2591</v>
      </c>
      <c r="B2576" s="24">
        <v>44261</v>
      </c>
      <c r="C2576" t="s">
        <v>39</v>
      </c>
      <c r="D2576" t="s">
        <v>41</v>
      </c>
      <c r="E2576">
        <v>2000714727</v>
      </c>
      <c r="F2576">
        <v>850</v>
      </c>
      <c r="G2576">
        <v>528</v>
      </c>
      <c r="H2576">
        <v>0</v>
      </c>
      <c r="I2576" t="s">
        <v>661</v>
      </c>
      <c r="J2576" t="s">
        <v>698</v>
      </c>
      <c r="K2576" t="s">
        <v>699</v>
      </c>
      <c r="O2576">
        <v>0</v>
      </c>
      <c r="U2576" t="s">
        <v>81</v>
      </c>
    </row>
    <row r="2577" spans="1:21" x14ac:dyDescent="0.25">
      <c r="A2577" s="33">
        <v>2592</v>
      </c>
      <c r="B2577" s="24">
        <v>44261</v>
      </c>
      <c r="C2577" t="s">
        <v>39</v>
      </c>
      <c r="D2577" t="s">
        <v>41</v>
      </c>
      <c r="E2577">
        <v>2000715235</v>
      </c>
      <c r="F2577">
        <v>1600</v>
      </c>
      <c r="G2577">
        <v>246</v>
      </c>
      <c r="H2577">
        <v>0</v>
      </c>
      <c r="I2577" t="s">
        <v>661</v>
      </c>
      <c r="J2577" t="s">
        <v>193</v>
      </c>
      <c r="K2577" t="s">
        <v>686</v>
      </c>
      <c r="O2577">
        <v>0</v>
      </c>
      <c r="U2577" t="s">
        <v>81</v>
      </c>
    </row>
    <row r="2578" spans="1:21" x14ac:dyDescent="0.25">
      <c r="A2578" s="33">
        <v>2593</v>
      </c>
      <c r="B2578" s="24">
        <v>44261</v>
      </c>
      <c r="C2578" t="s">
        <v>39</v>
      </c>
      <c r="D2578" t="s">
        <v>41</v>
      </c>
      <c r="E2578">
        <v>2000715708</v>
      </c>
      <c r="F2578">
        <v>1150</v>
      </c>
      <c r="G2578">
        <v>200</v>
      </c>
      <c r="H2578">
        <v>0</v>
      </c>
      <c r="I2578" t="s">
        <v>661</v>
      </c>
      <c r="J2578" t="s">
        <v>196</v>
      </c>
      <c r="K2578" t="s">
        <v>684</v>
      </c>
      <c r="O2578">
        <v>0</v>
      </c>
      <c r="U2578" t="s">
        <v>81</v>
      </c>
    </row>
    <row r="2579" spans="1:21" x14ac:dyDescent="0.25">
      <c r="A2579" s="33">
        <v>2594</v>
      </c>
      <c r="B2579" s="24">
        <v>44261</v>
      </c>
      <c r="C2579" t="s">
        <v>39</v>
      </c>
      <c r="D2579" t="s">
        <v>41</v>
      </c>
      <c r="E2579">
        <v>2000715711</v>
      </c>
      <c r="F2579">
        <v>1150</v>
      </c>
      <c r="G2579">
        <v>180</v>
      </c>
      <c r="H2579">
        <v>0</v>
      </c>
      <c r="I2579" t="s">
        <v>168</v>
      </c>
      <c r="J2579" t="s">
        <v>196</v>
      </c>
      <c r="K2579" t="s">
        <v>648</v>
      </c>
      <c r="O2579">
        <v>0</v>
      </c>
      <c r="U2579" t="s">
        <v>81</v>
      </c>
    </row>
    <row r="2580" spans="1:21" x14ac:dyDescent="0.25">
      <c r="A2580" s="33">
        <v>2595</v>
      </c>
      <c r="B2580" s="24">
        <v>44261</v>
      </c>
      <c r="C2580" t="s">
        <v>39</v>
      </c>
      <c r="D2580" t="s">
        <v>41</v>
      </c>
      <c r="E2580">
        <v>2000714124</v>
      </c>
      <c r="F2580">
        <v>4200</v>
      </c>
      <c r="G2580">
        <v>480</v>
      </c>
      <c r="H2580">
        <v>0</v>
      </c>
      <c r="I2580" t="s">
        <v>168</v>
      </c>
      <c r="J2580" t="s">
        <v>199</v>
      </c>
      <c r="K2580" t="s">
        <v>660</v>
      </c>
      <c r="O2580">
        <v>0</v>
      </c>
      <c r="U2580" t="s">
        <v>81</v>
      </c>
    </row>
    <row r="2581" spans="1:21" x14ac:dyDescent="0.25">
      <c r="A2581" s="33">
        <v>2596</v>
      </c>
      <c r="B2581" s="24">
        <v>44261</v>
      </c>
      <c r="C2581" t="s">
        <v>39</v>
      </c>
      <c r="D2581" t="s">
        <v>41</v>
      </c>
      <c r="E2581">
        <v>2000716313</v>
      </c>
      <c r="F2581">
        <v>310</v>
      </c>
      <c r="G2581">
        <v>120</v>
      </c>
      <c r="H2581">
        <v>0</v>
      </c>
      <c r="I2581" t="s">
        <v>168</v>
      </c>
      <c r="J2581" t="s">
        <v>174</v>
      </c>
      <c r="K2581" t="s">
        <v>722</v>
      </c>
      <c r="O2581">
        <v>0</v>
      </c>
      <c r="U2581" t="s">
        <v>81</v>
      </c>
    </row>
    <row r="2582" spans="1:21" x14ac:dyDescent="0.25">
      <c r="A2582" s="33">
        <v>2597</v>
      </c>
      <c r="B2582" s="24">
        <v>44261</v>
      </c>
      <c r="C2582" t="s">
        <v>39</v>
      </c>
      <c r="D2582" t="s">
        <v>41</v>
      </c>
      <c r="E2582">
        <v>2000716315</v>
      </c>
      <c r="F2582">
        <v>280</v>
      </c>
      <c r="G2582">
        <v>118</v>
      </c>
      <c r="H2582">
        <v>0</v>
      </c>
      <c r="I2582" t="s">
        <v>168</v>
      </c>
      <c r="J2582" t="s">
        <v>174</v>
      </c>
      <c r="K2582" t="s">
        <v>662</v>
      </c>
      <c r="O2582">
        <v>0</v>
      </c>
      <c r="U2582" t="s">
        <v>81</v>
      </c>
    </row>
    <row r="2583" spans="1:21" x14ac:dyDescent="0.25">
      <c r="A2583" s="33">
        <v>2598</v>
      </c>
      <c r="B2583" s="24">
        <v>44261</v>
      </c>
      <c r="C2583" t="s">
        <v>39</v>
      </c>
      <c r="D2583" t="s">
        <v>41</v>
      </c>
      <c r="E2583">
        <v>2000716319</v>
      </c>
      <c r="F2583">
        <v>300</v>
      </c>
      <c r="G2583">
        <v>80</v>
      </c>
      <c r="H2583">
        <v>0</v>
      </c>
      <c r="I2583" t="s">
        <v>168</v>
      </c>
      <c r="J2583" t="s">
        <v>174</v>
      </c>
      <c r="K2583" t="s">
        <v>177</v>
      </c>
      <c r="O2583">
        <v>0</v>
      </c>
      <c r="U2583" t="s">
        <v>81</v>
      </c>
    </row>
    <row r="2584" spans="1:21" x14ac:dyDescent="0.25">
      <c r="A2584" s="33">
        <v>2599</v>
      </c>
      <c r="B2584" s="24">
        <v>44261</v>
      </c>
      <c r="C2584" t="s">
        <v>39</v>
      </c>
      <c r="D2584" t="s">
        <v>41</v>
      </c>
      <c r="E2584">
        <v>2000715630</v>
      </c>
      <c r="F2584">
        <v>30</v>
      </c>
      <c r="G2584">
        <v>28</v>
      </c>
      <c r="H2584">
        <v>0</v>
      </c>
      <c r="I2584" t="s">
        <v>168</v>
      </c>
      <c r="J2584" t="s">
        <v>1031</v>
      </c>
      <c r="K2584" t="s">
        <v>1027</v>
      </c>
      <c r="O2584">
        <v>0</v>
      </c>
      <c r="T2584" t="s">
        <v>1034</v>
      </c>
      <c r="U2584" t="s">
        <v>81</v>
      </c>
    </row>
    <row r="2585" spans="1:21" x14ac:dyDescent="0.25">
      <c r="A2585" s="33">
        <v>2600</v>
      </c>
      <c r="B2585" s="24">
        <v>44261</v>
      </c>
      <c r="C2585" t="s">
        <v>39</v>
      </c>
      <c r="D2585" t="s">
        <v>41</v>
      </c>
      <c r="E2585">
        <v>2000715629</v>
      </c>
      <c r="F2585">
        <v>60</v>
      </c>
      <c r="G2585">
        <v>56</v>
      </c>
      <c r="H2585">
        <v>0</v>
      </c>
      <c r="I2585" t="s">
        <v>168</v>
      </c>
      <c r="J2585" t="s">
        <v>1031</v>
      </c>
      <c r="K2585" t="s">
        <v>1027</v>
      </c>
      <c r="O2585">
        <v>0</v>
      </c>
      <c r="T2585" t="s">
        <v>1032</v>
      </c>
      <c r="U2585" t="s">
        <v>83</v>
      </c>
    </row>
    <row r="2586" spans="1:21" x14ac:dyDescent="0.25">
      <c r="A2586" s="33">
        <v>2601</v>
      </c>
      <c r="B2586" s="24">
        <v>44261</v>
      </c>
      <c r="C2586" t="s">
        <v>39</v>
      </c>
      <c r="D2586" t="s">
        <v>41</v>
      </c>
      <c r="E2586">
        <v>2000716213</v>
      </c>
      <c r="F2586">
        <v>30</v>
      </c>
      <c r="G2586">
        <v>26</v>
      </c>
      <c r="H2586">
        <v>0</v>
      </c>
      <c r="I2586" t="s">
        <v>168</v>
      </c>
      <c r="J2586" t="s">
        <v>1031</v>
      </c>
      <c r="K2586" t="s">
        <v>1027</v>
      </c>
      <c r="O2586">
        <v>0</v>
      </c>
      <c r="T2586" t="s">
        <v>1033</v>
      </c>
      <c r="U2586" t="s">
        <v>83</v>
      </c>
    </row>
    <row r="2587" spans="1:21" x14ac:dyDescent="0.25">
      <c r="A2587" s="33">
        <v>2602</v>
      </c>
      <c r="B2587" s="24">
        <v>44262</v>
      </c>
      <c r="C2587" t="s">
        <v>39</v>
      </c>
      <c r="D2587" t="s">
        <v>41</v>
      </c>
      <c r="E2587">
        <v>2000716336</v>
      </c>
      <c r="F2587">
        <v>820</v>
      </c>
      <c r="G2587">
        <v>40</v>
      </c>
      <c r="H2587">
        <v>0</v>
      </c>
      <c r="I2587" t="s">
        <v>201</v>
      </c>
      <c r="J2587" t="s">
        <v>745</v>
      </c>
      <c r="K2587" t="s">
        <v>746</v>
      </c>
      <c r="O2587">
        <v>0</v>
      </c>
      <c r="U2587" t="s">
        <v>81</v>
      </c>
    </row>
    <row r="2588" spans="1:21" x14ac:dyDescent="0.25">
      <c r="A2588" s="33">
        <v>2603</v>
      </c>
      <c r="B2588" s="24">
        <v>44262</v>
      </c>
      <c r="C2588" t="s">
        <v>39</v>
      </c>
      <c r="D2588" t="s">
        <v>41</v>
      </c>
      <c r="E2588">
        <v>2000715914</v>
      </c>
      <c r="F2588">
        <v>3904</v>
      </c>
      <c r="G2588">
        <v>400</v>
      </c>
      <c r="H2588">
        <v>0</v>
      </c>
      <c r="I2588" t="s">
        <v>201</v>
      </c>
      <c r="J2588" t="s">
        <v>203</v>
      </c>
      <c r="K2588" t="s">
        <v>788</v>
      </c>
      <c r="O2588">
        <v>0</v>
      </c>
      <c r="U2588" t="s">
        <v>81</v>
      </c>
    </row>
    <row r="2589" spans="1:21" x14ac:dyDescent="0.25">
      <c r="A2589" s="33">
        <v>2604</v>
      </c>
      <c r="B2589" s="24">
        <v>44262</v>
      </c>
      <c r="C2589" t="s">
        <v>39</v>
      </c>
      <c r="D2589" t="s">
        <v>41</v>
      </c>
      <c r="E2589">
        <v>2000715708</v>
      </c>
      <c r="F2589">
        <v>1150</v>
      </c>
      <c r="G2589">
        <v>200</v>
      </c>
      <c r="H2589">
        <v>0</v>
      </c>
      <c r="I2589" t="s">
        <v>201</v>
      </c>
      <c r="J2589" t="s">
        <v>196</v>
      </c>
      <c r="K2589" t="s">
        <v>684</v>
      </c>
      <c r="O2589">
        <v>0</v>
      </c>
      <c r="U2589" t="s">
        <v>81</v>
      </c>
    </row>
    <row r="2590" spans="1:21" x14ac:dyDescent="0.25">
      <c r="A2590" s="33">
        <v>2605</v>
      </c>
      <c r="B2590" s="24">
        <v>44262</v>
      </c>
      <c r="C2590" t="s">
        <v>39</v>
      </c>
      <c r="D2590" t="s">
        <v>41</v>
      </c>
      <c r="E2590">
        <v>2000715709</v>
      </c>
      <c r="F2590">
        <v>1150</v>
      </c>
      <c r="G2590">
        <v>200</v>
      </c>
      <c r="H2590">
        <v>0</v>
      </c>
      <c r="I2590" t="s">
        <v>201</v>
      </c>
      <c r="J2590" t="s">
        <v>196</v>
      </c>
      <c r="K2590" t="s">
        <v>682</v>
      </c>
      <c r="O2590">
        <v>0</v>
      </c>
      <c r="U2590" t="s">
        <v>81</v>
      </c>
    </row>
    <row r="2591" spans="1:21" x14ac:dyDescent="0.25">
      <c r="A2591" s="33">
        <v>2606</v>
      </c>
      <c r="B2591" s="24">
        <v>44262</v>
      </c>
      <c r="C2591" t="s">
        <v>39</v>
      </c>
      <c r="D2591" t="s">
        <v>41</v>
      </c>
      <c r="E2591">
        <v>2000715084</v>
      </c>
      <c r="F2591">
        <v>2180</v>
      </c>
      <c r="G2591">
        <v>1200</v>
      </c>
      <c r="H2591">
        <v>0</v>
      </c>
      <c r="I2591" t="s">
        <v>201</v>
      </c>
      <c r="J2591" t="s">
        <v>645</v>
      </c>
      <c r="K2591" t="s">
        <v>1035</v>
      </c>
      <c r="O2591">
        <v>0</v>
      </c>
      <c r="U2591" t="s">
        <v>81</v>
      </c>
    </row>
    <row r="2592" spans="1:21" x14ac:dyDescent="0.25">
      <c r="A2592" s="33">
        <v>2607</v>
      </c>
      <c r="B2592" s="24">
        <v>44262</v>
      </c>
      <c r="C2592" t="s">
        <v>39</v>
      </c>
      <c r="D2592" t="s">
        <v>41</v>
      </c>
      <c r="E2592">
        <v>2000715083</v>
      </c>
      <c r="F2592">
        <v>2180</v>
      </c>
      <c r="G2592">
        <v>300</v>
      </c>
      <c r="H2592">
        <v>0</v>
      </c>
      <c r="I2592" t="s">
        <v>201</v>
      </c>
      <c r="J2592" t="s">
        <v>745</v>
      </c>
      <c r="K2592" t="s">
        <v>756</v>
      </c>
      <c r="O2592">
        <v>0</v>
      </c>
      <c r="U2592" t="s">
        <v>81</v>
      </c>
    </row>
    <row r="2593" spans="1:21" x14ac:dyDescent="0.25">
      <c r="A2593" s="33">
        <v>2608</v>
      </c>
      <c r="B2593" s="24">
        <v>44262</v>
      </c>
      <c r="C2593" t="s">
        <v>39</v>
      </c>
      <c r="D2593" t="s">
        <v>41</v>
      </c>
      <c r="E2593">
        <v>2000714131</v>
      </c>
      <c r="F2593">
        <v>920</v>
      </c>
      <c r="G2593">
        <v>240</v>
      </c>
      <c r="H2593">
        <v>0</v>
      </c>
      <c r="I2593" t="s">
        <v>201</v>
      </c>
      <c r="J2593" t="s">
        <v>745</v>
      </c>
      <c r="K2593" t="s">
        <v>1036</v>
      </c>
      <c r="O2593">
        <v>0</v>
      </c>
      <c r="U2593" t="s">
        <v>81</v>
      </c>
    </row>
    <row r="2594" spans="1:21" x14ac:dyDescent="0.25">
      <c r="A2594" s="33">
        <v>2609</v>
      </c>
      <c r="B2594" s="24">
        <v>44262</v>
      </c>
      <c r="C2594" t="s">
        <v>39</v>
      </c>
      <c r="D2594" t="s">
        <v>41</v>
      </c>
      <c r="E2594">
        <v>2000716316</v>
      </c>
      <c r="F2594">
        <v>400</v>
      </c>
      <c r="G2594">
        <v>40</v>
      </c>
      <c r="H2594">
        <v>0</v>
      </c>
      <c r="I2594" t="s">
        <v>168</v>
      </c>
      <c r="J2594" t="s">
        <v>174</v>
      </c>
      <c r="K2594" t="s">
        <v>695</v>
      </c>
      <c r="O2594">
        <v>0</v>
      </c>
      <c r="U2594" t="s">
        <v>81</v>
      </c>
    </row>
    <row r="2595" spans="1:21" x14ac:dyDescent="0.25">
      <c r="A2595" s="33">
        <v>2610</v>
      </c>
      <c r="B2595" s="24">
        <v>44262</v>
      </c>
      <c r="C2595" t="s">
        <v>39</v>
      </c>
      <c r="D2595" t="s">
        <v>41</v>
      </c>
      <c r="E2595">
        <v>2000715872</v>
      </c>
      <c r="F2595">
        <v>1100</v>
      </c>
      <c r="G2595">
        <v>340</v>
      </c>
      <c r="H2595">
        <v>0</v>
      </c>
      <c r="I2595" t="s">
        <v>168</v>
      </c>
      <c r="J2595" t="s">
        <v>645</v>
      </c>
      <c r="K2595" t="s">
        <v>718</v>
      </c>
      <c r="O2595">
        <v>0</v>
      </c>
      <c r="U2595" t="s">
        <v>81</v>
      </c>
    </row>
    <row r="2596" spans="1:21" x14ac:dyDescent="0.25">
      <c r="A2596" s="33">
        <v>2611</v>
      </c>
      <c r="B2596" s="24">
        <v>44262</v>
      </c>
      <c r="C2596" t="s">
        <v>39</v>
      </c>
      <c r="D2596" t="s">
        <v>41</v>
      </c>
      <c r="E2596">
        <v>2000715552</v>
      </c>
      <c r="F2596">
        <v>1010</v>
      </c>
      <c r="G2596">
        <v>120</v>
      </c>
      <c r="H2596">
        <v>0</v>
      </c>
      <c r="I2596" t="s">
        <v>168</v>
      </c>
      <c r="J2596" t="s">
        <v>203</v>
      </c>
      <c r="K2596" t="s">
        <v>768</v>
      </c>
      <c r="O2596">
        <v>0</v>
      </c>
      <c r="U2596" t="s">
        <v>81</v>
      </c>
    </row>
    <row r="2597" spans="1:21" x14ac:dyDescent="0.25">
      <c r="A2597" s="33">
        <v>2612</v>
      </c>
      <c r="B2597" s="24">
        <v>44262</v>
      </c>
      <c r="C2597" t="s">
        <v>39</v>
      </c>
      <c r="D2597" t="s">
        <v>41</v>
      </c>
      <c r="E2597">
        <v>2000716460</v>
      </c>
      <c r="F2597">
        <v>240</v>
      </c>
      <c r="G2597">
        <v>200</v>
      </c>
      <c r="H2597">
        <v>0</v>
      </c>
      <c r="I2597" t="s">
        <v>168</v>
      </c>
      <c r="J2597" t="s">
        <v>645</v>
      </c>
      <c r="K2597" t="s">
        <v>734</v>
      </c>
      <c r="O2597">
        <v>0</v>
      </c>
      <c r="U2597" t="s">
        <v>81</v>
      </c>
    </row>
    <row r="2598" spans="1:21" x14ac:dyDescent="0.25">
      <c r="A2598" s="33">
        <v>2613</v>
      </c>
      <c r="B2598" s="24">
        <v>44262</v>
      </c>
      <c r="C2598" t="s">
        <v>39</v>
      </c>
      <c r="D2598" t="s">
        <v>41</v>
      </c>
      <c r="E2598">
        <v>2000715863</v>
      </c>
      <c r="F2598">
        <v>2400</v>
      </c>
      <c r="G2598">
        <v>40</v>
      </c>
      <c r="H2598">
        <v>0</v>
      </c>
      <c r="I2598" t="s">
        <v>666</v>
      </c>
      <c r="J2598" t="s">
        <v>645</v>
      </c>
      <c r="K2598" t="s">
        <v>721</v>
      </c>
      <c r="O2598">
        <v>0</v>
      </c>
      <c r="U2598" t="s">
        <v>81</v>
      </c>
    </row>
    <row r="2599" spans="1:21" x14ac:dyDescent="0.25">
      <c r="A2599" s="33">
        <v>2614</v>
      </c>
      <c r="B2599" s="24">
        <v>44262</v>
      </c>
      <c r="C2599" t="s">
        <v>39</v>
      </c>
      <c r="D2599" t="s">
        <v>41</v>
      </c>
      <c r="E2599">
        <v>2000715184</v>
      </c>
      <c r="F2599">
        <v>6352</v>
      </c>
      <c r="G2599">
        <v>920</v>
      </c>
      <c r="H2599">
        <v>0</v>
      </c>
      <c r="I2599" t="s">
        <v>666</v>
      </c>
      <c r="J2599" t="s">
        <v>200</v>
      </c>
      <c r="K2599" t="s">
        <v>653</v>
      </c>
      <c r="O2599">
        <v>0</v>
      </c>
      <c r="U2599" t="s">
        <v>81</v>
      </c>
    </row>
    <row r="2600" spans="1:21" x14ac:dyDescent="0.25">
      <c r="A2600" s="33">
        <v>2615</v>
      </c>
      <c r="B2600" s="24">
        <v>44262</v>
      </c>
      <c r="C2600" t="s">
        <v>39</v>
      </c>
      <c r="D2600" t="s">
        <v>41</v>
      </c>
      <c r="E2600">
        <v>2000715184</v>
      </c>
      <c r="F2600">
        <v>6352</v>
      </c>
      <c r="G2600">
        <v>280</v>
      </c>
      <c r="H2600">
        <v>0</v>
      </c>
      <c r="I2600" t="s">
        <v>666</v>
      </c>
      <c r="J2600" t="s">
        <v>200</v>
      </c>
      <c r="K2600" t="s">
        <v>653</v>
      </c>
      <c r="O2600">
        <v>0</v>
      </c>
      <c r="U2600" t="s">
        <v>81</v>
      </c>
    </row>
    <row r="2601" spans="1:21" x14ac:dyDescent="0.25">
      <c r="A2601" s="33">
        <v>2616</v>
      </c>
      <c r="B2601" s="24">
        <v>44262</v>
      </c>
      <c r="C2601" t="s">
        <v>39</v>
      </c>
      <c r="D2601" t="s">
        <v>41</v>
      </c>
      <c r="E2601">
        <v>2000716316</v>
      </c>
      <c r="F2601">
        <v>400</v>
      </c>
      <c r="G2601">
        <v>80</v>
      </c>
      <c r="H2601">
        <v>0</v>
      </c>
      <c r="I2601" t="s">
        <v>180</v>
      </c>
      <c r="J2601" t="s">
        <v>174</v>
      </c>
      <c r="K2601" t="s">
        <v>695</v>
      </c>
      <c r="O2601">
        <v>0</v>
      </c>
      <c r="U2601" t="s">
        <v>81</v>
      </c>
    </row>
    <row r="2602" spans="1:21" x14ac:dyDescent="0.25">
      <c r="A2602" s="33">
        <v>2617</v>
      </c>
      <c r="B2602" s="24">
        <v>44262</v>
      </c>
      <c r="C2602" t="s">
        <v>39</v>
      </c>
      <c r="D2602" t="s">
        <v>41</v>
      </c>
      <c r="E2602">
        <v>2000716317</v>
      </c>
      <c r="F2602">
        <v>186</v>
      </c>
      <c r="G2602">
        <v>186</v>
      </c>
      <c r="H2602">
        <v>0</v>
      </c>
      <c r="I2602" t="s">
        <v>180</v>
      </c>
      <c r="J2602" t="s">
        <v>174</v>
      </c>
      <c r="K2602" t="s">
        <v>931</v>
      </c>
      <c r="O2602">
        <v>0</v>
      </c>
      <c r="U2602" t="s">
        <v>81</v>
      </c>
    </row>
    <row r="2603" spans="1:21" x14ac:dyDescent="0.25">
      <c r="A2603" s="33">
        <v>2618</v>
      </c>
      <c r="B2603" s="24">
        <v>44262</v>
      </c>
      <c r="C2603" t="s">
        <v>39</v>
      </c>
      <c r="D2603" t="s">
        <v>41</v>
      </c>
      <c r="E2603">
        <v>2000715331</v>
      </c>
      <c r="F2603">
        <v>200</v>
      </c>
      <c r="G2603">
        <v>23</v>
      </c>
      <c r="H2603">
        <v>0</v>
      </c>
      <c r="I2603" t="s">
        <v>180</v>
      </c>
      <c r="J2603" t="s">
        <v>174</v>
      </c>
      <c r="K2603" t="s">
        <v>931</v>
      </c>
      <c r="O2603">
        <v>0</v>
      </c>
      <c r="U2603" t="s">
        <v>81</v>
      </c>
    </row>
    <row r="2604" spans="1:21" x14ac:dyDescent="0.25">
      <c r="A2604" s="33">
        <v>2619</v>
      </c>
      <c r="B2604" s="24">
        <v>44262</v>
      </c>
      <c r="C2604" t="s">
        <v>39</v>
      </c>
      <c r="D2604" t="s">
        <v>41</v>
      </c>
      <c r="E2604">
        <v>2000716318</v>
      </c>
      <c r="F2604">
        <v>240</v>
      </c>
      <c r="G2604">
        <v>199</v>
      </c>
      <c r="H2604">
        <v>0</v>
      </c>
      <c r="I2604" t="s">
        <v>180</v>
      </c>
      <c r="J2604" t="s">
        <v>174</v>
      </c>
      <c r="K2604" t="s">
        <v>877</v>
      </c>
      <c r="O2604">
        <v>0</v>
      </c>
      <c r="U2604" t="s">
        <v>81</v>
      </c>
    </row>
    <row r="2605" spans="1:21" x14ac:dyDescent="0.25">
      <c r="A2605" s="33">
        <v>2620</v>
      </c>
      <c r="B2605" s="24">
        <v>44262</v>
      </c>
      <c r="C2605" t="s">
        <v>39</v>
      </c>
      <c r="D2605" t="s">
        <v>41</v>
      </c>
      <c r="E2605">
        <v>2000716655</v>
      </c>
      <c r="F2605">
        <v>1000</v>
      </c>
      <c r="G2605">
        <v>150</v>
      </c>
      <c r="H2605">
        <v>0</v>
      </c>
      <c r="I2605" t="s">
        <v>180</v>
      </c>
      <c r="J2605" t="s">
        <v>174</v>
      </c>
      <c r="K2605" t="s">
        <v>186</v>
      </c>
      <c r="O2605">
        <v>0</v>
      </c>
      <c r="T2605" s="62"/>
      <c r="U2605" t="s">
        <v>81</v>
      </c>
    </row>
    <row r="2606" spans="1:21" x14ac:dyDescent="0.25">
      <c r="A2606" s="33">
        <v>2621</v>
      </c>
      <c r="B2606" s="24">
        <v>44262</v>
      </c>
      <c r="C2606" t="s">
        <v>39</v>
      </c>
      <c r="D2606" t="s">
        <v>41</v>
      </c>
      <c r="E2606">
        <v>2000715873</v>
      </c>
      <c r="F2606">
        <v>1500</v>
      </c>
      <c r="G2606">
        <v>340</v>
      </c>
      <c r="H2606">
        <v>0</v>
      </c>
      <c r="I2606" t="s">
        <v>185</v>
      </c>
      <c r="J2606" t="s">
        <v>645</v>
      </c>
      <c r="K2606" t="s">
        <v>646</v>
      </c>
      <c r="O2606">
        <v>0</v>
      </c>
      <c r="U2606" t="s">
        <v>81</v>
      </c>
    </row>
    <row r="2607" spans="1:21" x14ac:dyDescent="0.25">
      <c r="A2607" s="33">
        <v>2622</v>
      </c>
      <c r="B2607" s="24">
        <v>44262</v>
      </c>
      <c r="C2607" t="s">
        <v>39</v>
      </c>
      <c r="D2607" t="s">
        <v>41</v>
      </c>
      <c r="E2607">
        <v>2000716257</v>
      </c>
      <c r="F2607">
        <v>1050</v>
      </c>
      <c r="G2607">
        <v>80</v>
      </c>
      <c r="H2607">
        <v>0</v>
      </c>
      <c r="I2607" t="s">
        <v>185</v>
      </c>
      <c r="J2607" t="s">
        <v>193</v>
      </c>
      <c r="K2607" t="s">
        <v>647</v>
      </c>
      <c r="O2607">
        <v>0</v>
      </c>
      <c r="U2607" t="s">
        <v>81</v>
      </c>
    </row>
    <row r="2608" spans="1:21" x14ac:dyDescent="0.25">
      <c r="A2608" s="33">
        <v>2623</v>
      </c>
      <c r="B2608" s="24">
        <v>44262</v>
      </c>
      <c r="C2608" t="s">
        <v>39</v>
      </c>
      <c r="D2608" t="s">
        <v>41</v>
      </c>
      <c r="E2608">
        <v>2000715704</v>
      </c>
      <c r="F2608">
        <v>1000</v>
      </c>
      <c r="G2608">
        <v>80</v>
      </c>
      <c r="H2608">
        <v>0</v>
      </c>
      <c r="I2608" t="s">
        <v>185</v>
      </c>
      <c r="J2608" t="s">
        <v>172</v>
      </c>
      <c r="K2608" t="s">
        <v>724</v>
      </c>
      <c r="O2608">
        <v>0</v>
      </c>
      <c r="U2608" t="s">
        <v>81</v>
      </c>
    </row>
    <row r="2609" spans="1:21" x14ac:dyDescent="0.25">
      <c r="A2609" s="33">
        <v>2624</v>
      </c>
      <c r="B2609" s="24">
        <v>44262</v>
      </c>
      <c r="C2609" t="s">
        <v>39</v>
      </c>
      <c r="D2609" t="s">
        <v>41</v>
      </c>
      <c r="E2609">
        <v>2000715799</v>
      </c>
      <c r="F2609">
        <v>520</v>
      </c>
      <c r="G2609">
        <v>150</v>
      </c>
      <c r="H2609">
        <v>0</v>
      </c>
      <c r="I2609" t="s">
        <v>185</v>
      </c>
      <c r="J2609" t="s">
        <v>175</v>
      </c>
      <c r="K2609" t="s">
        <v>758</v>
      </c>
      <c r="O2609">
        <v>0</v>
      </c>
      <c r="U2609" t="s">
        <v>81</v>
      </c>
    </row>
    <row r="2610" spans="1:21" x14ac:dyDescent="0.25">
      <c r="A2610" s="33">
        <v>2625</v>
      </c>
      <c r="B2610" s="24">
        <v>44262</v>
      </c>
      <c r="C2610" t="s">
        <v>39</v>
      </c>
      <c r="D2610" t="s">
        <v>41</v>
      </c>
      <c r="E2610">
        <v>2000715224</v>
      </c>
      <c r="F2610">
        <v>2460</v>
      </c>
      <c r="G2610">
        <v>367</v>
      </c>
      <c r="H2610">
        <v>0</v>
      </c>
      <c r="I2610" t="s">
        <v>661</v>
      </c>
      <c r="J2610" t="s">
        <v>170</v>
      </c>
      <c r="K2610" t="s">
        <v>899</v>
      </c>
      <c r="O2610">
        <v>0</v>
      </c>
      <c r="U2610" t="s">
        <v>81</v>
      </c>
    </row>
    <row r="2611" spans="1:21" x14ac:dyDescent="0.25">
      <c r="A2611" s="33">
        <v>2626</v>
      </c>
      <c r="B2611" s="24">
        <v>44262</v>
      </c>
      <c r="C2611" t="s">
        <v>39</v>
      </c>
      <c r="D2611" t="s">
        <v>41</v>
      </c>
      <c r="E2611">
        <v>2000716291</v>
      </c>
      <c r="F2611">
        <v>1260</v>
      </c>
      <c r="G2611">
        <v>495</v>
      </c>
      <c r="H2611">
        <v>0</v>
      </c>
      <c r="I2611" t="s">
        <v>661</v>
      </c>
      <c r="J2611" t="s">
        <v>174</v>
      </c>
      <c r="K2611" t="s">
        <v>774</v>
      </c>
      <c r="O2611">
        <v>0</v>
      </c>
      <c r="U2611" t="s">
        <v>81</v>
      </c>
    </row>
    <row r="2612" spans="1:21" x14ac:dyDescent="0.25">
      <c r="A2612" s="33">
        <v>2627</v>
      </c>
      <c r="B2612" s="24">
        <v>44262</v>
      </c>
      <c r="C2612" t="s">
        <v>39</v>
      </c>
      <c r="D2612" t="s">
        <v>41</v>
      </c>
      <c r="E2612">
        <v>2000715863</v>
      </c>
      <c r="F2612">
        <v>2400</v>
      </c>
      <c r="G2612">
        <v>320</v>
      </c>
      <c r="H2612">
        <v>0</v>
      </c>
      <c r="I2612" t="s">
        <v>194</v>
      </c>
      <c r="J2612" t="s">
        <v>645</v>
      </c>
      <c r="K2612" t="s">
        <v>721</v>
      </c>
      <c r="O2612">
        <v>0</v>
      </c>
      <c r="U2612" t="s">
        <v>81</v>
      </c>
    </row>
    <row r="2613" spans="1:21" x14ac:dyDescent="0.25">
      <c r="A2613" s="33">
        <v>2628</v>
      </c>
      <c r="B2613" s="24">
        <v>44262</v>
      </c>
      <c r="C2613" t="s">
        <v>39</v>
      </c>
      <c r="D2613" t="s">
        <v>41</v>
      </c>
      <c r="E2613">
        <v>2000715086</v>
      </c>
      <c r="F2613">
        <v>2180</v>
      </c>
      <c r="G2613">
        <v>480</v>
      </c>
      <c r="H2613">
        <v>0</v>
      </c>
      <c r="I2613" t="s">
        <v>194</v>
      </c>
      <c r="J2613" t="s">
        <v>645</v>
      </c>
      <c r="K2613" t="s">
        <v>721</v>
      </c>
      <c r="O2613">
        <v>0</v>
      </c>
      <c r="U2613" t="s">
        <v>81</v>
      </c>
    </row>
    <row r="2614" spans="1:21" x14ac:dyDescent="0.25">
      <c r="A2614" s="33">
        <v>2629</v>
      </c>
      <c r="B2614" s="24">
        <v>44262</v>
      </c>
      <c r="C2614" t="s">
        <v>39</v>
      </c>
      <c r="D2614" t="s">
        <v>41</v>
      </c>
      <c r="E2614">
        <v>2000715552</v>
      </c>
      <c r="F2614">
        <v>1010</v>
      </c>
      <c r="G2614">
        <v>120</v>
      </c>
      <c r="H2614">
        <v>0</v>
      </c>
      <c r="I2614" t="s">
        <v>178</v>
      </c>
      <c r="J2614" t="s">
        <v>203</v>
      </c>
      <c r="K2614" t="s">
        <v>768</v>
      </c>
      <c r="O2614">
        <v>0</v>
      </c>
      <c r="T2614" s="62"/>
      <c r="U2614" t="s">
        <v>81</v>
      </c>
    </row>
    <row r="2615" spans="1:21" x14ac:dyDescent="0.25">
      <c r="A2615" s="33">
        <v>2630</v>
      </c>
      <c r="B2615" s="24">
        <v>44262</v>
      </c>
      <c r="C2615" t="s">
        <v>39</v>
      </c>
      <c r="D2615" t="s">
        <v>41</v>
      </c>
      <c r="E2615">
        <v>2000715219</v>
      </c>
      <c r="F2615">
        <v>3000</v>
      </c>
      <c r="G2615">
        <v>120</v>
      </c>
      <c r="H2615">
        <v>0</v>
      </c>
      <c r="I2615" t="s">
        <v>178</v>
      </c>
      <c r="J2615" t="s">
        <v>687</v>
      </c>
      <c r="K2615" t="s">
        <v>688</v>
      </c>
      <c r="O2615">
        <v>0</v>
      </c>
      <c r="T2615" s="62"/>
      <c r="U2615" t="s">
        <v>81</v>
      </c>
    </row>
    <row r="2616" spans="1:21" ht="30" x14ac:dyDescent="0.25">
      <c r="A2616" s="33">
        <v>2631</v>
      </c>
      <c r="B2616" s="24">
        <v>44262</v>
      </c>
      <c r="C2616" t="s">
        <v>39</v>
      </c>
      <c r="D2616" t="s">
        <v>41</v>
      </c>
      <c r="E2616">
        <v>2000716318</v>
      </c>
      <c r="F2616">
        <v>240</v>
      </c>
      <c r="G2616">
        <v>40</v>
      </c>
      <c r="H2616">
        <v>0</v>
      </c>
      <c r="I2616" t="s">
        <v>178</v>
      </c>
      <c r="J2616" t="s">
        <v>174</v>
      </c>
      <c r="K2616" t="s">
        <v>877</v>
      </c>
      <c r="O2616">
        <v>0</v>
      </c>
      <c r="T2616" s="62" t="s">
        <v>723</v>
      </c>
      <c r="U2616" t="s">
        <v>81</v>
      </c>
    </row>
    <row r="2617" spans="1:21" x14ac:dyDescent="0.25">
      <c r="A2617" s="33">
        <v>2632</v>
      </c>
      <c r="B2617" s="24">
        <v>44262</v>
      </c>
      <c r="C2617" t="s">
        <v>39</v>
      </c>
      <c r="D2617" t="s">
        <v>41</v>
      </c>
      <c r="E2617">
        <v>2000716313</v>
      </c>
      <c r="F2617">
        <v>310</v>
      </c>
      <c r="G2617">
        <v>190</v>
      </c>
      <c r="H2617">
        <v>0</v>
      </c>
      <c r="I2617" t="s">
        <v>178</v>
      </c>
      <c r="J2617" t="s">
        <v>174</v>
      </c>
      <c r="K2617" t="s">
        <v>722</v>
      </c>
      <c r="O2617">
        <v>0</v>
      </c>
      <c r="T2617" s="62"/>
      <c r="U2617" t="s">
        <v>81</v>
      </c>
    </row>
    <row r="2618" spans="1:21" x14ac:dyDescent="0.25">
      <c r="A2618" s="33">
        <v>2633</v>
      </c>
      <c r="B2618" s="24">
        <v>44262</v>
      </c>
      <c r="C2618" t="s">
        <v>39</v>
      </c>
      <c r="D2618" t="s">
        <v>41</v>
      </c>
      <c r="E2618">
        <v>2000716456</v>
      </c>
      <c r="F2618">
        <v>330</v>
      </c>
      <c r="G2618">
        <v>330</v>
      </c>
      <c r="H2618">
        <v>0</v>
      </c>
      <c r="I2618" t="s">
        <v>178</v>
      </c>
      <c r="J2618" t="s">
        <v>174</v>
      </c>
      <c r="K2618" t="s">
        <v>722</v>
      </c>
      <c r="O2618">
        <v>0</v>
      </c>
      <c r="U2618" t="s">
        <v>81</v>
      </c>
    </row>
    <row r="2619" spans="1:21" x14ac:dyDescent="0.25">
      <c r="A2619" s="33">
        <v>2634</v>
      </c>
      <c r="B2619" s="24">
        <v>44262</v>
      </c>
      <c r="C2619" t="s">
        <v>39</v>
      </c>
      <c r="D2619" t="s">
        <v>51</v>
      </c>
      <c r="E2619">
        <v>2000716163</v>
      </c>
      <c r="F2619">
        <v>40</v>
      </c>
      <c r="G2619">
        <v>40</v>
      </c>
      <c r="H2619">
        <v>0</v>
      </c>
      <c r="I2619" t="s">
        <v>191</v>
      </c>
      <c r="J2619" t="s">
        <v>669</v>
      </c>
      <c r="K2619" t="s">
        <v>810</v>
      </c>
      <c r="O2619">
        <v>0</v>
      </c>
      <c r="U2619" t="s">
        <v>81</v>
      </c>
    </row>
    <row r="2620" spans="1:21" x14ac:dyDescent="0.25">
      <c r="A2620" s="33">
        <v>2635</v>
      </c>
      <c r="B2620" s="24">
        <v>44262</v>
      </c>
      <c r="C2620" t="s">
        <v>39</v>
      </c>
      <c r="D2620" t="s">
        <v>51</v>
      </c>
      <c r="E2620">
        <v>2000715376</v>
      </c>
      <c r="F2620">
        <v>330</v>
      </c>
      <c r="G2620">
        <v>89</v>
      </c>
      <c r="H2620">
        <v>0</v>
      </c>
      <c r="I2620" t="s">
        <v>191</v>
      </c>
      <c r="J2620" t="s">
        <v>669</v>
      </c>
      <c r="K2620" t="s">
        <v>802</v>
      </c>
      <c r="O2620">
        <v>0</v>
      </c>
      <c r="U2620" t="s">
        <v>81</v>
      </c>
    </row>
    <row r="2621" spans="1:21" x14ac:dyDescent="0.25">
      <c r="A2621" s="33">
        <v>2636</v>
      </c>
      <c r="B2621" s="24">
        <v>44262</v>
      </c>
      <c r="C2621" t="s">
        <v>39</v>
      </c>
      <c r="D2621" t="s">
        <v>51</v>
      </c>
      <c r="E2621">
        <v>2000716167</v>
      </c>
      <c r="F2621">
        <v>380</v>
      </c>
      <c r="G2621">
        <v>310</v>
      </c>
      <c r="H2621">
        <v>0</v>
      </c>
      <c r="I2621" t="s">
        <v>191</v>
      </c>
      <c r="J2621" t="s">
        <v>673</v>
      </c>
      <c r="K2621" t="s">
        <v>708</v>
      </c>
      <c r="O2621">
        <v>0</v>
      </c>
      <c r="U2621" t="s">
        <v>81</v>
      </c>
    </row>
    <row r="2622" spans="1:21" x14ac:dyDescent="0.25">
      <c r="A2622" s="33">
        <v>2637</v>
      </c>
      <c r="B2622" s="24">
        <v>44262</v>
      </c>
      <c r="C2622" t="s">
        <v>39</v>
      </c>
      <c r="D2622" t="s">
        <v>51</v>
      </c>
      <c r="E2622">
        <v>2000715656</v>
      </c>
      <c r="F2622">
        <v>600</v>
      </c>
      <c r="G2622">
        <v>10</v>
      </c>
      <c r="H2622">
        <v>0</v>
      </c>
      <c r="I2622" t="s">
        <v>191</v>
      </c>
      <c r="J2622" t="s">
        <v>673</v>
      </c>
      <c r="K2622" t="s">
        <v>674</v>
      </c>
      <c r="O2622">
        <v>0</v>
      </c>
      <c r="U2622" t="s">
        <v>81</v>
      </c>
    </row>
    <row r="2623" spans="1:21" x14ac:dyDescent="0.25">
      <c r="A2623" s="33">
        <v>2638</v>
      </c>
      <c r="B2623" s="24">
        <v>44262</v>
      </c>
      <c r="C2623" t="s">
        <v>39</v>
      </c>
      <c r="D2623" t="s">
        <v>51</v>
      </c>
      <c r="E2623">
        <v>2000716425</v>
      </c>
      <c r="F2623">
        <v>255</v>
      </c>
      <c r="G2623">
        <v>140</v>
      </c>
      <c r="H2623">
        <v>0</v>
      </c>
      <c r="I2623" t="s">
        <v>191</v>
      </c>
      <c r="J2623" t="s">
        <v>673</v>
      </c>
      <c r="K2623" t="s">
        <v>674</v>
      </c>
      <c r="O2623">
        <v>0</v>
      </c>
      <c r="U2623" t="s">
        <v>81</v>
      </c>
    </row>
    <row r="2624" spans="1:21" x14ac:dyDescent="0.25">
      <c r="A2624" s="33">
        <v>2639</v>
      </c>
      <c r="B2624" s="24">
        <v>44262</v>
      </c>
      <c r="C2624" t="s">
        <v>39</v>
      </c>
      <c r="D2624" t="s">
        <v>51</v>
      </c>
      <c r="E2624">
        <v>2000716170</v>
      </c>
      <c r="F2624">
        <v>140</v>
      </c>
      <c r="G2624">
        <v>139</v>
      </c>
      <c r="H2624">
        <v>0</v>
      </c>
      <c r="I2624" t="s">
        <v>191</v>
      </c>
      <c r="J2624" t="s">
        <v>669</v>
      </c>
      <c r="K2624" t="s">
        <v>670</v>
      </c>
      <c r="O2624">
        <v>0</v>
      </c>
      <c r="U2624" t="s">
        <v>81</v>
      </c>
    </row>
    <row r="2625" spans="1:21" x14ac:dyDescent="0.25">
      <c r="A2625" s="33">
        <v>2640</v>
      </c>
      <c r="B2625" s="24">
        <v>44262</v>
      </c>
      <c r="C2625" t="s">
        <v>39</v>
      </c>
      <c r="D2625" t="s">
        <v>51</v>
      </c>
      <c r="E2625">
        <v>2000715659</v>
      </c>
      <c r="F2625">
        <v>1140</v>
      </c>
      <c r="G2625">
        <v>140</v>
      </c>
      <c r="H2625">
        <v>0</v>
      </c>
      <c r="I2625" t="s">
        <v>191</v>
      </c>
      <c r="J2625" t="s">
        <v>667</v>
      </c>
      <c r="K2625" t="s">
        <v>1037</v>
      </c>
      <c r="O2625">
        <v>0</v>
      </c>
      <c r="U2625" t="s">
        <v>81</v>
      </c>
    </row>
    <row r="2626" spans="1:21" x14ac:dyDescent="0.25">
      <c r="A2626" s="33">
        <v>2641</v>
      </c>
      <c r="B2626" s="24">
        <v>44262</v>
      </c>
      <c r="C2626" t="s">
        <v>39</v>
      </c>
      <c r="D2626" t="s">
        <v>51</v>
      </c>
      <c r="E2626">
        <v>2000715374</v>
      </c>
      <c r="F2626">
        <v>440</v>
      </c>
      <c r="G2626">
        <v>35</v>
      </c>
      <c r="H2626">
        <v>0</v>
      </c>
      <c r="I2626" t="s">
        <v>191</v>
      </c>
      <c r="J2626" t="s">
        <v>667</v>
      </c>
      <c r="K2626" t="s">
        <v>671</v>
      </c>
      <c r="O2626">
        <v>0</v>
      </c>
      <c r="U2626" t="s">
        <v>81</v>
      </c>
    </row>
    <row r="2627" spans="1:21" x14ac:dyDescent="0.25">
      <c r="A2627" s="33">
        <v>2642</v>
      </c>
      <c r="B2627" s="24">
        <v>44262</v>
      </c>
      <c r="C2627" t="s">
        <v>39</v>
      </c>
      <c r="D2627" t="s">
        <v>51</v>
      </c>
      <c r="E2627">
        <v>2000716426</v>
      </c>
      <c r="F2627">
        <v>800</v>
      </c>
      <c r="G2627">
        <v>360</v>
      </c>
      <c r="H2627">
        <v>0</v>
      </c>
      <c r="I2627" t="s">
        <v>191</v>
      </c>
      <c r="J2627" t="s">
        <v>667</v>
      </c>
      <c r="K2627" t="s">
        <v>730</v>
      </c>
      <c r="O2627">
        <v>0</v>
      </c>
      <c r="U2627" t="s">
        <v>81</v>
      </c>
    </row>
    <row r="2628" spans="1:21" x14ac:dyDescent="0.25">
      <c r="A2628" s="33">
        <v>2643</v>
      </c>
      <c r="B2628" s="24">
        <v>44262</v>
      </c>
      <c r="C2628" t="s">
        <v>39</v>
      </c>
      <c r="D2628" t="s">
        <v>51</v>
      </c>
      <c r="E2628">
        <v>2000716002</v>
      </c>
      <c r="F2628">
        <v>120</v>
      </c>
      <c r="G2628">
        <v>30</v>
      </c>
      <c r="H2628">
        <v>0</v>
      </c>
      <c r="I2628" t="s">
        <v>191</v>
      </c>
      <c r="J2628" t="s">
        <v>669</v>
      </c>
      <c r="K2628" t="s">
        <v>741</v>
      </c>
      <c r="O2628">
        <v>0</v>
      </c>
      <c r="U2628" t="s">
        <v>81</v>
      </c>
    </row>
    <row r="2629" spans="1:21" x14ac:dyDescent="0.25">
      <c r="A2629" s="33">
        <v>2644</v>
      </c>
      <c r="B2629" s="24">
        <v>44262</v>
      </c>
      <c r="C2629" t="s">
        <v>181</v>
      </c>
      <c r="D2629" t="s">
        <v>41</v>
      </c>
      <c r="E2629">
        <v>2000715552</v>
      </c>
      <c r="F2629">
        <v>1610</v>
      </c>
      <c r="G2629">
        <v>180</v>
      </c>
      <c r="H2629">
        <v>0</v>
      </c>
      <c r="I2629" t="s">
        <v>184</v>
      </c>
      <c r="J2629" t="s">
        <v>203</v>
      </c>
      <c r="K2629" t="s">
        <v>768</v>
      </c>
      <c r="O2629">
        <v>0</v>
      </c>
      <c r="U2629" t="s">
        <v>81</v>
      </c>
    </row>
    <row r="2630" spans="1:21" x14ac:dyDescent="0.25">
      <c r="A2630" s="33">
        <v>2645</v>
      </c>
      <c r="B2630" s="24">
        <v>44262</v>
      </c>
      <c r="C2630" t="s">
        <v>181</v>
      </c>
      <c r="D2630" t="s">
        <v>41</v>
      </c>
      <c r="E2630">
        <v>2000715183</v>
      </c>
      <c r="F2630">
        <v>1480</v>
      </c>
      <c r="G2630">
        <v>420</v>
      </c>
      <c r="H2630">
        <v>0</v>
      </c>
      <c r="I2630" t="s">
        <v>184</v>
      </c>
      <c r="J2630" t="s">
        <v>169</v>
      </c>
      <c r="K2630" t="s">
        <v>190</v>
      </c>
      <c r="O2630">
        <v>0</v>
      </c>
      <c r="U2630" t="s">
        <v>81</v>
      </c>
    </row>
    <row r="2631" spans="1:21" x14ac:dyDescent="0.25">
      <c r="A2631" s="33">
        <v>2646</v>
      </c>
      <c r="B2631" s="24">
        <v>44262</v>
      </c>
      <c r="C2631" t="s">
        <v>181</v>
      </c>
      <c r="D2631" t="s">
        <v>41</v>
      </c>
      <c r="E2631">
        <v>2000715863</v>
      </c>
      <c r="F2631">
        <v>2400</v>
      </c>
      <c r="G2631">
        <v>80</v>
      </c>
      <c r="H2631">
        <v>0</v>
      </c>
      <c r="I2631" t="s">
        <v>184</v>
      </c>
      <c r="J2631" t="s">
        <v>645</v>
      </c>
      <c r="K2631" t="s">
        <v>721</v>
      </c>
      <c r="O2631">
        <v>0</v>
      </c>
      <c r="U2631" t="s">
        <v>81</v>
      </c>
    </row>
    <row r="2632" spans="1:21" x14ac:dyDescent="0.25">
      <c r="A2632" s="33">
        <v>2647</v>
      </c>
      <c r="B2632" s="24">
        <v>44262</v>
      </c>
      <c r="C2632" t="s">
        <v>181</v>
      </c>
      <c r="D2632" t="s">
        <v>41</v>
      </c>
      <c r="E2632">
        <v>2000716291</v>
      </c>
      <c r="F2632">
        <v>1260</v>
      </c>
      <c r="G2632">
        <v>765</v>
      </c>
      <c r="H2632">
        <v>0</v>
      </c>
      <c r="I2632" t="s">
        <v>706</v>
      </c>
      <c r="J2632" t="s">
        <v>174</v>
      </c>
      <c r="K2632" t="s">
        <v>774</v>
      </c>
      <c r="O2632">
        <v>0</v>
      </c>
      <c r="U2632" t="s">
        <v>81</v>
      </c>
    </row>
    <row r="2633" spans="1:21" x14ac:dyDescent="0.25">
      <c r="A2633" s="33">
        <v>2648</v>
      </c>
      <c r="B2633" s="24">
        <v>44262</v>
      </c>
      <c r="C2633" t="s">
        <v>181</v>
      </c>
      <c r="D2633" t="s">
        <v>41</v>
      </c>
      <c r="E2633">
        <v>2000716292</v>
      </c>
      <c r="F2633">
        <v>1000</v>
      </c>
      <c r="G2633">
        <v>45</v>
      </c>
      <c r="H2633">
        <v>0</v>
      </c>
      <c r="I2633" t="s">
        <v>706</v>
      </c>
      <c r="J2633" t="s">
        <v>174</v>
      </c>
      <c r="K2633" t="s">
        <v>774</v>
      </c>
      <c r="O2633">
        <v>0</v>
      </c>
      <c r="U2633" t="s">
        <v>81</v>
      </c>
    </row>
    <row r="2634" spans="1:21" x14ac:dyDescent="0.25">
      <c r="A2634" s="33">
        <v>2649</v>
      </c>
      <c r="B2634" s="24">
        <v>44262</v>
      </c>
      <c r="C2634" t="s">
        <v>181</v>
      </c>
      <c r="D2634" t="s">
        <v>41</v>
      </c>
      <c r="E2634">
        <v>2000715874</v>
      </c>
      <c r="F2634">
        <v>920</v>
      </c>
      <c r="G2634">
        <v>200</v>
      </c>
      <c r="H2634">
        <v>0</v>
      </c>
      <c r="I2634" t="s">
        <v>706</v>
      </c>
      <c r="J2634" t="s">
        <v>645</v>
      </c>
      <c r="K2634" t="s">
        <v>718</v>
      </c>
      <c r="O2634">
        <v>0</v>
      </c>
      <c r="U2634" t="s">
        <v>81</v>
      </c>
    </row>
    <row r="2635" spans="1:21" x14ac:dyDescent="0.25">
      <c r="A2635" s="33">
        <v>2650</v>
      </c>
      <c r="B2635" s="24">
        <v>44262</v>
      </c>
      <c r="C2635" t="s">
        <v>181</v>
      </c>
      <c r="D2635" t="s">
        <v>41</v>
      </c>
      <c r="E2635">
        <v>2000715872</v>
      </c>
      <c r="F2635">
        <v>1100</v>
      </c>
      <c r="G2635">
        <v>30</v>
      </c>
      <c r="H2635">
        <v>0</v>
      </c>
      <c r="I2635" t="s">
        <v>706</v>
      </c>
      <c r="J2635" t="s">
        <v>645</v>
      </c>
      <c r="K2635" t="s">
        <v>718</v>
      </c>
      <c r="O2635">
        <v>0</v>
      </c>
      <c r="T2635" s="62"/>
      <c r="U2635" t="s">
        <v>81</v>
      </c>
    </row>
    <row r="2636" spans="1:21" x14ac:dyDescent="0.25">
      <c r="A2636" s="33">
        <v>2651</v>
      </c>
      <c r="B2636" s="24">
        <v>44262</v>
      </c>
      <c r="C2636" t="s">
        <v>181</v>
      </c>
      <c r="D2636" t="s">
        <v>41</v>
      </c>
      <c r="E2636">
        <v>2000715863</v>
      </c>
      <c r="F2636">
        <v>2400</v>
      </c>
      <c r="G2636">
        <v>40</v>
      </c>
      <c r="H2636">
        <v>0</v>
      </c>
      <c r="I2636" t="s">
        <v>183</v>
      </c>
      <c r="J2636" t="s">
        <v>645</v>
      </c>
      <c r="K2636" t="s">
        <v>721</v>
      </c>
      <c r="O2636">
        <v>0</v>
      </c>
      <c r="U2636" t="s">
        <v>81</v>
      </c>
    </row>
    <row r="2637" spans="1:21" x14ac:dyDescent="0.25">
      <c r="A2637" s="33">
        <v>2652</v>
      </c>
      <c r="B2637" s="24">
        <v>44262</v>
      </c>
      <c r="C2637" t="s">
        <v>181</v>
      </c>
      <c r="D2637" t="s">
        <v>41</v>
      </c>
      <c r="E2637">
        <v>2000715083</v>
      </c>
      <c r="F2637">
        <v>2180</v>
      </c>
      <c r="G2637">
        <v>700</v>
      </c>
      <c r="H2637">
        <v>0</v>
      </c>
      <c r="I2637" t="s">
        <v>183</v>
      </c>
      <c r="J2637" t="s">
        <v>645</v>
      </c>
      <c r="K2637" t="s">
        <v>756</v>
      </c>
      <c r="O2637">
        <v>0</v>
      </c>
      <c r="U2637" t="s">
        <v>81</v>
      </c>
    </row>
    <row r="2638" spans="1:21" x14ac:dyDescent="0.25">
      <c r="A2638" s="33">
        <v>2653</v>
      </c>
      <c r="B2638" s="24">
        <v>44262</v>
      </c>
      <c r="C2638" t="s">
        <v>181</v>
      </c>
      <c r="D2638" t="s">
        <v>41</v>
      </c>
      <c r="E2638">
        <v>2000715862</v>
      </c>
      <c r="F2638">
        <v>2400</v>
      </c>
      <c r="G2638">
        <v>1200</v>
      </c>
      <c r="H2638">
        <v>0</v>
      </c>
      <c r="I2638" t="s">
        <v>183</v>
      </c>
      <c r="J2638" t="s">
        <v>645</v>
      </c>
      <c r="K2638" t="s">
        <v>658</v>
      </c>
      <c r="O2638">
        <v>0</v>
      </c>
      <c r="U2638" t="s">
        <v>81</v>
      </c>
    </row>
    <row r="2639" spans="1:21" x14ac:dyDescent="0.25">
      <c r="A2639" s="33">
        <v>2654</v>
      </c>
      <c r="B2639" s="24">
        <v>44262</v>
      </c>
      <c r="C2639" t="s">
        <v>181</v>
      </c>
      <c r="D2639" t="s">
        <v>41</v>
      </c>
      <c r="E2639">
        <v>2000715603</v>
      </c>
      <c r="F2639">
        <v>2704</v>
      </c>
      <c r="G2639">
        <v>900</v>
      </c>
      <c r="H2639">
        <v>0</v>
      </c>
      <c r="I2639" t="s">
        <v>183</v>
      </c>
      <c r="J2639" t="s">
        <v>645</v>
      </c>
      <c r="K2639" t="s">
        <v>1038</v>
      </c>
      <c r="O2639">
        <v>0</v>
      </c>
      <c r="U2639" t="s">
        <v>81</v>
      </c>
    </row>
    <row r="2640" spans="1:21" x14ac:dyDescent="0.25">
      <c r="A2640" s="33">
        <v>2655</v>
      </c>
      <c r="B2640" s="24">
        <v>44262</v>
      </c>
      <c r="C2640" t="s">
        <v>181</v>
      </c>
      <c r="D2640" t="s">
        <v>41</v>
      </c>
      <c r="E2640">
        <v>2000715604</v>
      </c>
      <c r="F2640">
        <v>3996</v>
      </c>
      <c r="G2640">
        <v>400</v>
      </c>
      <c r="H2640">
        <v>0</v>
      </c>
      <c r="I2640" t="s">
        <v>183</v>
      </c>
      <c r="J2640" t="s">
        <v>172</v>
      </c>
      <c r="K2640" t="s">
        <v>729</v>
      </c>
      <c r="O2640">
        <v>0</v>
      </c>
      <c r="U2640" t="s">
        <v>81</v>
      </c>
    </row>
    <row r="2641" spans="1:21" x14ac:dyDescent="0.25">
      <c r="A2641" s="33">
        <v>2656</v>
      </c>
      <c r="B2641" s="24">
        <v>44262</v>
      </c>
      <c r="C2641" t="s">
        <v>181</v>
      </c>
      <c r="D2641" t="s">
        <v>41</v>
      </c>
      <c r="E2641">
        <v>2000715873</v>
      </c>
      <c r="F2641">
        <v>1500</v>
      </c>
      <c r="G2641">
        <v>80</v>
      </c>
      <c r="H2641">
        <v>0</v>
      </c>
      <c r="I2641" t="s">
        <v>693</v>
      </c>
      <c r="J2641" t="s">
        <v>645</v>
      </c>
      <c r="K2641" t="s">
        <v>646</v>
      </c>
      <c r="O2641">
        <v>0</v>
      </c>
      <c r="U2641" t="s">
        <v>81</v>
      </c>
    </row>
    <row r="2642" spans="1:21" x14ac:dyDescent="0.25">
      <c r="A2642" s="33">
        <v>2657</v>
      </c>
      <c r="B2642" s="24">
        <v>44262</v>
      </c>
      <c r="C2642" t="s">
        <v>181</v>
      </c>
      <c r="D2642" t="s">
        <v>41</v>
      </c>
      <c r="E2642">
        <v>2000716262</v>
      </c>
      <c r="F2642">
        <v>1050</v>
      </c>
      <c r="G2642">
        <v>420</v>
      </c>
      <c r="H2642">
        <v>0</v>
      </c>
      <c r="I2642" t="s">
        <v>693</v>
      </c>
      <c r="J2642" t="s">
        <v>193</v>
      </c>
      <c r="K2642" t="s">
        <v>647</v>
      </c>
      <c r="O2642">
        <v>0</v>
      </c>
      <c r="U2642" t="s">
        <v>81</v>
      </c>
    </row>
    <row r="2643" spans="1:21" x14ac:dyDescent="0.25">
      <c r="A2643" s="33">
        <v>2658</v>
      </c>
      <c r="B2643" s="24">
        <v>44262</v>
      </c>
      <c r="C2643" t="s">
        <v>181</v>
      </c>
      <c r="D2643" t="s">
        <v>41</v>
      </c>
      <c r="E2643">
        <v>2000715863</v>
      </c>
      <c r="F2643">
        <v>2400</v>
      </c>
      <c r="G2643">
        <v>120</v>
      </c>
      <c r="H2643">
        <v>0</v>
      </c>
      <c r="I2643" t="s">
        <v>693</v>
      </c>
      <c r="J2643" t="s">
        <v>645</v>
      </c>
      <c r="K2643" t="s">
        <v>721</v>
      </c>
      <c r="O2643">
        <v>0</v>
      </c>
      <c r="U2643" t="s">
        <v>81</v>
      </c>
    </row>
    <row r="2644" spans="1:21" x14ac:dyDescent="0.25">
      <c r="A2644" s="33">
        <v>2659</v>
      </c>
      <c r="B2644" s="24">
        <v>44262</v>
      </c>
      <c r="C2644" t="s">
        <v>181</v>
      </c>
      <c r="D2644" t="s">
        <v>41</v>
      </c>
      <c r="E2644">
        <v>2000715420</v>
      </c>
      <c r="F2644">
        <v>1600</v>
      </c>
      <c r="G2644">
        <v>300</v>
      </c>
      <c r="H2644">
        <v>0</v>
      </c>
      <c r="I2644" t="s">
        <v>759</v>
      </c>
      <c r="J2644" t="s">
        <v>193</v>
      </c>
      <c r="K2644" t="s">
        <v>176</v>
      </c>
      <c r="O2644">
        <v>0</v>
      </c>
      <c r="U2644" t="s">
        <v>81</v>
      </c>
    </row>
    <row r="2645" spans="1:21" x14ac:dyDescent="0.25">
      <c r="A2645" s="33">
        <v>2660</v>
      </c>
      <c r="B2645" s="24">
        <v>44262</v>
      </c>
      <c r="C2645" t="s">
        <v>181</v>
      </c>
      <c r="D2645" t="s">
        <v>41</v>
      </c>
      <c r="E2645">
        <v>2000715605</v>
      </c>
      <c r="F2645">
        <v>6600</v>
      </c>
      <c r="G2645">
        <v>600</v>
      </c>
      <c r="H2645">
        <v>0</v>
      </c>
      <c r="I2645" t="s">
        <v>680</v>
      </c>
      <c r="J2645" t="s">
        <v>200</v>
      </c>
      <c r="K2645" t="s">
        <v>737</v>
      </c>
      <c r="O2645">
        <v>0</v>
      </c>
      <c r="U2645" t="s">
        <v>81</v>
      </c>
    </row>
    <row r="2646" spans="1:21" x14ac:dyDescent="0.25">
      <c r="A2646" s="33">
        <v>2661</v>
      </c>
      <c r="B2646" s="24">
        <v>44262</v>
      </c>
      <c r="C2646" t="s">
        <v>181</v>
      </c>
      <c r="D2646" t="s">
        <v>41</v>
      </c>
      <c r="E2646">
        <v>2000715071</v>
      </c>
      <c r="F2646">
        <v>2300</v>
      </c>
      <c r="G2646">
        <v>1400</v>
      </c>
      <c r="H2646">
        <v>0</v>
      </c>
      <c r="I2646" t="s">
        <v>680</v>
      </c>
      <c r="J2646" t="s">
        <v>172</v>
      </c>
      <c r="K2646" t="s">
        <v>725</v>
      </c>
      <c r="O2646">
        <v>0</v>
      </c>
      <c r="U2646" t="s">
        <v>81</v>
      </c>
    </row>
    <row r="2647" spans="1:21" x14ac:dyDescent="0.25">
      <c r="A2647" s="33">
        <v>2662</v>
      </c>
      <c r="B2647" s="24">
        <v>44262</v>
      </c>
      <c r="C2647" t="s">
        <v>181</v>
      </c>
      <c r="D2647" t="s">
        <v>41</v>
      </c>
      <c r="E2647">
        <v>2000716661</v>
      </c>
      <c r="F2647">
        <v>648</v>
      </c>
      <c r="G2647">
        <v>647</v>
      </c>
      <c r="H2647">
        <v>0</v>
      </c>
      <c r="I2647" t="s">
        <v>680</v>
      </c>
      <c r="J2647" t="s">
        <v>745</v>
      </c>
      <c r="K2647" t="s">
        <v>849</v>
      </c>
      <c r="O2647">
        <v>0</v>
      </c>
      <c r="T2647" s="62"/>
      <c r="U2647" t="s">
        <v>81</v>
      </c>
    </row>
    <row r="2648" spans="1:21" x14ac:dyDescent="0.25">
      <c r="A2648" s="33">
        <v>2663</v>
      </c>
      <c r="B2648" s="24">
        <v>44262</v>
      </c>
      <c r="C2648" t="s">
        <v>181</v>
      </c>
      <c r="D2648" t="s">
        <v>41</v>
      </c>
      <c r="E2648">
        <v>2000715604</v>
      </c>
      <c r="F2648">
        <v>3996</v>
      </c>
      <c r="G2648">
        <v>400</v>
      </c>
      <c r="H2648">
        <v>0</v>
      </c>
      <c r="I2648" t="s">
        <v>680</v>
      </c>
      <c r="J2648" t="s">
        <v>172</v>
      </c>
      <c r="K2648" t="s">
        <v>729</v>
      </c>
      <c r="O2648">
        <v>0</v>
      </c>
      <c r="U2648" t="s">
        <v>81</v>
      </c>
    </row>
    <row r="2649" spans="1:21" x14ac:dyDescent="0.25">
      <c r="A2649" s="33">
        <v>2664</v>
      </c>
      <c r="B2649" s="24">
        <v>44262</v>
      </c>
      <c r="C2649" t="s">
        <v>181</v>
      </c>
      <c r="D2649" t="s">
        <v>41</v>
      </c>
      <c r="E2649">
        <v>2000715184</v>
      </c>
      <c r="F2649">
        <v>6352</v>
      </c>
      <c r="G2649">
        <v>1440</v>
      </c>
      <c r="H2649">
        <v>0</v>
      </c>
      <c r="I2649" t="s">
        <v>198</v>
      </c>
      <c r="J2649" t="s">
        <v>200</v>
      </c>
      <c r="K2649" t="s">
        <v>653</v>
      </c>
      <c r="O2649">
        <v>0</v>
      </c>
      <c r="U2649" t="s">
        <v>81</v>
      </c>
    </row>
    <row r="2650" spans="1:21" x14ac:dyDescent="0.25">
      <c r="A2650" s="33">
        <v>2665</v>
      </c>
      <c r="B2650" s="24">
        <v>44262</v>
      </c>
      <c r="C2650" t="s">
        <v>181</v>
      </c>
      <c r="D2650" t="s">
        <v>41</v>
      </c>
      <c r="E2650">
        <v>2000715604</v>
      </c>
      <c r="F2650">
        <v>3996</v>
      </c>
      <c r="G2650">
        <v>300</v>
      </c>
      <c r="H2650">
        <v>0</v>
      </c>
      <c r="I2650" t="s">
        <v>198</v>
      </c>
      <c r="J2650" t="s">
        <v>172</v>
      </c>
      <c r="K2650" t="s">
        <v>729</v>
      </c>
      <c r="O2650">
        <v>0</v>
      </c>
      <c r="U2650" t="s">
        <v>81</v>
      </c>
    </row>
    <row r="2651" spans="1:21" x14ac:dyDescent="0.25">
      <c r="A2651" s="33">
        <v>2666</v>
      </c>
      <c r="B2651" s="24">
        <v>44262</v>
      </c>
      <c r="C2651" t="s">
        <v>181</v>
      </c>
      <c r="D2651" t="s">
        <v>41</v>
      </c>
      <c r="E2651">
        <v>2000716655</v>
      </c>
      <c r="F2651">
        <v>1000</v>
      </c>
      <c r="G2651">
        <v>130</v>
      </c>
      <c r="H2651">
        <v>0</v>
      </c>
      <c r="I2651" t="s">
        <v>696</v>
      </c>
      <c r="J2651" t="s">
        <v>174</v>
      </c>
      <c r="K2651" t="s">
        <v>186</v>
      </c>
      <c r="O2651">
        <v>0</v>
      </c>
      <c r="U2651" t="s">
        <v>81</v>
      </c>
    </row>
    <row r="2652" spans="1:21" x14ac:dyDescent="0.25">
      <c r="A2652" s="33">
        <v>2667</v>
      </c>
      <c r="B2652" s="24">
        <v>44262</v>
      </c>
      <c r="C2652" t="s">
        <v>181</v>
      </c>
      <c r="D2652" t="s">
        <v>41</v>
      </c>
      <c r="E2652">
        <v>2000716461</v>
      </c>
      <c r="F2652">
        <v>320</v>
      </c>
      <c r="G2652">
        <v>270</v>
      </c>
      <c r="H2652">
        <v>0</v>
      </c>
      <c r="I2652" t="s">
        <v>696</v>
      </c>
      <c r="J2652" t="s">
        <v>174</v>
      </c>
      <c r="K2652" t="s">
        <v>722</v>
      </c>
      <c r="O2652">
        <v>0</v>
      </c>
      <c r="U2652" t="s">
        <v>81</v>
      </c>
    </row>
    <row r="2653" spans="1:21" x14ac:dyDescent="0.25">
      <c r="A2653" s="33">
        <v>2668</v>
      </c>
      <c r="B2653" s="24">
        <v>44263</v>
      </c>
      <c r="C2653" t="s">
        <v>39</v>
      </c>
      <c r="D2653" t="s">
        <v>41</v>
      </c>
      <c r="E2653">
        <v>2000716321</v>
      </c>
      <c r="F2653">
        <v>500</v>
      </c>
      <c r="G2653">
        <v>220</v>
      </c>
      <c r="H2653">
        <v>0</v>
      </c>
      <c r="I2653" t="s">
        <v>168</v>
      </c>
      <c r="J2653" t="s">
        <v>174</v>
      </c>
      <c r="K2653" t="s">
        <v>805</v>
      </c>
      <c r="O2653">
        <v>0</v>
      </c>
      <c r="U2653" t="s">
        <v>81</v>
      </c>
    </row>
    <row r="2654" spans="1:21" x14ac:dyDescent="0.25">
      <c r="A2654" s="33">
        <v>2669</v>
      </c>
      <c r="B2654" s="24">
        <v>44263</v>
      </c>
      <c r="C2654" t="s">
        <v>39</v>
      </c>
      <c r="D2654" t="s">
        <v>41</v>
      </c>
      <c r="E2654">
        <v>2000716458</v>
      </c>
      <c r="F2654">
        <v>220</v>
      </c>
      <c r="G2654">
        <v>80</v>
      </c>
      <c r="H2654">
        <v>0</v>
      </c>
      <c r="I2654" t="s">
        <v>168</v>
      </c>
      <c r="J2654" t="s">
        <v>174</v>
      </c>
      <c r="K2654" t="s">
        <v>695</v>
      </c>
      <c r="O2654">
        <v>0</v>
      </c>
      <c r="U2654" t="s">
        <v>81</v>
      </c>
    </row>
    <row r="2655" spans="1:21" x14ac:dyDescent="0.25">
      <c r="A2655" s="33">
        <v>2670</v>
      </c>
      <c r="B2655" s="24">
        <v>44263</v>
      </c>
      <c r="C2655" t="s">
        <v>39</v>
      </c>
      <c r="D2655" t="s">
        <v>41</v>
      </c>
      <c r="E2655">
        <v>2000715874</v>
      </c>
      <c r="F2655">
        <v>920</v>
      </c>
      <c r="G2655">
        <v>90</v>
      </c>
      <c r="H2655">
        <v>0</v>
      </c>
      <c r="I2655" t="s">
        <v>168</v>
      </c>
      <c r="J2655" t="s">
        <v>645</v>
      </c>
      <c r="K2655" t="s">
        <v>718</v>
      </c>
      <c r="O2655">
        <v>0</v>
      </c>
      <c r="U2655" t="s">
        <v>81</v>
      </c>
    </row>
    <row r="2656" spans="1:21" x14ac:dyDescent="0.25">
      <c r="A2656" s="33">
        <v>2671</v>
      </c>
      <c r="B2656" s="24">
        <v>44263</v>
      </c>
      <c r="C2656" t="s">
        <v>39</v>
      </c>
      <c r="D2656" t="s">
        <v>41</v>
      </c>
      <c r="E2656">
        <v>2000715715</v>
      </c>
      <c r="F2656">
        <v>1230</v>
      </c>
      <c r="G2656">
        <v>140</v>
      </c>
      <c r="H2656">
        <v>0</v>
      </c>
      <c r="I2656" t="s">
        <v>168</v>
      </c>
      <c r="J2656" t="s">
        <v>169</v>
      </c>
      <c r="K2656" t="s">
        <v>663</v>
      </c>
      <c r="O2656">
        <v>0</v>
      </c>
      <c r="U2656" t="s">
        <v>81</v>
      </c>
    </row>
    <row r="2657" spans="1:21" x14ac:dyDescent="0.25">
      <c r="A2657" s="33">
        <v>2672</v>
      </c>
      <c r="B2657" s="24">
        <v>44263</v>
      </c>
      <c r="C2657" t="s">
        <v>39</v>
      </c>
      <c r="D2657" t="s">
        <v>41</v>
      </c>
      <c r="E2657">
        <v>2000715552</v>
      </c>
      <c r="F2657">
        <v>1010</v>
      </c>
      <c r="G2657">
        <v>30</v>
      </c>
      <c r="H2657">
        <v>0</v>
      </c>
      <c r="I2657" t="s">
        <v>168</v>
      </c>
      <c r="J2657" t="s">
        <v>203</v>
      </c>
      <c r="K2657" t="s">
        <v>768</v>
      </c>
      <c r="O2657">
        <v>0</v>
      </c>
      <c r="U2657" t="s">
        <v>81</v>
      </c>
    </row>
    <row r="2658" spans="1:21" x14ac:dyDescent="0.25">
      <c r="A2658" s="33">
        <v>2673</v>
      </c>
      <c r="B2658" s="24">
        <v>44263</v>
      </c>
      <c r="C2658" t="s">
        <v>39</v>
      </c>
      <c r="D2658" t="s">
        <v>41</v>
      </c>
      <c r="E2658">
        <v>2000716434</v>
      </c>
      <c r="F2658">
        <v>690</v>
      </c>
      <c r="G2658">
        <v>130</v>
      </c>
      <c r="H2658">
        <v>0</v>
      </c>
      <c r="I2658" t="s">
        <v>168</v>
      </c>
      <c r="J2658" t="s">
        <v>203</v>
      </c>
      <c r="K2658" t="s">
        <v>891</v>
      </c>
      <c r="O2658">
        <v>0</v>
      </c>
      <c r="U2658" t="s">
        <v>81</v>
      </c>
    </row>
    <row r="2659" spans="1:21" x14ac:dyDescent="0.25">
      <c r="A2659" s="33">
        <v>2674</v>
      </c>
      <c r="B2659" s="24">
        <v>44263</v>
      </c>
      <c r="C2659" t="s">
        <v>39</v>
      </c>
      <c r="D2659" t="s">
        <v>41</v>
      </c>
      <c r="E2659">
        <v>2000715604</v>
      </c>
      <c r="F2659">
        <v>3996</v>
      </c>
      <c r="G2659">
        <v>900</v>
      </c>
      <c r="H2659">
        <v>0</v>
      </c>
      <c r="I2659" t="s">
        <v>201</v>
      </c>
      <c r="J2659" t="s">
        <v>172</v>
      </c>
      <c r="K2659" t="s">
        <v>729</v>
      </c>
      <c r="O2659">
        <v>0</v>
      </c>
      <c r="U2659" t="s">
        <v>81</v>
      </c>
    </row>
    <row r="2660" spans="1:21" x14ac:dyDescent="0.25">
      <c r="A2660" s="33">
        <v>2675</v>
      </c>
      <c r="B2660" s="24">
        <v>44263</v>
      </c>
      <c r="C2660" t="s">
        <v>39</v>
      </c>
      <c r="D2660" t="s">
        <v>41</v>
      </c>
      <c r="E2660">
        <v>2000715422</v>
      </c>
      <c r="F2660">
        <v>1600</v>
      </c>
      <c r="G2660">
        <v>640</v>
      </c>
      <c r="H2660">
        <v>0</v>
      </c>
      <c r="I2660" t="s">
        <v>201</v>
      </c>
      <c r="J2660" t="s">
        <v>193</v>
      </c>
      <c r="K2660" t="s">
        <v>650</v>
      </c>
      <c r="O2660">
        <v>0</v>
      </c>
      <c r="U2660" t="s">
        <v>81</v>
      </c>
    </row>
    <row r="2661" spans="1:21" x14ac:dyDescent="0.25">
      <c r="A2661" s="33">
        <v>2676</v>
      </c>
      <c r="B2661" s="24">
        <v>44263</v>
      </c>
      <c r="C2661" t="s">
        <v>39</v>
      </c>
      <c r="D2661" t="s">
        <v>41</v>
      </c>
      <c r="E2661">
        <v>2000716256</v>
      </c>
      <c r="F2661">
        <v>1050</v>
      </c>
      <c r="G2661">
        <v>120</v>
      </c>
      <c r="H2661">
        <v>0</v>
      </c>
      <c r="I2661" t="s">
        <v>201</v>
      </c>
      <c r="J2661" t="s">
        <v>193</v>
      </c>
      <c r="K2661" t="s">
        <v>686</v>
      </c>
      <c r="O2661">
        <v>0</v>
      </c>
      <c r="U2661" t="s">
        <v>81</v>
      </c>
    </row>
    <row r="2662" spans="1:21" x14ac:dyDescent="0.25">
      <c r="A2662" s="33">
        <v>2677</v>
      </c>
      <c r="B2662" s="24">
        <v>44263</v>
      </c>
      <c r="C2662" t="s">
        <v>39</v>
      </c>
      <c r="D2662" t="s">
        <v>41</v>
      </c>
      <c r="E2662">
        <v>2000716198</v>
      </c>
      <c r="F2662">
        <v>300</v>
      </c>
      <c r="G2662">
        <v>80</v>
      </c>
      <c r="H2662">
        <v>0</v>
      </c>
      <c r="I2662" t="s">
        <v>201</v>
      </c>
      <c r="J2662" t="s">
        <v>193</v>
      </c>
      <c r="K2662" t="s">
        <v>686</v>
      </c>
      <c r="O2662">
        <v>0</v>
      </c>
      <c r="U2662" t="s">
        <v>81</v>
      </c>
    </row>
    <row r="2663" spans="1:21" x14ac:dyDescent="0.25">
      <c r="A2663" s="33">
        <v>2678</v>
      </c>
      <c r="B2663" s="24">
        <v>44263</v>
      </c>
      <c r="C2663" t="s">
        <v>39</v>
      </c>
      <c r="D2663" t="s">
        <v>41</v>
      </c>
      <c r="E2663">
        <v>2000716196</v>
      </c>
      <c r="F2663">
        <v>300</v>
      </c>
      <c r="G2663">
        <v>100</v>
      </c>
      <c r="H2663">
        <v>0</v>
      </c>
      <c r="I2663" t="s">
        <v>201</v>
      </c>
      <c r="J2663" t="s">
        <v>193</v>
      </c>
      <c r="K2663" t="s">
        <v>683</v>
      </c>
      <c r="O2663">
        <v>0</v>
      </c>
      <c r="U2663" t="s">
        <v>81</v>
      </c>
    </row>
    <row r="2664" spans="1:21" x14ac:dyDescent="0.25">
      <c r="A2664" s="33">
        <v>2679</v>
      </c>
      <c r="B2664" s="24">
        <v>44263</v>
      </c>
      <c r="C2664" t="s">
        <v>39</v>
      </c>
      <c r="D2664" t="s">
        <v>41</v>
      </c>
      <c r="E2664">
        <v>2000715421</v>
      </c>
      <c r="F2664">
        <v>1600</v>
      </c>
      <c r="G2664">
        <v>200</v>
      </c>
      <c r="H2664">
        <v>0</v>
      </c>
      <c r="I2664" t="s">
        <v>201</v>
      </c>
      <c r="J2664" t="s">
        <v>193</v>
      </c>
      <c r="K2664" t="s">
        <v>683</v>
      </c>
      <c r="O2664">
        <v>0</v>
      </c>
      <c r="U2664" t="s">
        <v>81</v>
      </c>
    </row>
    <row r="2665" spans="1:21" x14ac:dyDescent="0.25">
      <c r="A2665" s="33">
        <v>2680</v>
      </c>
      <c r="B2665" s="24">
        <v>44263</v>
      </c>
      <c r="C2665" t="s">
        <v>39</v>
      </c>
      <c r="D2665" t="s">
        <v>41</v>
      </c>
      <c r="E2665">
        <v>2000715073</v>
      </c>
      <c r="F2665">
        <v>1410</v>
      </c>
      <c r="G2665">
        <v>200</v>
      </c>
      <c r="H2665">
        <v>0</v>
      </c>
      <c r="I2665" t="s">
        <v>201</v>
      </c>
      <c r="J2665" t="s">
        <v>172</v>
      </c>
      <c r="K2665" t="s">
        <v>725</v>
      </c>
      <c r="O2665">
        <v>0</v>
      </c>
      <c r="U2665" t="s">
        <v>81</v>
      </c>
    </row>
    <row r="2666" spans="1:21" x14ac:dyDescent="0.25">
      <c r="A2666" s="33">
        <v>2681</v>
      </c>
      <c r="B2666" s="24">
        <v>44263</v>
      </c>
      <c r="C2666" t="s">
        <v>39</v>
      </c>
      <c r="D2666" t="s">
        <v>41</v>
      </c>
      <c r="E2666">
        <v>2000714128</v>
      </c>
      <c r="F2666">
        <v>4210</v>
      </c>
      <c r="G2666">
        <v>240</v>
      </c>
      <c r="H2666">
        <v>0</v>
      </c>
      <c r="I2666" t="s">
        <v>201</v>
      </c>
      <c r="J2666" t="s">
        <v>199</v>
      </c>
      <c r="K2666" t="s">
        <v>660</v>
      </c>
      <c r="O2666">
        <v>0</v>
      </c>
      <c r="U2666" t="s">
        <v>81</v>
      </c>
    </row>
    <row r="2667" spans="1:21" x14ac:dyDescent="0.25">
      <c r="A2667" s="33">
        <v>2682</v>
      </c>
      <c r="B2667" s="24">
        <v>44263</v>
      </c>
      <c r="C2667" t="s">
        <v>39</v>
      </c>
      <c r="D2667" t="s">
        <v>41</v>
      </c>
      <c r="E2667">
        <v>2000715860</v>
      </c>
      <c r="F2667">
        <v>2400</v>
      </c>
      <c r="G2667">
        <v>200</v>
      </c>
      <c r="H2667">
        <v>0</v>
      </c>
      <c r="I2667" t="s">
        <v>201</v>
      </c>
      <c r="J2667" t="s">
        <v>645</v>
      </c>
      <c r="K2667" t="s">
        <v>756</v>
      </c>
      <c r="O2667">
        <v>0</v>
      </c>
      <c r="U2667" t="s">
        <v>81</v>
      </c>
    </row>
    <row r="2668" spans="1:21" x14ac:dyDescent="0.25">
      <c r="A2668" s="33">
        <v>2683</v>
      </c>
      <c r="B2668" s="24">
        <v>44263</v>
      </c>
      <c r="C2668" t="s">
        <v>39</v>
      </c>
      <c r="D2668" t="s">
        <v>41</v>
      </c>
      <c r="E2668">
        <v>2000715423</v>
      </c>
      <c r="F2668">
        <v>1600</v>
      </c>
      <c r="G2668">
        <v>160</v>
      </c>
      <c r="H2668">
        <v>0</v>
      </c>
      <c r="I2668" t="s">
        <v>201</v>
      </c>
      <c r="J2668" t="s">
        <v>193</v>
      </c>
      <c r="K2668" t="s">
        <v>686</v>
      </c>
      <c r="O2668">
        <v>0</v>
      </c>
      <c r="U2668" t="s">
        <v>81</v>
      </c>
    </row>
    <row r="2669" spans="1:21" x14ac:dyDescent="0.25">
      <c r="A2669" s="33">
        <v>2684</v>
      </c>
      <c r="B2669" s="24">
        <v>44263</v>
      </c>
      <c r="C2669" t="s">
        <v>39</v>
      </c>
      <c r="D2669" t="s">
        <v>41</v>
      </c>
      <c r="E2669">
        <v>2000716262</v>
      </c>
      <c r="F2669">
        <v>1050</v>
      </c>
      <c r="G2669">
        <v>20</v>
      </c>
      <c r="H2669">
        <v>0</v>
      </c>
      <c r="I2669" t="s">
        <v>185</v>
      </c>
      <c r="J2669" t="s">
        <v>193</v>
      </c>
      <c r="K2669" t="s">
        <v>647</v>
      </c>
      <c r="O2669">
        <v>0</v>
      </c>
      <c r="U2669" t="s">
        <v>81</v>
      </c>
    </row>
    <row r="2670" spans="1:21" x14ac:dyDescent="0.25">
      <c r="A2670" s="33">
        <v>2685</v>
      </c>
      <c r="B2670" s="24">
        <v>44263</v>
      </c>
      <c r="C2670" t="s">
        <v>39</v>
      </c>
      <c r="D2670" t="s">
        <v>41</v>
      </c>
      <c r="E2670">
        <v>2000715863</v>
      </c>
      <c r="F2670">
        <v>2400</v>
      </c>
      <c r="G2670">
        <v>80</v>
      </c>
      <c r="H2670">
        <v>0</v>
      </c>
      <c r="I2670" t="s">
        <v>185</v>
      </c>
      <c r="J2670" t="s">
        <v>645</v>
      </c>
      <c r="K2670" t="s">
        <v>721</v>
      </c>
      <c r="O2670">
        <v>0</v>
      </c>
      <c r="U2670" t="s">
        <v>81</v>
      </c>
    </row>
    <row r="2671" spans="1:21" x14ac:dyDescent="0.25">
      <c r="A2671" s="33">
        <v>2686</v>
      </c>
      <c r="B2671" s="24">
        <v>44263</v>
      </c>
      <c r="C2671" t="s">
        <v>39</v>
      </c>
      <c r="D2671" t="s">
        <v>41</v>
      </c>
      <c r="E2671">
        <v>2000715668</v>
      </c>
      <c r="F2671">
        <v>1900</v>
      </c>
      <c r="G2671">
        <v>120</v>
      </c>
      <c r="H2671">
        <v>0</v>
      </c>
      <c r="I2671" t="s">
        <v>185</v>
      </c>
      <c r="J2671" t="s">
        <v>172</v>
      </c>
      <c r="K2671" t="s">
        <v>692</v>
      </c>
      <c r="O2671">
        <v>0</v>
      </c>
      <c r="U2671" t="s">
        <v>81</v>
      </c>
    </row>
    <row r="2672" spans="1:21" x14ac:dyDescent="0.25">
      <c r="A2672" s="33">
        <v>2687</v>
      </c>
      <c r="B2672" s="24">
        <v>44263</v>
      </c>
      <c r="C2672" t="s">
        <v>39</v>
      </c>
      <c r="D2672" t="s">
        <v>41</v>
      </c>
      <c r="E2672">
        <v>2000716276</v>
      </c>
      <c r="F2672">
        <v>800</v>
      </c>
      <c r="G2672">
        <v>80</v>
      </c>
      <c r="H2672">
        <v>0</v>
      </c>
      <c r="I2672" t="s">
        <v>185</v>
      </c>
      <c r="J2672" t="s">
        <v>172</v>
      </c>
      <c r="K2672" t="s">
        <v>173</v>
      </c>
      <c r="O2672">
        <v>0</v>
      </c>
      <c r="U2672" t="s">
        <v>81</v>
      </c>
    </row>
    <row r="2673" spans="1:21" x14ac:dyDescent="0.25">
      <c r="A2673" s="33">
        <v>2688</v>
      </c>
      <c r="B2673" s="24">
        <v>44263</v>
      </c>
      <c r="C2673" t="s">
        <v>39</v>
      </c>
      <c r="D2673" t="s">
        <v>41</v>
      </c>
      <c r="E2673">
        <v>2000716281</v>
      </c>
      <c r="F2673">
        <v>1100</v>
      </c>
      <c r="G2673">
        <v>80</v>
      </c>
      <c r="H2673">
        <v>0</v>
      </c>
      <c r="I2673" t="s">
        <v>185</v>
      </c>
      <c r="J2673" t="s">
        <v>172</v>
      </c>
      <c r="K2673" t="s">
        <v>173</v>
      </c>
      <c r="O2673">
        <v>0</v>
      </c>
      <c r="U2673" t="s">
        <v>81</v>
      </c>
    </row>
    <row r="2674" spans="1:21" x14ac:dyDescent="0.25">
      <c r="A2674" s="33">
        <v>2689</v>
      </c>
      <c r="B2674" s="24">
        <v>44263</v>
      </c>
      <c r="C2674" t="s">
        <v>39</v>
      </c>
      <c r="D2674" t="s">
        <v>41</v>
      </c>
      <c r="E2674">
        <v>2000716476</v>
      </c>
      <c r="F2674">
        <v>440</v>
      </c>
      <c r="G2674">
        <v>80</v>
      </c>
      <c r="H2674">
        <v>0</v>
      </c>
      <c r="I2674" t="s">
        <v>185</v>
      </c>
      <c r="J2674" t="s">
        <v>645</v>
      </c>
      <c r="K2674" t="s">
        <v>790</v>
      </c>
      <c r="O2674">
        <v>0</v>
      </c>
      <c r="U2674" t="s">
        <v>81</v>
      </c>
    </row>
    <row r="2675" spans="1:21" x14ac:dyDescent="0.25">
      <c r="A2675" s="33">
        <v>2690</v>
      </c>
      <c r="B2675" s="24">
        <v>44263</v>
      </c>
      <c r="C2675" t="s">
        <v>39</v>
      </c>
      <c r="D2675" t="s">
        <v>41</v>
      </c>
      <c r="E2675">
        <v>2000715074</v>
      </c>
      <c r="F2675">
        <v>1410</v>
      </c>
      <c r="G2675">
        <v>120</v>
      </c>
      <c r="H2675">
        <v>0</v>
      </c>
      <c r="I2675" t="s">
        <v>185</v>
      </c>
      <c r="J2675" t="s">
        <v>172</v>
      </c>
      <c r="K2675" t="s">
        <v>724</v>
      </c>
      <c r="O2675">
        <v>0</v>
      </c>
      <c r="U2675" t="s">
        <v>81</v>
      </c>
    </row>
    <row r="2676" spans="1:21" x14ac:dyDescent="0.25">
      <c r="A2676" s="33">
        <v>2691</v>
      </c>
      <c r="B2676" s="24">
        <v>44263</v>
      </c>
      <c r="C2676" t="s">
        <v>39</v>
      </c>
      <c r="D2676" t="s">
        <v>41</v>
      </c>
      <c r="E2676">
        <v>2000716654</v>
      </c>
      <c r="F2676">
        <v>1200</v>
      </c>
      <c r="G2676">
        <v>80</v>
      </c>
      <c r="H2676">
        <v>0</v>
      </c>
      <c r="I2676" t="s">
        <v>185</v>
      </c>
      <c r="J2676" t="s">
        <v>687</v>
      </c>
      <c r="K2676" t="s">
        <v>898</v>
      </c>
      <c r="O2676">
        <v>0</v>
      </c>
      <c r="U2676" t="s">
        <v>81</v>
      </c>
    </row>
    <row r="2677" spans="1:21" x14ac:dyDescent="0.25">
      <c r="A2677" s="33">
        <v>2692</v>
      </c>
      <c r="B2677" s="24">
        <v>44263</v>
      </c>
      <c r="C2677" t="s">
        <v>39</v>
      </c>
      <c r="D2677" t="s">
        <v>41</v>
      </c>
      <c r="E2677">
        <v>2000716461</v>
      </c>
      <c r="F2677">
        <v>320</v>
      </c>
      <c r="G2677">
        <v>40</v>
      </c>
      <c r="H2677">
        <v>0</v>
      </c>
      <c r="I2677" t="s">
        <v>178</v>
      </c>
      <c r="J2677" t="s">
        <v>174</v>
      </c>
      <c r="K2677" t="s">
        <v>722</v>
      </c>
      <c r="O2677">
        <v>0</v>
      </c>
      <c r="U2677" t="s">
        <v>81</v>
      </c>
    </row>
    <row r="2678" spans="1:21" x14ac:dyDescent="0.25">
      <c r="A2678" s="33">
        <v>2693</v>
      </c>
      <c r="B2678" s="24">
        <v>44263</v>
      </c>
      <c r="C2678" t="s">
        <v>39</v>
      </c>
      <c r="D2678" t="s">
        <v>41</v>
      </c>
      <c r="E2678">
        <v>2000716466</v>
      </c>
      <c r="F2678">
        <v>360</v>
      </c>
      <c r="G2678">
        <v>360</v>
      </c>
      <c r="H2678">
        <v>0</v>
      </c>
      <c r="I2678" t="s">
        <v>178</v>
      </c>
      <c r="J2678" t="s">
        <v>174</v>
      </c>
      <c r="K2678" t="s">
        <v>662</v>
      </c>
      <c r="O2678">
        <v>0</v>
      </c>
      <c r="U2678" t="s">
        <v>81</v>
      </c>
    </row>
    <row r="2679" spans="1:21" x14ac:dyDescent="0.25">
      <c r="A2679" s="33">
        <v>2694</v>
      </c>
      <c r="B2679" s="24">
        <v>44263</v>
      </c>
      <c r="C2679" t="s">
        <v>39</v>
      </c>
      <c r="D2679" t="s">
        <v>41</v>
      </c>
      <c r="E2679">
        <v>2000716457</v>
      </c>
      <c r="F2679">
        <v>280</v>
      </c>
      <c r="G2679">
        <v>40</v>
      </c>
      <c r="H2679">
        <v>0</v>
      </c>
      <c r="I2679" t="s">
        <v>178</v>
      </c>
      <c r="J2679" t="s">
        <v>174</v>
      </c>
      <c r="K2679" t="s">
        <v>662</v>
      </c>
      <c r="O2679">
        <v>0</v>
      </c>
      <c r="U2679" t="s">
        <v>81</v>
      </c>
    </row>
    <row r="2680" spans="1:21" x14ac:dyDescent="0.25">
      <c r="A2680" s="33">
        <v>2695</v>
      </c>
      <c r="B2680" s="24">
        <v>44263</v>
      </c>
      <c r="C2680" t="s">
        <v>39</v>
      </c>
      <c r="D2680" t="s">
        <v>41</v>
      </c>
      <c r="E2680">
        <v>2000716321</v>
      </c>
      <c r="F2680">
        <v>500</v>
      </c>
      <c r="G2680">
        <v>240</v>
      </c>
      <c r="H2680">
        <v>0</v>
      </c>
      <c r="I2680" t="s">
        <v>178</v>
      </c>
      <c r="J2680" t="s">
        <v>174</v>
      </c>
      <c r="K2680" t="s">
        <v>805</v>
      </c>
      <c r="O2680">
        <v>0</v>
      </c>
      <c r="U2680" t="s">
        <v>81</v>
      </c>
    </row>
    <row r="2681" spans="1:21" x14ac:dyDescent="0.25">
      <c r="A2681" s="33">
        <v>2696</v>
      </c>
      <c r="B2681" s="24">
        <v>44263</v>
      </c>
      <c r="C2681" t="s">
        <v>39</v>
      </c>
      <c r="D2681" t="s">
        <v>41</v>
      </c>
      <c r="E2681">
        <v>2000716292</v>
      </c>
      <c r="F2681">
        <v>1000</v>
      </c>
      <c r="G2681">
        <v>90</v>
      </c>
      <c r="H2681">
        <v>0</v>
      </c>
      <c r="I2681" t="s">
        <v>178</v>
      </c>
      <c r="J2681" t="s">
        <v>174</v>
      </c>
      <c r="K2681" t="s">
        <v>774</v>
      </c>
      <c r="O2681">
        <v>0</v>
      </c>
      <c r="U2681" t="s">
        <v>81</v>
      </c>
    </row>
    <row r="2682" spans="1:21" x14ac:dyDescent="0.25">
      <c r="A2682" s="33">
        <v>2697</v>
      </c>
      <c r="B2682" s="24">
        <v>44263</v>
      </c>
      <c r="C2682" t="s">
        <v>39</v>
      </c>
      <c r="D2682" t="s">
        <v>41</v>
      </c>
      <c r="E2682">
        <v>2000716462</v>
      </c>
      <c r="F2682">
        <v>150</v>
      </c>
      <c r="G2682">
        <v>20</v>
      </c>
      <c r="H2682">
        <v>0</v>
      </c>
      <c r="I2682" t="s">
        <v>178</v>
      </c>
      <c r="J2682" t="s">
        <v>174</v>
      </c>
      <c r="K2682" t="s">
        <v>177</v>
      </c>
      <c r="O2682">
        <v>0</v>
      </c>
      <c r="U2682" t="s">
        <v>81</v>
      </c>
    </row>
    <row r="2683" spans="1:21" x14ac:dyDescent="0.25">
      <c r="A2683" s="33">
        <v>2698</v>
      </c>
      <c r="B2683" s="24">
        <v>44263</v>
      </c>
      <c r="C2683" t="s">
        <v>39</v>
      </c>
      <c r="D2683" t="s">
        <v>41</v>
      </c>
      <c r="E2683">
        <v>2000716292</v>
      </c>
      <c r="F2683">
        <v>1000</v>
      </c>
      <c r="G2683">
        <v>775</v>
      </c>
      <c r="H2683">
        <v>0</v>
      </c>
      <c r="I2683" t="s">
        <v>661</v>
      </c>
      <c r="J2683" t="s">
        <v>174</v>
      </c>
      <c r="K2683" t="s">
        <v>774</v>
      </c>
      <c r="O2683">
        <v>0</v>
      </c>
      <c r="U2683" t="s">
        <v>81</v>
      </c>
    </row>
    <row r="2684" spans="1:21" x14ac:dyDescent="0.25">
      <c r="A2684" s="33">
        <v>2699</v>
      </c>
      <c r="B2684" s="24">
        <v>44263</v>
      </c>
      <c r="C2684" t="s">
        <v>39</v>
      </c>
      <c r="D2684" t="s">
        <v>41</v>
      </c>
      <c r="E2684">
        <v>2000716662</v>
      </c>
      <c r="F2684">
        <v>1000</v>
      </c>
      <c r="G2684">
        <v>55</v>
      </c>
      <c r="H2684">
        <v>0</v>
      </c>
      <c r="I2684" t="s">
        <v>661</v>
      </c>
      <c r="J2684" t="s">
        <v>174</v>
      </c>
      <c r="K2684" t="s">
        <v>774</v>
      </c>
      <c r="O2684">
        <v>0</v>
      </c>
      <c r="U2684" t="s">
        <v>81</v>
      </c>
    </row>
    <row r="2685" spans="1:21" x14ac:dyDescent="0.25">
      <c r="A2685" s="33">
        <v>2700</v>
      </c>
      <c r="B2685" s="24">
        <v>44263</v>
      </c>
      <c r="C2685" t="s">
        <v>39</v>
      </c>
      <c r="D2685" t="s">
        <v>41</v>
      </c>
      <c r="E2685">
        <v>2000716458</v>
      </c>
      <c r="F2685">
        <v>220</v>
      </c>
      <c r="G2685">
        <v>140</v>
      </c>
      <c r="H2685">
        <v>0</v>
      </c>
      <c r="I2685" t="s">
        <v>180</v>
      </c>
      <c r="J2685" t="s">
        <v>174</v>
      </c>
      <c r="K2685" t="s">
        <v>695</v>
      </c>
      <c r="O2685">
        <v>0</v>
      </c>
      <c r="U2685" t="s">
        <v>81</v>
      </c>
    </row>
    <row r="2686" spans="1:21" x14ac:dyDescent="0.25">
      <c r="A2686" s="33">
        <v>2701</v>
      </c>
      <c r="B2686" s="24">
        <v>44263</v>
      </c>
      <c r="C2686" t="s">
        <v>39</v>
      </c>
      <c r="D2686" t="s">
        <v>41</v>
      </c>
      <c r="E2686">
        <v>2000716707</v>
      </c>
      <c r="F2686">
        <v>300</v>
      </c>
      <c r="G2686">
        <v>160</v>
      </c>
      <c r="H2686">
        <v>0</v>
      </c>
      <c r="I2686" t="s">
        <v>180</v>
      </c>
      <c r="J2686" t="s">
        <v>174</v>
      </c>
      <c r="K2686" t="s">
        <v>722</v>
      </c>
      <c r="O2686">
        <v>0</v>
      </c>
      <c r="U2686" t="s">
        <v>81</v>
      </c>
    </row>
    <row r="2687" spans="1:21" x14ac:dyDescent="0.25">
      <c r="A2687" s="33">
        <v>2702</v>
      </c>
      <c r="B2687" s="24">
        <v>44263</v>
      </c>
      <c r="C2687" t="s">
        <v>39</v>
      </c>
      <c r="D2687" t="s">
        <v>41</v>
      </c>
      <c r="E2687">
        <v>2000716462</v>
      </c>
      <c r="F2687">
        <v>150</v>
      </c>
      <c r="G2687">
        <v>20</v>
      </c>
      <c r="H2687">
        <v>0</v>
      </c>
      <c r="I2687" t="s">
        <v>180</v>
      </c>
      <c r="J2687" t="s">
        <v>174</v>
      </c>
      <c r="K2687" t="s">
        <v>177</v>
      </c>
      <c r="O2687">
        <v>0</v>
      </c>
      <c r="U2687" t="s">
        <v>81</v>
      </c>
    </row>
    <row r="2688" spans="1:21" x14ac:dyDescent="0.25">
      <c r="A2688" s="33">
        <v>2703</v>
      </c>
      <c r="B2688" s="24">
        <v>44263</v>
      </c>
      <c r="C2688" t="s">
        <v>39</v>
      </c>
      <c r="D2688" t="s">
        <v>41</v>
      </c>
      <c r="E2688">
        <v>2000716455</v>
      </c>
      <c r="F2688">
        <v>1200</v>
      </c>
      <c r="G2688">
        <v>250</v>
      </c>
      <c r="H2688">
        <v>0</v>
      </c>
      <c r="I2688" t="s">
        <v>1021</v>
      </c>
      <c r="J2688" t="s">
        <v>196</v>
      </c>
      <c r="K2688" t="s">
        <v>738</v>
      </c>
      <c r="O2688">
        <v>0</v>
      </c>
      <c r="U2688" t="s">
        <v>81</v>
      </c>
    </row>
    <row r="2689" spans="1:21" x14ac:dyDescent="0.25">
      <c r="A2689" s="33">
        <v>2704</v>
      </c>
      <c r="B2689" s="24">
        <v>44263</v>
      </c>
      <c r="C2689" t="s">
        <v>39</v>
      </c>
      <c r="D2689" t="s">
        <v>41</v>
      </c>
      <c r="E2689">
        <v>2000715606</v>
      </c>
      <c r="F2689">
        <v>3600</v>
      </c>
      <c r="G2689">
        <v>300</v>
      </c>
      <c r="H2689">
        <v>0</v>
      </c>
      <c r="I2689" t="s">
        <v>1021</v>
      </c>
      <c r="J2689" t="s">
        <v>169</v>
      </c>
      <c r="K2689" t="s">
        <v>652</v>
      </c>
      <c r="O2689">
        <v>0</v>
      </c>
      <c r="U2689" t="s">
        <v>81</v>
      </c>
    </row>
    <row r="2690" spans="1:21" x14ac:dyDescent="0.25">
      <c r="A2690" s="33">
        <v>2705</v>
      </c>
      <c r="B2690" s="24">
        <v>44263</v>
      </c>
      <c r="C2690" t="s">
        <v>39</v>
      </c>
      <c r="D2690" t="s">
        <v>41</v>
      </c>
      <c r="E2690">
        <v>2000715760</v>
      </c>
      <c r="F2690">
        <v>440</v>
      </c>
      <c r="G2690">
        <v>80</v>
      </c>
      <c r="H2690">
        <v>0</v>
      </c>
      <c r="I2690" t="s">
        <v>1039</v>
      </c>
      <c r="J2690" t="s">
        <v>645</v>
      </c>
      <c r="K2690" t="s">
        <v>719</v>
      </c>
      <c r="O2690">
        <v>0</v>
      </c>
      <c r="U2690" t="s">
        <v>81</v>
      </c>
    </row>
    <row r="2691" spans="1:21" x14ac:dyDescent="0.25">
      <c r="A2691" s="33">
        <v>2706</v>
      </c>
      <c r="B2691" s="24">
        <v>44263</v>
      </c>
      <c r="C2691" t="s">
        <v>39</v>
      </c>
      <c r="D2691" t="s">
        <v>41</v>
      </c>
      <c r="E2691">
        <v>2000715184</v>
      </c>
      <c r="F2691">
        <v>6352</v>
      </c>
      <c r="G2691">
        <v>920</v>
      </c>
      <c r="H2691">
        <v>0</v>
      </c>
      <c r="I2691" t="s">
        <v>666</v>
      </c>
      <c r="J2691" t="s">
        <v>200</v>
      </c>
      <c r="K2691" t="s">
        <v>653</v>
      </c>
      <c r="O2691">
        <v>0</v>
      </c>
      <c r="U2691" t="s">
        <v>81</v>
      </c>
    </row>
    <row r="2692" spans="1:21" x14ac:dyDescent="0.25">
      <c r="A2692" s="33">
        <v>2707</v>
      </c>
      <c r="B2692" s="24">
        <v>44263</v>
      </c>
      <c r="C2692" t="s">
        <v>39</v>
      </c>
      <c r="D2692" t="s">
        <v>41</v>
      </c>
      <c r="E2692">
        <v>2000715184</v>
      </c>
      <c r="F2692">
        <v>6352</v>
      </c>
      <c r="G2692">
        <v>120</v>
      </c>
      <c r="H2692">
        <v>0</v>
      </c>
      <c r="I2692" t="s">
        <v>666</v>
      </c>
      <c r="J2692" t="s">
        <v>200</v>
      </c>
      <c r="K2692" t="s">
        <v>653</v>
      </c>
      <c r="O2692">
        <v>0</v>
      </c>
      <c r="U2692" t="s">
        <v>81</v>
      </c>
    </row>
    <row r="2693" spans="1:21" x14ac:dyDescent="0.25">
      <c r="A2693" s="33">
        <v>2708</v>
      </c>
      <c r="B2693" s="24">
        <v>44263</v>
      </c>
      <c r="C2693" t="s">
        <v>39</v>
      </c>
      <c r="D2693" t="s">
        <v>41</v>
      </c>
      <c r="E2693">
        <v>2000716321</v>
      </c>
      <c r="F2693">
        <v>500</v>
      </c>
      <c r="G2693">
        <v>40</v>
      </c>
      <c r="H2693">
        <v>0</v>
      </c>
      <c r="I2693" t="s">
        <v>666</v>
      </c>
      <c r="J2693" t="s">
        <v>174</v>
      </c>
      <c r="K2693" t="s">
        <v>805</v>
      </c>
      <c r="O2693">
        <v>0</v>
      </c>
      <c r="U2693" t="s">
        <v>81</v>
      </c>
    </row>
    <row r="2694" spans="1:21" x14ac:dyDescent="0.25">
      <c r="A2694" s="33">
        <v>2709</v>
      </c>
      <c r="B2694" s="24">
        <v>44263</v>
      </c>
      <c r="C2694" t="s">
        <v>39</v>
      </c>
      <c r="D2694" t="s">
        <v>41</v>
      </c>
      <c r="E2694">
        <v>2000715760</v>
      </c>
      <c r="F2694">
        <v>440</v>
      </c>
      <c r="G2694">
        <v>60</v>
      </c>
      <c r="H2694">
        <v>0</v>
      </c>
      <c r="I2694" t="s">
        <v>666</v>
      </c>
      <c r="J2694" t="s">
        <v>645</v>
      </c>
      <c r="K2694" t="s">
        <v>719</v>
      </c>
      <c r="O2694">
        <v>0</v>
      </c>
      <c r="U2694" t="s">
        <v>81</v>
      </c>
    </row>
    <row r="2695" spans="1:21" x14ac:dyDescent="0.25">
      <c r="A2695" s="33">
        <v>2710</v>
      </c>
      <c r="B2695" s="24">
        <v>44263</v>
      </c>
      <c r="C2695" t="s">
        <v>39</v>
      </c>
      <c r="D2695" t="s">
        <v>41</v>
      </c>
      <c r="E2695">
        <v>2000715863</v>
      </c>
      <c r="F2695">
        <v>2400</v>
      </c>
      <c r="G2695">
        <v>40</v>
      </c>
      <c r="H2695">
        <v>0</v>
      </c>
      <c r="I2695" t="s">
        <v>194</v>
      </c>
      <c r="J2695" t="s">
        <v>645</v>
      </c>
      <c r="K2695" t="s">
        <v>721</v>
      </c>
      <c r="O2695">
        <v>0</v>
      </c>
      <c r="U2695" t="s">
        <v>81</v>
      </c>
    </row>
    <row r="2696" spans="1:21" x14ac:dyDescent="0.25">
      <c r="A2696" s="33">
        <v>2711</v>
      </c>
      <c r="B2696" s="24">
        <v>44263</v>
      </c>
      <c r="C2696" t="s">
        <v>39</v>
      </c>
      <c r="D2696" t="s">
        <v>41</v>
      </c>
      <c r="E2696">
        <v>2000716262</v>
      </c>
      <c r="F2696">
        <v>1050</v>
      </c>
      <c r="G2696">
        <v>140</v>
      </c>
      <c r="H2696">
        <v>0</v>
      </c>
      <c r="I2696" t="s">
        <v>194</v>
      </c>
      <c r="J2696" t="s">
        <v>193</v>
      </c>
      <c r="K2696" t="s">
        <v>647</v>
      </c>
      <c r="O2696">
        <v>0</v>
      </c>
      <c r="U2696" t="s">
        <v>81</v>
      </c>
    </row>
    <row r="2697" spans="1:21" x14ac:dyDescent="0.25">
      <c r="A2697" s="33">
        <v>2712</v>
      </c>
      <c r="B2697" s="24">
        <v>44263</v>
      </c>
      <c r="C2697" t="s">
        <v>39</v>
      </c>
      <c r="D2697" t="s">
        <v>41</v>
      </c>
      <c r="E2697">
        <v>2000716660</v>
      </c>
      <c r="F2697">
        <v>600</v>
      </c>
      <c r="G2697">
        <v>20</v>
      </c>
      <c r="H2697">
        <v>0</v>
      </c>
      <c r="I2697" t="s">
        <v>194</v>
      </c>
      <c r="J2697" t="s">
        <v>193</v>
      </c>
      <c r="K2697" t="s">
        <v>647</v>
      </c>
      <c r="O2697">
        <v>0</v>
      </c>
      <c r="U2697" t="s">
        <v>81</v>
      </c>
    </row>
    <row r="2698" spans="1:21" x14ac:dyDescent="0.25">
      <c r="A2698" s="33">
        <v>2713</v>
      </c>
      <c r="B2698" s="24">
        <v>44263</v>
      </c>
      <c r="C2698" t="s">
        <v>39</v>
      </c>
      <c r="D2698" t="s">
        <v>41</v>
      </c>
      <c r="E2698">
        <v>2000715219</v>
      </c>
      <c r="F2698">
        <v>3000</v>
      </c>
      <c r="G2698">
        <v>120</v>
      </c>
      <c r="H2698">
        <v>0</v>
      </c>
      <c r="I2698" t="s">
        <v>194</v>
      </c>
      <c r="J2698" t="s">
        <v>687</v>
      </c>
      <c r="K2698" t="s">
        <v>688</v>
      </c>
      <c r="O2698">
        <v>0</v>
      </c>
      <c r="U2698" t="s">
        <v>81</v>
      </c>
    </row>
    <row r="2699" spans="1:21" x14ac:dyDescent="0.25">
      <c r="A2699" s="33">
        <v>2714</v>
      </c>
      <c r="B2699" s="24">
        <v>44263</v>
      </c>
      <c r="C2699" t="s">
        <v>39</v>
      </c>
      <c r="D2699" t="s">
        <v>41</v>
      </c>
      <c r="E2699">
        <v>2000716292</v>
      </c>
      <c r="F2699">
        <v>1000</v>
      </c>
      <c r="G2699">
        <v>90</v>
      </c>
      <c r="H2699">
        <v>0</v>
      </c>
      <c r="I2699" t="s">
        <v>194</v>
      </c>
      <c r="J2699" t="s">
        <v>174</v>
      </c>
      <c r="K2699" t="s">
        <v>774</v>
      </c>
      <c r="O2699">
        <v>0</v>
      </c>
      <c r="U2699" t="s">
        <v>81</v>
      </c>
    </row>
    <row r="2700" spans="1:21" x14ac:dyDescent="0.25">
      <c r="A2700" s="33">
        <v>2715</v>
      </c>
      <c r="B2700" s="24">
        <v>44263</v>
      </c>
      <c r="C2700" t="s">
        <v>39</v>
      </c>
      <c r="D2700" t="s">
        <v>41</v>
      </c>
      <c r="E2700">
        <v>2000716662</v>
      </c>
      <c r="F2700">
        <v>1000</v>
      </c>
      <c r="G2700">
        <v>135</v>
      </c>
      <c r="H2700">
        <v>0</v>
      </c>
      <c r="I2700" t="s">
        <v>194</v>
      </c>
      <c r="J2700" t="s">
        <v>174</v>
      </c>
      <c r="K2700" t="s">
        <v>774</v>
      </c>
      <c r="O2700">
        <v>0</v>
      </c>
      <c r="U2700" t="s">
        <v>81</v>
      </c>
    </row>
    <row r="2701" spans="1:21" x14ac:dyDescent="0.25">
      <c r="A2701" s="33">
        <v>2716</v>
      </c>
      <c r="B2701" s="24">
        <v>44263</v>
      </c>
      <c r="C2701" t="s">
        <v>39</v>
      </c>
      <c r="D2701" t="s">
        <v>41</v>
      </c>
      <c r="E2701">
        <v>2000713862</v>
      </c>
      <c r="F2701">
        <v>2640</v>
      </c>
      <c r="G2701">
        <v>240</v>
      </c>
      <c r="H2701">
        <v>0</v>
      </c>
      <c r="I2701" t="s">
        <v>1040</v>
      </c>
      <c r="J2701" t="s">
        <v>203</v>
      </c>
      <c r="K2701" t="s">
        <v>640</v>
      </c>
      <c r="O2701">
        <v>0</v>
      </c>
      <c r="U2701" t="s">
        <v>81</v>
      </c>
    </row>
    <row r="2702" spans="1:21" x14ac:dyDescent="0.25">
      <c r="A2702" s="33">
        <v>2717</v>
      </c>
      <c r="B2702" s="24">
        <v>44263</v>
      </c>
      <c r="C2702" t="s">
        <v>39</v>
      </c>
      <c r="D2702" t="s">
        <v>41</v>
      </c>
      <c r="E2702">
        <v>2000715710</v>
      </c>
      <c r="F2702">
        <v>1150</v>
      </c>
      <c r="G2702">
        <v>200</v>
      </c>
      <c r="H2702">
        <v>0</v>
      </c>
      <c r="I2702" t="s">
        <v>1040</v>
      </c>
      <c r="J2702" t="s">
        <v>196</v>
      </c>
      <c r="K2702" t="s">
        <v>685</v>
      </c>
      <c r="O2702">
        <v>0</v>
      </c>
      <c r="U2702" t="s">
        <v>81</v>
      </c>
    </row>
    <row r="2703" spans="1:21" ht="60" x14ac:dyDescent="0.25">
      <c r="A2703" s="33">
        <v>2718</v>
      </c>
      <c r="B2703" s="24">
        <v>44263</v>
      </c>
      <c r="C2703" t="s">
        <v>39</v>
      </c>
      <c r="D2703" t="s">
        <v>41</v>
      </c>
      <c r="E2703">
        <v>2000715915</v>
      </c>
      <c r="F2703">
        <v>6600</v>
      </c>
      <c r="G2703">
        <v>1200</v>
      </c>
      <c r="H2703">
        <v>0</v>
      </c>
      <c r="I2703" t="s">
        <v>1040</v>
      </c>
      <c r="J2703" t="s">
        <v>200</v>
      </c>
      <c r="K2703" t="s">
        <v>737</v>
      </c>
      <c r="O2703">
        <v>0</v>
      </c>
      <c r="T2703" s="62" t="s">
        <v>821</v>
      </c>
      <c r="U2703" t="s">
        <v>81</v>
      </c>
    </row>
    <row r="2704" spans="1:21" x14ac:dyDescent="0.25">
      <c r="A2704" s="33">
        <v>2719</v>
      </c>
      <c r="B2704" s="24">
        <v>44263</v>
      </c>
      <c r="C2704" t="s">
        <v>39</v>
      </c>
      <c r="D2704" t="s">
        <v>41</v>
      </c>
      <c r="E2704">
        <v>2000715861</v>
      </c>
      <c r="F2704">
        <v>2400</v>
      </c>
      <c r="G2704">
        <v>150</v>
      </c>
      <c r="H2704">
        <v>0</v>
      </c>
      <c r="I2704" t="s">
        <v>1040</v>
      </c>
      <c r="J2704" t="s">
        <v>645</v>
      </c>
      <c r="K2704" t="s">
        <v>739</v>
      </c>
      <c r="O2704">
        <v>0</v>
      </c>
      <c r="U2704" t="s">
        <v>81</v>
      </c>
    </row>
    <row r="2705" spans="1:21" x14ac:dyDescent="0.25">
      <c r="A2705" s="33">
        <v>2720</v>
      </c>
      <c r="B2705" s="24">
        <v>44263</v>
      </c>
      <c r="C2705" t="s">
        <v>39</v>
      </c>
      <c r="D2705" t="s">
        <v>51</v>
      </c>
      <c r="E2705">
        <v>2000716002</v>
      </c>
      <c r="F2705">
        <v>120</v>
      </c>
      <c r="G2705">
        <v>90</v>
      </c>
      <c r="H2705">
        <v>0</v>
      </c>
      <c r="I2705" t="s">
        <v>191</v>
      </c>
      <c r="J2705" t="s">
        <v>669</v>
      </c>
      <c r="K2705" t="s">
        <v>741</v>
      </c>
      <c r="O2705">
        <v>0</v>
      </c>
      <c r="U2705" t="s">
        <v>81</v>
      </c>
    </row>
    <row r="2706" spans="1:21" x14ac:dyDescent="0.25">
      <c r="A2706" s="33">
        <v>2721</v>
      </c>
      <c r="B2706" s="24">
        <v>44263</v>
      </c>
      <c r="C2706" t="s">
        <v>39</v>
      </c>
      <c r="D2706" t="s">
        <v>51</v>
      </c>
      <c r="E2706">
        <v>2000716001</v>
      </c>
      <c r="F2706">
        <v>250</v>
      </c>
      <c r="G2706">
        <v>250</v>
      </c>
      <c r="H2706">
        <v>0</v>
      </c>
      <c r="I2706" t="s">
        <v>191</v>
      </c>
      <c r="J2706" t="s">
        <v>669</v>
      </c>
      <c r="K2706" t="s">
        <v>707</v>
      </c>
      <c r="O2706">
        <v>0</v>
      </c>
      <c r="U2706" t="s">
        <v>81</v>
      </c>
    </row>
    <row r="2707" spans="1:21" x14ac:dyDescent="0.25">
      <c r="A2707" s="33">
        <v>2722</v>
      </c>
      <c r="B2707" s="24">
        <v>44263</v>
      </c>
      <c r="C2707" t="s">
        <v>39</v>
      </c>
      <c r="D2707" t="s">
        <v>51</v>
      </c>
      <c r="E2707">
        <v>2000714436</v>
      </c>
      <c r="F2707">
        <v>700</v>
      </c>
      <c r="G2707">
        <v>10</v>
      </c>
      <c r="H2707">
        <v>0</v>
      </c>
      <c r="I2707" t="s">
        <v>191</v>
      </c>
      <c r="J2707" t="s">
        <v>669</v>
      </c>
      <c r="K2707" t="s">
        <v>707</v>
      </c>
      <c r="O2707">
        <v>0</v>
      </c>
      <c r="U2707" t="s">
        <v>81</v>
      </c>
    </row>
    <row r="2708" spans="1:21" x14ac:dyDescent="0.25">
      <c r="A2708" s="33">
        <v>2723</v>
      </c>
      <c r="B2708" s="24">
        <v>44263</v>
      </c>
      <c r="C2708" t="s">
        <v>39</v>
      </c>
      <c r="D2708" t="s">
        <v>51</v>
      </c>
      <c r="E2708">
        <v>2000715996</v>
      </c>
      <c r="F2708">
        <v>810</v>
      </c>
      <c r="G2708">
        <v>300</v>
      </c>
      <c r="H2708">
        <v>0</v>
      </c>
      <c r="I2708" t="s">
        <v>191</v>
      </c>
      <c r="J2708" t="s">
        <v>667</v>
      </c>
      <c r="K2708" t="s">
        <v>769</v>
      </c>
      <c r="O2708">
        <v>0</v>
      </c>
      <c r="U2708" t="s">
        <v>81</v>
      </c>
    </row>
    <row r="2709" spans="1:21" x14ac:dyDescent="0.25">
      <c r="A2709" s="33">
        <v>2724</v>
      </c>
      <c r="B2709" s="24">
        <v>44263</v>
      </c>
      <c r="C2709" t="s">
        <v>39</v>
      </c>
      <c r="D2709" t="s">
        <v>51</v>
      </c>
      <c r="E2709">
        <v>2000715659</v>
      </c>
      <c r="F2709">
        <v>1140</v>
      </c>
      <c r="G2709">
        <v>105</v>
      </c>
      <c r="H2709">
        <v>0</v>
      </c>
      <c r="I2709" t="s">
        <v>191</v>
      </c>
      <c r="J2709" t="s">
        <v>667</v>
      </c>
      <c r="K2709" t="s">
        <v>671</v>
      </c>
      <c r="O2709">
        <v>0</v>
      </c>
      <c r="U2709" t="s">
        <v>81</v>
      </c>
    </row>
    <row r="2710" spans="1:21" x14ac:dyDescent="0.25">
      <c r="A2710" s="33">
        <v>2725</v>
      </c>
      <c r="B2710" s="24">
        <v>44263</v>
      </c>
      <c r="C2710" t="s">
        <v>39</v>
      </c>
      <c r="D2710" t="s">
        <v>51</v>
      </c>
      <c r="E2710">
        <v>2000716005</v>
      </c>
      <c r="F2710">
        <v>430</v>
      </c>
      <c r="G2710">
        <v>320</v>
      </c>
      <c r="H2710">
        <v>0</v>
      </c>
      <c r="I2710" t="s">
        <v>191</v>
      </c>
      <c r="J2710" t="s">
        <v>673</v>
      </c>
      <c r="K2710" t="s">
        <v>742</v>
      </c>
      <c r="O2710">
        <v>0</v>
      </c>
      <c r="U2710" t="s">
        <v>81</v>
      </c>
    </row>
    <row r="2711" spans="1:21" x14ac:dyDescent="0.25">
      <c r="A2711" s="33">
        <v>2726</v>
      </c>
      <c r="B2711" s="24">
        <v>44263</v>
      </c>
      <c r="C2711" t="s">
        <v>39</v>
      </c>
      <c r="D2711" t="s">
        <v>51</v>
      </c>
      <c r="E2711">
        <v>2000716426</v>
      </c>
      <c r="F2711">
        <v>800</v>
      </c>
      <c r="G2711">
        <v>440</v>
      </c>
      <c r="H2711">
        <v>0</v>
      </c>
      <c r="I2711" t="s">
        <v>191</v>
      </c>
      <c r="J2711" t="s">
        <v>667</v>
      </c>
      <c r="K2711" t="s">
        <v>730</v>
      </c>
      <c r="O2711">
        <v>0</v>
      </c>
      <c r="U2711" t="s">
        <v>81</v>
      </c>
    </row>
    <row r="2712" spans="1:21" x14ac:dyDescent="0.25">
      <c r="A2712" s="33">
        <v>2727</v>
      </c>
      <c r="B2712" s="24">
        <v>44263</v>
      </c>
      <c r="C2712" t="s">
        <v>39</v>
      </c>
      <c r="D2712" t="s">
        <v>51</v>
      </c>
      <c r="E2712">
        <v>2000716585</v>
      </c>
      <c r="F2712">
        <v>800</v>
      </c>
      <c r="G2712">
        <v>360</v>
      </c>
      <c r="H2712">
        <v>0</v>
      </c>
      <c r="I2712" t="s">
        <v>191</v>
      </c>
      <c r="J2712" t="s">
        <v>667</v>
      </c>
      <c r="K2712" t="s">
        <v>730</v>
      </c>
      <c r="O2712">
        <v>0</v>
      </c>
      <c r="U2712" t="s">
        <v>81</v>
      </c>
    </row>
    <row r="2713" spans="1:21" x14ac:dyDescent="0.25">
      <c r="A2713" s="33">
        <v>2728</v>
      </c>
      <c r="B2713" s="24">
        <v>44263</v>
      </c>
      <c r="C2713" t="s">
        <v>181</v>
      </c>
      <c r="D2713" t="s">
        <v>41</v>
      </c>
      <c r="E2713">
        <v>2000716462</v>
      </c>
      <c r="F2713">
        <v>150</v>
      </c>
      <c r="G2713">
        <v>40</v>
      </c>
      <c r="H2713">
        <v>0</v>
      </c>
      <c r="I2713" t="s">
        <v>696</v>
      </c>
      <c r="J2713" t="s">
        <v>174</v>
      </c>
      <c r="K2713" t="s">
        <v>177</v>
      </c>
      <c r="O2713">
        <v>0</v>
      </c>
      <c r="U2713" t="s">
        <v>81</v>
      </c>
    </row>
    <row r="2714" spans="1:21" x14ac:dyDescent="0.25">
      <c r="A2714" s="33">
        <v>2729</v>
      </c>
      <c r="B2714" s="24">
        <v>44263</v>
      </c>
      <c r="C2714" t="s">
        <v>181</v>
      </c>
      <c r="D2714" t="s">
        <v>41</v>
      </c>
      <c r="E2714">
        <v>2000716707</v>
      </c>
      <c r="F2714">
        <v>300</v>
      </c>
      <c r="G2714">
        <v>120</v>
      </c>
      <c r="H2714">
        <v>0</v>
      </c>
      <c r="I2714" t="s">
        <v>696</v>
      </c>
      <c r="J2714" t="s">
        <v>174</v>
      </c>
      <c r="K2714" t="s">
        <v>722</v>
      </c>
      <c r="O2714">
        <v>0</v>
      </c>
      <c r="U2714" t="s">
        <v>81</v>
      </c>
    </row>
    <row r="2715" spans="1:21" x14ac:dyDescent="0.25">
      <c r="A2715" s="33">
        <v>2730</v>
      </c>
      <c r="B2715" s="24">
        <v>44263</v>
      </c>
      <c r="C2715" t="s">
        <v>181</v>
      </c>
      <c r="D2715" t="s">
        <v>41</v>
      </c>
      <c r="E2715">
        <v>2000716704</v>
      </c>
      <c r="F2715">
        <v>280</v>
      </c>
      <c r="G2715">
        <v>160</v>
      </c>
      <c r="H2715">
        <v>0</v>
      </c>
      <c r="I2715" t="s">
        <v>696</v>
      </c>
      <c r="J2715" t="s">
        <v>174</v>
      </c>
      <c r="K2715" t="s">
        <v>188</v>
      </c>
      <c r="O2715">
        <v>0</v>
      </c>
      <c r="U2715" t="s">
        <v>81</v>
      </c>
    </row>
    <row r="2716" spans="1:21" x14ac:dyDescent="0.25">
      <c r="A2716" s="33">
        <v>2731</v>
      </c>
      <c r="B2716" s="24">
        <v>44263</v>
      </c>
      <c r="C2716" t="s">
        <v>181</v>
      </c>
      <c r="D2716" t="s">
        <v>41</v>
      </c>
      <c r="E2716">
        <v>2000716320</v>
      </c>
      <c r="F2716">
        <v>120</v>
      </c>
      <c r="G2716">
        <v>120</v>
      </c>
      <c r="H2716">
        <v>0</v>
      </c>
      <c r="I2716" t="s">
        <v>696</v>
      </c>
      <c r="J2716" t="s">
        <v>174</v>
      </c>
      <c r="K2716" t="s">
        <v>188</v>
      </c>
      <c r="O2716">
        <v>0</v>
      </c>
      <c r="U2716" t="s">
        <v>81</v>
      </c>
    </row>
    <row r="2717" spans="1:21" x14ac:dyDescent="0.25">
      <c r="A2717" s="33">
        <v>2732</v>
      </c>
      <c r="B2717" s="24">
        <v>44263</v>
      </c>
      <c r="C2717" t="s">
        <v>181</v>
      </c>
      <c r="D2717" t="s">
        <v>41</v>
      </c>
      <c r="E2717">
        <v>2000716662</v>
      </c>
      <c r="F2717">
        <v>1000</v>
      </c>
      <c r="G2717">
        <v>802</v>
      </c>
      <c r="H2717">
        <v>0</v>
      </c>
      <c r="I2717" t="s">
        <v>693</v>
      </c>
      <c r="J2717" t="s">
        <v>174</v>
      </c>
      <c r="K2717" t="s">
        <v>774</v>
      </c>
      <c r="O2717">
        <v>0</v>
      </c>
      <c r="U2717" t="s">
        <v>81</v>
      </c>
    </row>
    <row r="2718" spans="1:21" x14ac:dyDescent="0.25">
      <c r="A2718" s="33">
        <v>2733</v>
      </c>
      <c r="B2718" s="24">
        <v>44263</v>
      </c>
      <c r="C2718" t="s">
        <v>181</v>
      </c>
      <c r="D2718" t="s">
        <v>41</v>
      </c>
      <c r="E2718">
        <v>2000714534</v>
      </c>
      <c r="F2718">
        <v>856</v>
      </c>
      <c r="G2718">
        <v>6</v>
      </c>
      <c r="H2718">
        <v>0</v>
      </c>
      <c r="I2718" t="s">
        <v>693</v>
      </c>
      <c r="J2718" t="s">
        <v>170</v>
      </c>
      <c r="K2718" t="s">
        <v>732</v>
      </c>
      <c r="O2718">
        <v>0</v>
      </c>
      <c r="U2718" t="s">
        <v>81</v>
      </c>
    </row>
    <row r="2719" spans="1:21" x14ac:dyDescent="0.25">
      <c r="A2719" s="33">
        <v>2734</v>
      </c>
      <c r="B2719" s="24">
        <v>44263</v>
      </c>
      <c r="C2719" t="s">
        <v>181</v>
      </c>
      <c r="D2719" t="s">
        <v>41</v>
      </c>
      <c r="E2719">
        <v>2000708960</v>
      </c>
      <c r="F2719">
        <v>1300</v>
      </c>
      <c r="G2719">
        <v>1</v>
      </c>
      <c r="H2719">
        <v>0</v>
      </c>
      <c r="I2719" t="s">
        <v>693</v>
      </c>
      <c r="J2719" t="s">
        <v>170</v>
      </c>
      <c r="K2719" t="s">
        <v>732</v>
      </c>
      <c r="O2719">
        <v>0</v>
      </c>
      <c r="U2719" t="s">
        <v>81</v>
      </c>
    </row>
    <row r="2720" spans="1:21" x14ac:dyDescent="0.25">
      <c r="A2720" s="33">
        <v>2735</v>
      </c>
      <c r="B2720" s="24">
        <v>44263</v>
      </c>
      <c r="C2720" t="s">
        <v>181</v>
      </c>
      <c r="D2720" t="s">
        <v>41</v>
      </c>
      <c r="E2720">
        <v>2000716481</v>
      </c>
      <c r="F2720">
        <v>700</v>
      </c>
      <c r="G2720">
        <v>45</v>
      </c>
      <c r="H2720">
        <v>0</v>
      </c>
      <c r="I2720" t="s">
        <v>693</v>
      </c>
      <c r="J2720" t="s">
        <v>170</v>
      </c>
      <c r="K2720" t="s">
        <v>732</v>
      </c>
      <c r="O2720">
        <v>0</v>
      </c>
      <c r="U2720" t="s">
        <v>81</v>
      </c>
    </row>
    <row r="2721" spans="1:21" x14ac:dyDescent="0.25">
      <c r="A2721" s="33">
        <v>2736</v>
      </c>
      <c r="B2721" s="24">
        <v>44263</v>
      </c>
      <c r="C2721" t="s">
        <v>181</v>
      </c>
      <c r="D2721" t="s">
        <v>41</v>
      </c>
      <c r="E2721">
        <v>2000716707</v>
      </c>
      <c r="F2721">
        <v>300</v>
      </c>
      <c r="G2721">
        <v>15</v>
      </c>
      <c r="H2721">
        <v>0</v>
      </c>
      <c r="I2721" t="s">
        <v>183</v>
      </c>
      <c r="J2721" t="s">
        <v>174</v>
      </c>
      <c r="K2721" t="s">
        <v>722</v>
      </c>
      <c r="O2721">
        <v>0</v>
      </c>
      <c r="U2721" t="s">
        <v>81</v>
      </c>
    </row>
    <row r="2722" spans="1:21" x14ac:dyDescent="0.25">
      <c r="A2722" s="33">
        <v>2737</v>
      </c>
      <c r="B2722" s="24">
        <v>44263</v>
      </c>
      <c r="C2722" t="s">
        <v>181</v>
      </c>
      <c r="D2722" t="s">
        <v>41</v>
      </c>
      <c r="E2722">
        <v>2000716281</v>
      </c>
      <c r="F2722">
        <v>1100</v>
      </c>
      <c r="G2722">
        <v>135</v>
      </c>
      <c r="H2722">
        <v>0</v>
      </c>
      <c r="I2722" t="s">
        <v>183</v>
      </c>
      <c r="J2722" t="s">
        <v>172</v>
      </c>
      <c r="K2722" t="s">
        <v>173</v>
      </c>
      <c r="O2722">
        <v>0</v>
      </c>
      <c r="U2722" t="s">
        <v>81</v>
      </c>
    </row>
    <row r="2723" spans="1:21" x14ac:dyDescent="0.25">
      <c r="A2723" s="33">
        <v>2738</v>
      </c>
      <c r="B2723" s="24">
        <v>44263</v>
      </c>
      <c r="C2723" t="s">
        <v>181</v>
      </c>
      <c r="D2723" t="s">
        <v>41</v>
      </c>
      <c r="E2723">
        <v>2000715715</v>
      </c>
      <c r="F2723">
        <v>1230</v>
      </c>
      <c r="G2723">
        <v>90</v>
      </c>
      <c r="H2723">
        <v>0</v>
      </c>
      <c r="I2723" t="s">
        <v>183</v>
      </c>
      <c r="J2723" t="s">
        <v>169</v>
      </c>
      <c r="K2723" t="s">
        <v>663</v>
      </c>
      <c r="O2723">
        <v>0</v>
      </c>
      <c r="U2723" t="s">
        <v>81</v>
      </c>
    </row>
    <row r="2724" spans="1:21" x14ac:dyDescent="0.25">
      <c r="A2724" s="33">
        <v>2739</v>
      </c>
      <c r="B2724" s="24">
        <v>44263</v>
      </c>
      <c r="C2724" t="s">
        <v>181</v>
      </c>
      <c r="D2724" t="s">
        <v>41</v>
      </c>
      <c r="E2724">
        <v>2000715863</v>
      </c>
      <c r="F2724">
        <v>2400</v>
      </c>
      <c r="G2724">
        <v>200</v>
      </c>
      <c r="H2724">
        <v>0</v>
      </c>
      <c r="I2724" t="s">
        <v>183</v>
      </c>
      <c r="J2724" t="s">
        <v>645</v>
      </c>
      <c r="K2724" t="s">
        <v>721</v>
      </c>
      <c r="O2724">
        <v>0</v>
      </c>
      <c r="U2724" t="s">
        <v>81</v>
      </c>
    </row>
    <row r="2725" spans="1:21" x14ac:dyDescent="0.25">
      <c r="A2725" s="33">
        <v>2740</v>
      </c>
      <c r="B2725" s="24">
        <v>44263</v>
      </c>
      <c r="C2725" t="s">
        <v>181</v>
      </c>
      <c r="D2725" t="s">
        <v>41</v>
      </c>
      <c r="E2725">
        <v>2000715867</v>
      </c>
      <c r="F2725">
        <v>1600</v>
      </c>
      <c r="G2725">
        <v>289</v>
      </c>
      <c r="H2725">
        <v>0</v>
      </c>
      <c r="I2725" t="s">
        <v>183</v>
      </c>
      <c r="J2725" t="s">
        <v>645</v>
      </c>
      <c r="K2725" t="s">
        <v>721</v>
      </c>
      <c r="O2725">
        <v>0</v>
      </c>
      <c r="U2725" t="s">
        <v>81</v>
      </c>
    </row>
    <row r="2726" spans="1:21" x14ac:dyDescent="0.25">
      <c r="A2726" s="33">
        <v>2741</v>
      </c>
      <c r="B2726" s="24">
        <v>44263</v>
      </c>
      <c r="C2726" t="s">
        <v>181</v>
      </c>
      <c r="D2726" t="s">
        <v>41</v>
      </c>
      <c r="E2726">
        <v>2000715074</v>
      </c>
      <c r="F2726">
        <v>1410</v>
      </c>
      <c r="G2726">
        <v>150</v>
      </c>
      <c r="H2726">
        <v>0</v>
      </c>
      <c r="I2726" t="s">
        <v>183</v>
      </c>
      <c r="J2726" t="s">
        <v>172</v>
      </c>
      <c r="K2726" t="s">
        <v>724</v>
      </c>
      <c r="O2726">
        <v>0</v>
      </c>
      <c r="U2726" t="s">
        <v>81</v>
      </c>
    </row>
    <row r="2727" spans="1:21" x14ac:dyDescent="0.25">
      <c r="A2727" s="33">
        <v>2742</v>
      </c>
      <c r="B2727" s="24">
        <v>44263</v>
      </c>
      <c r="C2727" t="s">
        <v>181</v>
      </c>
      <c r="D2727" t="s">
        <v>41</v>
      </c>
      <c r="E2727">
        <v>2000716469</v>
      </c>
      <c r="F2727">
        <v>64</v>
      </c>
      <c r="G2727">
        <v>61</v>
      </c>
      <c r="H2727">
        <v>0</v>
      </c>
      <c r="I2727" t="s">
        <v>183</v>
      </c>
      <c r="J2727" t="s">
        <v>169</v>
      </c>
      <c r="K2727" t="s">
        <v>892</v>
      </c>
      <c r="O2727">
        <v>0</v>
      </c>
      <c r="T2727" s="62"/>
      <c r="U2727" t="s">
        <v>81</v>
      </c>
    </row>
    <row r="2728" spans="1:21" x14ac:dyDescent="0.25">
      <c r="A2728" s="33">
        <v>2743</v>
      </c>
      <c r="B2728" s="24">
        <v>44263</v>
      </c>
      <c r="C2728" t="s">
        <v>181</v>
      </c>
      <c r="D2728" t="s">
        <v>41</v>
      </c>
      <c r="E2728">
        <v>2000716253</v>
      </c>
      <c r="F2728">
        <v>1050</v>
      </c>
      <c r="G2728">
        <v>200</v>
      </c>
      <c r="H2728">
        <v>0</v>
      </c>
      <c r="I2728" t="s">
        <v>680</v>
      </c>
      <c r="J2728" t="s">
        <v>193</v>
      </c>
      <c r="K2728" t="s">
        <v>176</v>
      </c>
      <c r="O2728">
        <v>0</v>
      </c>
      <c r="T2728" s="62"/>
      <c r="U2728" t="s">
        <v>81</v>
      </c>
    </row>
    <row r="2729" spans="1:21" x14ac:dyDescent="0.25">
      <c r="A2729" s="33">
        <v>2744</v>
      </c>
      <c r="B2729" s="24">
        <v>44263</v>
      </c>
      <c r="C2729" t="s">
        <v>181</v>
      </c>
      <c r="D2729" t="s">
        <v>41</v>
      </c>
      <c r="E2729">
        <v>2000716193</v>
      </c>
      <c r="F2729">
        <v>300</v>
      </c>
      <c r="G2729">
        <v>100</v>
      </c>
      <c r="H2729">
        <v>0</v>
      </c>
      <c r="I2729" t="s">
        <v>680</v>
      </c>
      <c r="J2729" t="s">
        <v>193</v>
      </c>
      <c r="K2729" t="s">
        <v>176</v>
      </c>
      <c r="O2729">
        <v>0</v>
      </c>
      <c r="U2729" t="s">
        <v>81</v>
      </c>
    </row>
    <row r="2730" spans="1:21" x14ac:dyDescent="0.25">
      <c r="A2730" s="33">
        <v>2745</v>
      </c>
      <c r="B2730" s="24">
        <v>44263</v>
      </c>
      <c r="C2730" t="s">
        <v>181</v>
      </c>
      <c r="D2730" t="s">
        <v>41</v>
      </c>
      <c r="E2730">
        <v>2000715072</v>
      </c>
      <c r="F2730">
        <v>520</v>
      </c>
      <c r="G2730">
        <v>200</v>
      </c>
      <c r="H2730">
        <v>0</v>
      </c>
      <c r="I2730" t="s">
        <v>680</v>
      </c>
      <c r="J2730" t="s">
        <v>172</v>
      </c>
      <c r="K2730" t="s">
        <v>725</v>
      </c>
      <c r="O2730">
        <v>0</v>
      </c>
      <c r="U2730" t="s">
        <v>81</v>
      </c>
    </row>
    <row r="2731" spans="1:21" x14ac:dyDescent="0.25">
      <c r="A2731" s="33">
        <v>2746</v>
      </c>
      <c r="B2731" s="24">
        <v>44263</v>
      </c>
      <c r="C2731" t="s">
        <v>181</v>
      </c>
      <c r="D2731" t="s">
        <v>41</v>
      </c>
      <c r="E2731">
        <v>2000715605</v>
      </c>
      <c r="F2731">
        <v>6600</v>
      </c>
      <c r="G2731">
        <v>1200</v>
      </c>
      <c r="H2731">
        <v>0</v>
      </c>
      <c r="I2731" t="s">
        <v>680</v>
      </c>
      <c r="J2731" t="s">
        <v>200</v>
      </c>
      <c r="K2731" t="s">
        <v>737</v>
      </c>
      <c r="O2731">
        <v>0</v>
      </c>
      <c r="T2731" s="62"/>
      <c r="U2731" t="s">
        <v>81</v>
      </c>
    </row>
    <row r="2732" spans="1:21" x14ac:dyDescent="0.25">
      <c r="A2732" s="33">
        <v>2747</v>
      </c>
      <c r="B2732" s="24">
        <v>44263</v>
      </c>
      <c r="C2732" t="s">
        <v>181</v>
      </c>
      <c r="D2732" t="s">
        <v>41</v>
      </c>
      <c r="E2732">
        <v>2000715194</v>
      </c>
      <c r="F2732">
        <v>4200</v>
      </c>
      <c r="G2732">
        <v>240</v>
      </c>
      <c r="H2732">
        <v>0</v>
      </c>
      <c r="I2732" t="s">
        <v>680</v>
      </c>
      <c r="J2732" t="s">
        <v>199</v>
      </c>
      <c r="K2732" t="s">
        <v>660</v>
      </c>
      <c r="O2732">
        <v>0</v>
      </c>
      <c r="U2732" t="s">
        <v>81</v>
      </c>
    </row>
    <row r="2733" spans="1:21" x14ac:dyDescent="0.25">
      <c r="A2733" s="33">
        <v>2748</v>
      </c>
      <c r="B2733" s="24">
        <v>44263</v>
      </c>
      <c r="C2733" t="s">
        <v>181</v>
      </c>
      <c r="D2733" t="s">
        <v>41</v>
      </c>
      <c r="E2733">
        <v>2000715606</v>
      </c>
      <c r="F2733">
        <v>3600</v>
      </c>
      <c r="G2733">
        <v>300</v>
      </c>
      <c r="H2733">
        <v>0</v>
      </c>
      <c r="I2733" t="s">
        <v>680</v>
      </c>
      <c r="J2733" t="s">
        <v>169</v>
      </c>
      <c r="K2733" t="s">
        <v>652</v>
      </c>
      <c r="O2733">
        <v>0</v>
      </c>
      <c r="T2733" s="62"/>
      <c r="U2733" t="s">
        <v>81</v>
      </c>
    </row>
    <row r="2734" spans="1:21" x14ac:dyDescent="0.25">
      <c r="A2734" s="33">
        <v>2749</v>
      </c>
      <c r="B2734" s="24">
        <v>44263</v>
      </c>
      <c r="C2734" t="s">
        <v>181</v>
      </c>
      <c r="D2734" t="s">
        <v>41</v>
      </c>
      <c r="E2734">
        <v>2000715861</v>
      </c>
      <c r="F2734">
        <v>2400</v>
      </c>
      <c r="G2734">
        <v>400</v>
      </c>
      <c r="H2734">
        <v>0</v>
      </c>
      <c r="I2734" t="s">
        <v>680</v>
      </c>
      <c r="J2734" t="s">
        <v>645</v>
      </c>
      <c r="K2734" t="s">
        <v>739</v>
      </c>
      <c r="O2734">
        <v>0</v>
      </c>
      <c r="U2734" t="s">
        <v>81</v>
      </c>
    </row>
    <row r="2735" spans="1:21" x14ac:dyDescent="0.25">
      <c r="A2735" s="33">
        <v>2750</v>
      </c>
      <c r="B2735" s="24">
        <v>44263</v>
      </c>
      <c r="C2735" t="s">
        <v>181</v>
      </c>
      <c r="D2735" t="s">
        <v>41</v>
      </c>
      <c r="E2735">
        <v>2000715866</v>
      </c>
      <c r="F2735">
        <v>1600</v>
      </c>
      <c r="G2735">
        <v>660</v>
      </c>
      <c r="H2735">
        <v>0</v>
      </c>
      <c r="I2735" t="s">
        <v>680</v>
      </c>
      <c r="J2735" t="s">
        <v>645</v>
      </c>
      <c r="K2735" t="s">
        <v>658</v>
      </c>
      <c r="O2735">
        <v>0</v>
      </c>
      <c r="U2735" t="s">
        <v>81</v>
      </c>
    </row>
    <row r="2736" spans="1:21" x14ac:dyDescent="0.25">
      <c r="A2736" s="33">
        <v>2751</v>
      </c>
      <c r="B2736" s="24">
        <v>44263</v>
      </c>
      <c r="C2736" t="s">
        <v>181</v>
      </c>
      <c r="D2736" t="s">
        <v>41</v>
      </c>
      <c r="E2736">
        <v>2000715873</v>
      </c>
      <c r="F2736">
        <v>1500</v>
      </c>
      <c r="G2736">
        <v>20</v>
      </c>
      <c r="H2736">
        <v>0</v>
      </c>
      <c r="I2736" t="s">
        <v>198</v>
      </c>
      <c r="J2736" t="s">
        <v>645</v>
      </c>
      <c r="K2736" t="s">
        <v>646</v>
      </c>
      <c r="O2736">
        <v>0</v>
      </c>
      <c r="U2736" t="s">
        <v>81</v>
      </c>
    </row>
    <row r="2737" spans="1:21" x14ac:dyDescent="0.25">
      <c r="A2737" s="33">
        <v>2752</v>
      </c>
      <c r="B2737" s="24">
        <v>44263</v>
      </c>
      <c r="C2737" t="s">
        <v>181</v>
      </c>
      <c r="D2737" t="s">
        <v>41</v>
      </c>
      <c r="E2737">
        <v>2000716841</v>
      </c>
      <c r="F2737">
        <v>190</v>
      </c>
      <c r="G2737">
        <v>188</v>
      </c>
      <c r="H2737">
        <v>0</v>
      </c>
      <c r="I2737" t="s">
        <v>198</v>
      </c>
      <c r="J2737" t="s">
        <v>202</v>
      </c>
      <c r="K2737" t="s">
        <v>797</v>
      </c>
      <c r="O2737">
        <v>0</v>
      </c>
      <c r="U2737" t="s">
        <v>81</v>
      </c>
    </row>
    <row r="2738" spans="1:21" x14ac:dyDescent="0.25">
      <c r="A2738" s="33">
        <v>2753</v>
      </c>
      <c r="B2738" s="24">
        <v>44263</v>
      </c>
      <c r="C2738" t="s">
        <v>181</v>
      </c>
      <c r="D2738" t="s">
        <v>41</v>
      </c>
      <c r="E2738">
        <v>2000716654</v>
      </c>
      <c r="F2738">
        <v>1200</v>
      </c>
      <c r="G2738">
        <v>80</v>
      </c>
      <c r="H2738">
        <v>0</v>
      </c>
      <c r="I2738" t="s">
        <v>198</v>
      </c>
      <c r="J2738" t="s">
        <v>687</v>
      </c>
      <c r="K2738" t="s">
        <v>898</v>
      </c>
      <c r="O2738">
        <v>0</v>
      </c>
      <c r="T2738" s="62"/>
      <c r="U2738" t="s">
        <v>81</v>
      </c>
    </row>
    <row r="2739" spans="1:21" x14ac:dyDescent="0.25">
      <c r="A2739" s="33">
        <v>2754</v>
      </c>
      <c r="B2739" s="24">
        <v>44263</v>
      </c>
      <c r="C2739" t="s">
        <v>181</v>
      </c>
      <c r="D2739" t="s">
        <v>41</v>
      </c>
      <c r="E2739">
        <v>2000716462</v>
      </c>
      <c r="F2739">
        <v>150</v>
      </c>
      <c r="G2739">
        <v>40</v>
      </c>
      <c r="H2739">
        <v>0</v>
      </c>
      <c r="I2739" t="s">
        <v>198</v>
      </c>
      <c r="J2739" t="s">
        <v>174</v>
      </c>
      <c r="K2739" t="s">
        <v>177</v>
      </c>
      <c r="O2739">
        <v>0</v>
      </c>
      <c r="U2739" t="s">
        <v>81</v>
      </c>
    </row>
    <row r="2740" spans="1:21" x14ac:dyDescent="0.25">
      <c r="A2740" s="33">
        <v>2755</v>
      </c>
      <c r="B2740" s="24">
        <v>44263</v>
      </c>
      <c r="C2740" t="s">
        <v>181</v>
      </c>
      <c r="D2740" t="s">
        <v>41</v>
      </c>
      <c r="E2740">
        <v>2000715074</v>
      </c>
      <c r="F2740">
        <v>1410</v>
      </c>
      <c r="G2740">
        <v>430</v>
      </c>
      <c r="H2740">
        <v>0</v>
      </c>
      <c r="I2740" t="s">
        <v>198</v>
      </c>
      <c r="J2740" t="s">
        <v>1041</v>
      </c>
      <c r="K2740" t="s">
        <v>724</v>
      </c>
      <c r="O2740">
        <v>0</v>
      </c>
      <c r="T2740" s="62"/>
      <c r="U2740" t="s">
        <v>81</v>
      </c>
    </row>
    <row r="2741" spans="1:21" x14ac:dyDescent="0.25">
      <c r="A2741" s="33">
        <v>2756</v>
      </c>
      <c r="B2741" s="24">
        <v>44263</v>
      </c>
      <c r="C2741" t="s">
        <v>181</v>
      </c>
      <c r="D2741" t="s">
        <v>41</v>
      </c>
      <c r="E2741">
        <v>2000716672</v>
      </c>
      <c r="F2741">
        <v>1500</v>
      </c>
      <c r="G2741">
        <v>140</v>
      </c>
      <c r="H2741">
        <v>0</v>
      </c>
      <c r="I2741" t="s">
        <v>198</v>
      </c>
      <c r="J2741" t="s">
        <v>1041</v>
      </c>
      <c r="K2741" t="s">
        <v>724</v>
      </c>
      <c r="O2741">
        <v>0</v>
      </c>
      <c r="U2741" t="s">
        <v>81</v>
      </c>
    </row>
    <row r="2742" spans="1:21" x14ac:dyDescent="0.25">
      <c r="A2742" s="33">
        <v>2757</v>
      </c>
      <c r="B2742" s="24">
        <v>44263</v>
      </c>
      <c r="C2742" t="s">
        <v>181</v>
      </c>
      <c r="D2742" t="s">
        <v>41</v>
      </c>
      <c r="E2742">
        <v>2000716434</v>
      </c>
      <c r="F2742">
        <v>690</v>
      </c>
      <c r="G2742">
        <v>311</v>
      </c>
      <c r="H2742">
        <v>0</v>
      </c>
      <c r="I2742" t="s">
        <v>184</v>
      </c>
      <c r="J2742" t="s">
        <v>203</v>
      </c>
      <c r="K2742" t="s">
        <v>891</v>
      </c>
      <c r="O2742">
        <v>0</v>
      </c>
      <c r="U2742" t="s">
        <v>81</v>
      </c>
    </row>
    <row r="2743" spans="1:21" x14ac:dyDescent="0.25">
      <c r="A2743" s="33">
        <v>2758</v>
      </c>
      <c r="B2743" s="24">
        <v>44263</v>
      </c>
      <c r="C2743" t="s">
        <v>181</v>
      </c>
      <c r="D2743" t="s">
        <v>41</v>
      </c>
      <c r="E2743">
        <v>2000716435</v>
      </c>
      <c r="F2743">
        <v>340</v>
      </c>
      <c r="G2743">
        <v>270</v>
      </c>
      <c r="H2743">
        <v>0</v>
      </c>
      <c r="I2743" t="s">
        <v>184</v>
      </c>
      <c r="J2743" t="s">
        <v>203</v>
      </c>
      <c r="K2743" t="s">
        <v>785</v>
      </c>
      <c r="O2743">
        <v>0</v>
      </c>
      <c r="U2743" t="s">
        <v>81</v>
      </c>
    </row>
    <row r="2744" spans="1:21" x14ac:dyDescent="0.25">
      <c r="A2744" s="33">
        <v>2759</v>
      </c>
      <c r="B2744" s="24">
        <v>44263</v>
      </c>
      <c r="C2744" t="s">
        <v>181</v>
      </c>
      <c r="D2744" t="s">
        <v>51</v>
      </c>
      <c r="E2744">
        <v>2000716582</v>
      </c>
      <c r="F2744">
        <v>350</v>
      </c>
      <c r="G2744">
        <v>160</v>
      </c>
      <c r="H2744">
        <v>0</v>
      </c>
      <c r="I2744" t="s">
        <v>706</v>
      </c>
      <c r="J2744" t="s">
        <v>669</v>
      </c>
      <c r="K2744" t="s">
        <v>810</v>
      </c>
      <c r="O2744">
        <v>0</v>
      </c>
      <c r="U2744" t="s">
        <v>81</v>
      </c>
    </row>
    <row r="2745" spans="1:21" x14ac:dyDescent="0.25">
      <c r="A2745" s="33">
        <v>2760</v>
      </c>
      <c r="B2745" s="24">
        <v>44263</v>
      </c>
      <c r="C2745" t="s">
        <v>181</v>
      </c>
      <c r="D2745" t="s">
        <v>51</v>
      </c>
      <c r="E2745">
        <v>2000716004</v>
      </c>
      <c r="F2745">
        <v>200</v>
      </c>
      <c r="G2745">
        <v>100</v>
      </c>
      <c r="H2745">
        <v>0</v>
      </c>
      <c r="I2745" t="s">
        <v>706</v>
      </c>
      <c r="J2745" t="s">
        <v>669</v>
      </c>
      <c r="K2745" t="s">
        <v>848</v>
      </c>
      <c r="O2745">
        <v>0</v>
      </c>
      <c r="U2745" t="s">
        <v>81</v>
      </c>
    </row>
    <row r="2746" spans="1:21" x14ac:dyDescent="0.25">
      <c r="A2746" s="33">
        <v>2761</v>
      </c>
      <c r="B2746" s="24">
        <v>44263</v>
      </c>
      <c r="C2746" t="s">
        <v>181</v>
      </c>
      <c r="D2746" t="s">
        <v>51</v>
      </c>
      <c r="E2746">
        <v>2000715996</v>
      </c>
      <c r="F2746">
        <v>810</v>
      </c>
      <c r="G2746">
        <v>330</v>
      </c>
      <c r="H2746">
        <v>0</v>
      </c>
      <c r="I2746" t="s">
        <v>706</v>
      </c>
      <c r="J2746" t="s">
        <v>667</v>
      </c>
      <c r="K2746" t="s">
        <v>769</v>
      </c>
      <c r="O2746">
        <v>0</v>
      </c>
      <c r="U2746" t="s">
        <v>81</v>
      </c>
    </row>
    <row r="2747" spans="1:21" x14ac:dyDescent="0.25">
      <c r="A2747" s="33">
        <v>2762</v>
      </c>
      <c r="B2747" s="24">
        <v>44263</v>
      </c>
      <c r="C2747" t="s">
        <v>181</v>
      </c>
      <c r="D2747" t="s">
        <v>51</v>
      </c>
      <c r="E2747">
        <v>2000716425</v>
      </c>
      <c r="F2747">
        <v>255</v>
      </c>
      <c r="G2747">
        <v>10</v>
      </c>
      <c r="H2747">
        <v>0</v>
      </c>
      <c r="I2747" t="s">
        <v>706</v>
      </c>
      <c r="J2747" t="s">
        <v>673</v>
      </c>
      <c r="K2747" t="s">
        <v>674</v>
      </c>
      <c r="O2747">
        <v>0</v>
      </c>
      <c r="U2747" t="s">
        <v>81</v>
      </c>
    </row>
    <row r="2748" spans="1:21" x14ac:dyDescent="0.25">
      <c r="A2748" s="33">
        <v>2763</v>
      </c>
      <c r="B2748" s="24">
        <v>44263</v>
      </c>
      <c r="C2748" t="s">
        <v>181</v>
      </c>
      <c r="D2748" t="s">
        <v>51</v>
      </c>
      <c r="E2748">
        <v>2000716581</v>
      </c>
      <c r="F2748">
        <v>945</v>
      </c>
      <c r="G2748">
        <v>400</v>
      </c>
      <c r="H2748">
        <v>0</v>
      </c>
      <c r="I2748" t="s">
        <v>706</v>
      </c>
      <c r="J2748" t="s">
        <v>673</v>
      </c>
      <c r="K2748" t="s">
        <v>674</v>
      </c>
      <c r="O2748">
        <v>0</v>
      </c>
      <c r="U2748" t="s">
        <v>81</v>
      </c>
    </row>
    <row r="2749" spans="1:21" x14ac:dyDescent="0.25">
      <c r="A2749" s="33">
        <v>2764</v>
      </c>
      <c r="B2749" s="24">
        <v>44263</v>
      </c>
      <c r="C2749" t="s">
        <v>181</v>
      </c>
      <c r="D2749" t="s">
        <v>51</v>
      </c>
      <c r="E2749">
        <v>2000716005</v>
      </c>
      <c r="F2749">
        <v>430</v>
      </c>
      <c r="G2749">
        <v>108</v>
      </c>
      <c r="H2749">
        <v>0</v>
      </c>
      <c r="I2749" t="s">
        <v>706</v>
      </c>
      <c r="J2749" t="s">
        <v>673</v>
      </c>
      <c r="K2749" t="s">
        <v>742</v>
      </c>
      <c r="O2749">
        <v>0</v>
      </c>
      <c r="U2749" t="s">
        <v>81</v>
      </c>
    </row>
    <row r="2750" spans="1:21" x14ac:dyDescent="0.25">
      <c r="A2750" s="33">
        <v>2765</v>
      </c>
      <c r="B2750" s="24">
        <v>44263</v>
      </c>
      <c r="C2750" t="s">
        <v>181</v>
      </c>
      <c r="D2750" t="s">
        <v>51</v>
      </c>
      <c r="E2750">
        <v>2000717045</v>
      </c>
      <c r="F2750">
        <v>300</v>
      </c>
      <c r="G2750">
        <v>150</v>
      </c>
      <c r="H2750">
        <v>0</v>
      </c>
      <c r="I2750" t="s">
        <v>706</v>
      </c>
      <c r="J2750" t="s">
        <v>669</v>
      </c>
      <c r="K2750" t="s">
        <v>834</v>
      </c>
      <c r="O2750">
        <v>0</v>
      </c>
      <c r="U2750" t="s">
        <v>81</v>
      </c>
    </row>
    <row r="2751" spans="1:21" x14ac:dyDescent="0.25">
      <c r="A2751" s="33">
        <v>2766</v>
      </c>
      <c r="B2751" s="24">
        <v>44263</v>
      </c>
      <c r="C2751" t="s">
        <v>181</v>
      </c>
      <c r="D2751" t="s">
        <v>51</v>
      </c>
      <c r="E2751">
        <v>2000716158</v>
      </c>
      <c r="F2751">
        <v>1000</v>
      </c>
      <c r="G2751">
        <v>280</v>
      </c>
      <c r="H2751">
        <v>0</v>
      </c>
      <c r="I2751" t="s">
        <v>706</v>
      </c>
      <c r="J2751" t="s">
        <v>667</v>
      </c>
      <c r="K2751" t="s">
        <v>730</v>
      </c>
      <c r="O2751">
        <v>0</v>
      </c>
      <c r="U2751" t="s">
        <v>81</v>
      </c>
    </row>
    <row r="2752" spans="1:21" x14ac:dyDescent="0.25">
      <c r="A2752" s="33">
        <v>2767</v>
      </c>
      <c r="B2752" s="24">
        <v>44263</v>
      </c>
      <c r="C2752" t="s">
        <v>181</v>
      </c>
      <c r="D2752" t="s">
        <v>51</v>
      </c>
      <c r="E2752">
        <v>2000716585</v>
      </c>
      <c r="F2752">
        <v>800</v>
      </c>
      <c r="G2752">
        <v>433</v>
      </c>
      <c r="H2752">
        <v>0</v>
      </c>
      <c r="I2752" t="s">
        <v>706</v>
      </c>
      <c r="J2752" t="s">
        <v>667</v>
      </c>
      <c r="K2752" t="s">
        <v>730</v>
      </c>
      <c r="O2752">
        <v>0</v>
      </c>
      <c r="U2752" t="s">
        <v>81</v>
      </c>
    </row>
    <row r="2753" spans="1:21" x14ac:dyDescent="0.25">
      <c r="A2753" s="33">
        <v>2768</v>
      </c>
      <c r="B2753" s="24">
        <v>44264</v>
      </c>
      <c r="C2753" t="s">
        <v>39</v>
      </c>
      <c r="D2753" t="s">
        <v>41</v>
      </c>
      <c r="E2753">
        <v>2000716435</v>
      </c>
      <c r="F2753">
        <v>340</v>
      </c>
      <c r="G2753">
        <v>66</v>
      </c>
      <c r="H2753">
        <v>0</v>
      </c>
      <c r="I2753" t="s">
        <v>168</v>
      </c>
      <c r="J2753" t="s">
        <v>203</v>
      </c>
      <c r="K2753" t="s">
        <v>785</v>
      </c>
      <c r="O2753">
        <v>0</v>
      </c>
      <c r="U2753" t="s">
        <v>81</v>
      </c>
    </row>
    <row r="2754" spans="1:21" x14ac:dyDescent="0.25">
      <c r="A2754" s="33">
        <v>2769</v>
      </c>
      <c r="B2754" s="24">
        <v>44264</v>
      </c>
      <c r="C2754" t="s">
        <v>39</v>
      </c>
      <c r="D2754" t="s">
        <v>41</v>
      </c>
      <c r="E2754">
        <v>2000714219</v>
      </c>
      <c r="F2754">
        <v>800</v>
      </c>
      <c r="G2754">
        <v>110</v>
      </c>
      <c r="H2754">
        <v>1</v>
      </c>
      <c r="I2754" t="s">
        <v>168</v>
      </c>
      <c r="J2754" t="s">
        <v>203</v>
      </c>
      <c r="K2754" t="s">
        <v>638</v>
      </c>
      <c r="L2754" t="s">
        <v>127</v>
      </c>
      <c r="N2754" t="s">
        <v>189</v>
      </c>
      <c r="O2754">
        <v>1</v>
      </c>
      <c r="P2754" t="s">
        <v>1042</v>
      </c>
      <c r="Q2754" t="s">
        <v>1043</v>
      </c>
      <c r="R2754">
        <v>3110007688</v>
      </c>
      <c r="S2754" s="36">
        <v>0.55555555555555558</v>
      </c>
      <c r="U2754" t="s">
        <v>81</v>
      </c>
    </row>
    <row r="2755" spans="1:21" x14ac:dyDescent="0.25">
      <c r="A2755" s="33">
        <v>2770</v>
      </c>
      <c r="B2755" s="24">
        <v>44264</v>
      </c>
      <c r="C2755" t="s">
        <v>39</v>
      </c>
      <c r="D2755" t="s">
        <v>41</v>
      </c>
      <c r="E2755">
        <v>2000716759</v>
      </c>
      <c r="F2755">
        <v>400</v>
      </c>
      <c r="G2755">
        <v>80</v>
      </c>
      <c r="H2755">
        <v>0</v>
      </c>
      <c r="I2755" t="s">
        <v>168</v>
      </c>
      <c r="J2755" t="s">
        <v>203</v>
      </c>
      <c r="K2755" t="s">
        <v>638</v>
      </c>
      <c r="O2755">
        <v>0</v>
      </c>
      <c r="U2755" t="s">
        <v>81</v>
      </c>
    </row>
    <row r="2756" spans="1:21" x14ac:dyDescent="0.25">
      <c r="A2756" s="33">
        <v>2771</v>
      </c>
      <c r="B2756" s="24">
        <v>44264</v>
      </c>
      <c r="C2756" t="s">
        <v>39</v>
      </c>
      <c r="D2756" t="s">
        <v>41</v>
      </c>
      <c r="E2756">
        <v>2000716427</v>
      </c>
      <c r="F2756">
        <v>500</v>
      </c>
      <c r="G2756">
        <v>260</v>
      </c>
      <c r="H2756">
        <v>0</v>
      </c>
      <c r="I2756" t="s">
        <v>168</v>
      </c>
      <c r="J2756" t="s">
        <v>203</v>
      </c>
      <c r="K2756" t="s">
        <v>785</v>
      </c>
      <c r="O2756">
        <v>0</v>
      </c>
      <c r="U2756" t="s">
        <v>81</v>
      </c>
    </row>
    <row r="2757" spans="1:21" x14ac:dyDescent="0.25">
      <c r="A2757" s="33">
        <v>2772</v>
      </c>
      <c r="B2757" s="24">
        <v>44264</v>
      </c>
      <c r="C2757" t="s">
        <v>39</v>
      </c>
      <c r="D2757" t="s">
        <v>41</v>
      </c>
      <c r="E2757">
        <v>2000715385</v>
      </c>
      <c r="F2757">
        <v>1344</v>
      </c>
      <c r="G2757">
        <v>120</v>
      </c>
      <c r="H2757">
        <v>0</v>
      </c>
      <c r="I2757" t="s">
        <v>666</v>
      </c>
      <c r="J2757" t="s">
        <v>655</v>
      </c>
      <c r="K2757" t="s">
        <v>656</v>
      </c>
      <c r="O2757">
        <v>0</v>
      </c>
      <c r="U2757" t="s">
        <v>81</v>
      </c>
    </row>
    <row r="2758" spans="1:21" x14ac:dyDescent="0.25">
      <c r="A2758" s="33">
        <v>2773</v>
      </c>
      <c r="B2758" s="24">
        <v>44264</v>
      </c>
      <c r="C2758" t="s">
        <v>39</v>
      </c>
      <c r="D2758" t="s">
        <v>41</v>
      </c>
      <c r="E2758">
        <v>2000715387</v>
      </c>
      <c r="F2758">
        <v>2912</v>
      </c>
      <c r="G2758">
        <v>440</v>
      </c>
      <c r="H2758">
        <v>0</v>
      </c>
      <c r="I2758" t="s">
        <v>666</v>
      </c>
      <c r="J2758" t="s">
        <v>655</v>
      </c>
      <c r="K2758" t="s">
        <v>656</v>
      </c>
      <c r="O2758">
        <v>0</v>
      </c>
      <c r="U2758" t="s">
        <v>81</v>
      </c>
    </row>
    <row r="2759" spans="1:21" x14ac:dyDescent="0.25">
      <c r="A2759" s="33">
        <v>2774</v>
      </c>
      <c r="B2759" s="24">
        <v>44264</v>
      </c>
      <c r="C2759" t="s">
        <v>39</v>
      </c>
      <c r="D2759" t="s">
        <v>41</v>
      </c>
      <c r="E2759">
        <v>2000716654</v>
      </c>
      <c r="F2759">
        <v>1200</v>
      </c>
      <c r="G2759">
        <v>120</v>
      </c>
      <c r="H2759">
        <v>0</v>
      </c>
      <c r="I2759" t="s">
        <v>666</v>
      </c>
      <c r="J2759" t="s">
        <v>687</v>
      </c>
      <c r="K2759" t="s">
        <v>898</v>
      </c>
      <c r="O2759">
        <v>0</v>
      </c>
      <c r="U2759" t="s">
        <v>81</v>
      </c>
    </row>
    <row r="2760" spans="1:21" x14ac:dyDescent="0.25">
      <c r="A2760" s="33">
        <v>2775</v>
      </c>
      <c r="B2760" s="24">
        <v>44264</v>
      </c>
      <c r="C2760" t="s">
        <v>39</v>
      </c>
      <c r="D2760" t="s">
        <v>41</v>
      </c>
      <c r="E2760">
        <v>2000716655</v>
      </c>
      <c r="F2760">
        <v>1000</v>
      </c>
      <c r="G2760">
        <v>80</v>
      </c>
      <c r="H2760">
        <v>0</v>
      </c>
      <c r="I2760" t="s">
        <v>666</v>
      </c>
      <c r="J2760" t="s">
        <v>174</v>
      </c>
      <c r="K2760" t="s">
        <v>186</v>
      </c>
      <c r="O2760">
        <v>0</v>
      </c>
      <c r="U2760" t="s">
        <v>81</v>
      </c>
    </row>
    <row r="2761" spans="1:21" x14ac:dyDescent="0.25">
      <c r="A2761" s="33">
        <v>2776</v>
      </c>
      <c r="B2761" s="24">
        <v>44264</v>
      </c>
      <c r="C2761" t="s">
        <v>39</v>
      </c>
      <c r="D2761" t="s">
        <v>41</v>
      </c>
      <c r="E2761">
        <v>2000715387</v>
      </c>
      <c r="F2761">
        <v>2912</v>
      </c>
      <c r="G2761">
        <v>200</v>
      </c>
      <c r="H2761">
        <v>0</v>
      </c>
      <c r="I2761" t="s">
        <v>666</v>
      </c>
      <c r="J2761" t="s">
        <v>655</v>
      </c>
      <c r="K2761" t="s">
        <v>656</v>
      </c>
      <c r="O2761">
        <v>0</v>
      </c>
      <c r="U2761" t="s">
        <v>81</v>
      </c>
    </row>
    <row r="2762" spans="1:21" x14ac:dyDescent="0.25">
      <c r="A2762" s="33">
        <v>2777</v>
      </c>
      <c r="B2762" s="24">
        <v>44264</v>
      </c>
      <c r="C2762" t="s">
        <v>39</v>
      </c>
      <c r="D2762" t="s">
        <v>41</v>
      </c>
      <c r="E2762">
        <v>2000716704</v>
      </c>
      <c r="F2762">
        <v>280</v>
      </c>
      <c r="G2762">
        <v>119</v>
      </c>
      <c r="H2762">
        <v>0</v>
      </c>
      <c r="I2762" t="s">
        <v>178</v>
      </c>
      <c r="J2762" t="s">
        <v>174</v>
      </c>
      <c r="K2762" t="s">
        <v>188</v>
      </c>
      <c r="O2762">
        <v>0</v>
      </c>
      <c r="U2762" t="s">
        <v>81</v>
      </c>
    </row>
    <row r="2763" spans="1:21" x14ac:dyDescent="0.25">
      <c r="A2763" s="33">
        <v>2778</v>
      </c>
      <c r="B2763" s="24">
        <v>44264</v>
      </c>
      <c r="C2763" t="s">
        <v>39</v>
      </c>
      <c r="D2763" t="s">
        <v>41</v>
      </c>
      <c r="E2763">
        <v>2000716655</v>
      </c>
      <c r="F2763">
        <v>1000</v>
      </c>
      <c r="G2763">
        <v>516</v>
      </c>
      <c r="H2763">
        <v>0</v>
      </c>
      <c r="I2763" t="s">
        <v>178</v>
      </c>
      <c r="J2763" t="s">
        <v>174</v>
      </c>
      <c r="K2763" t="s">
        <v>188</v>
      </c>
      <c r="O2763">
        <v>0</v>
      </c>
      <c r="U2763" t="s">
        <v>81</v>
      </c>
    </row>
    <row r="2764" spans="1:21" x14ac:dyDescent="0.25">
      <c r="A2764" s="33">
        <v>2779</v>
      </c>
      <c r="B2764" s="24">
        <v>44264</v>
      </c>
      <c r="C2764" t="s">
        <v>39</v>
      </c>
      <c r="D2764" t="s">
        <v>41</v>
      </c>
      <c r="E2764">
        <v>2000716673</v>
      </c>
      <c r="F2764">
        <v>280</v>
      </c>
      <c r="G2764">
        <v>220</v>
      </c>
      <c r="H2764">
        <v>0</v>
      </c>
      <c r="I2764" t="s">
        <v>178</v>
      </c>
      <c r="J2764" t="s">
        <v>174</v>
      </c>
      <c r="K2764" t="s">
        <v>186</v>
      </c>
      <c r="O2764">
        <v>0</v>
      </c>
      <c r="U2764" t="s">
        <v>81</v>
      </c>
    </row>
    <row r="2765" spans="1:21" x14ac:dyDescent="0.25">
      <c r="A2765" s="33">
        <v>2780</v>
      </c>
      <c r="B2765" s="24">
        <v>44264</v>
      </c>
      <c r="C2765" t="s">
        <v>39</v>
      </c>
      <c r="D2765" t="s">
        <v>41</v>
      </c>
      <c r="E2765">
        <v>2000715711</v>
      </c>
      <c r="F2765">
        <v>1150</v>
      </c>
      <c r="G2765">
        <v>280</v>
      </c>
      <c r="H2765">
        <v>0</v>
      </c>
      <c r="I2765" t="s">
        <v>194</v>
      </c>
      <c r="J2765" t="s">
        <v>196</v>
      </c>
      <c r="K2765" t="s">
        <v>648</v>
      </c>
      <c r="O2765">
        <v>0</v>
      </c>
      <c r="U2765" t="s">
        <v>81</v>
      </c>
    </row>
    <row r="2766" spans="1:21" x14ac:dyDescent="0.25">
      <c r="A2766" s="33">
        <v>2781</v>
      </c>
      <c r="B2766" s="24">
        <v>44264</v>
      </c>
      <c r="C2766" t="s">
        <v>39</v>
      </c>
      <c r="D2766" t="s">
        <v>41</v>
      </c>
      <c r="E2766">
        <v>2000716655</v>
      </c>
      <c r="F2766">
        <v>1000</v>
      </c>
      <c r="G2766">
        <v>120</v>
      </c>
      <c r="H2766">
        <v>0</v>
      </c>
      <c r="I2766" t="s">
        <v>194</v>
      </c>
      <c r="J2766" t="s">
        <v>174</v>
      </c>
      <c r="K2766" t="s">
        <v>186</v>
      </c>
      <c r="O2766">
        <v>0</v>
      </c>
      <c r="U2766" t="s">
        <v>81</v>
      </c>
    </row>
    <row r="2767" spans="1:21" x14ac:dyDescent="0.25">
      <c r="A2767" s="33">
        <v>2782</v>
      </c>
      <c r="B2767" s="24">
        <v>44264</v>
      </c>
      <c r="C2767" t="s">
        <v>39</v>
      </c>
      <c r="D2767" t="s">
        <v>41</v>
      </c>
      <c r="E2767">
        <v>2000715552</v>
      </c>
      <c r="F2767">
        <v>1010</v>
      </c>
      <c r="G2767">
        <v>30</v>
      </c>
      <c r="H2767">
        <v>0</v>
      </c>
      <c r="I2767" t="s">
        <v>194</v>
      </c>
      <c r="J2767" t="s">
        <v>203</v>
      </c>
      <c r="K2767" t="s">
        <v>768</v>
      </c>
      <c r="O2767">
        <v>0</v>
      </c>
      <c r="U2767" t="s">
        <v>81</v>
      </c>
    </row>
    <row r="2768" spans="1:21" x14ac:dyDescent="0.25">
      <c r="A2768" s="33">
        <v>2783</v>
      </c>
      <c r="B2768" s="24">
        <v>44264</v>
      </c>
      <c r="C2768" t="s">
        <v>39</v>
      </c>
      <c r="D2768" t="s">
        <v>41</v>
      </c>
      <c r="E2768">
        <v>2000716705</v>
      </c>
      <c r="F2768">
        <v>960</v>
      </c>
      <c r="G2768">
        <v>80</v>
      </c>
      <c r="H2768">
        <v>0</v>
      </c>
      <c r="I2768" t="s">
        <v>194</v>
      </c>
      <c r="J2768" t="s">
        <v>174</v>
      </c>
      <c r="K2768" t="s">
        <v>805</v>
      </c>
      <c r="O2768">
        <v>0</v>
      </c>
      <c r="U2768" t="s">
        <v>81</v>
      </c>
    </row>
    <row r="2769" spans="1:21" x14ac:dyDescent="0.25">
      <c r="A2769" s="33">
        <v>2784</v>
      </c>
      <c r="B2769" s="24">
        <v>44264</v>
      </c>
      <c r="C2769" t="s">
        <v>39</v>
      </c>
      <c r="D2769" t="s">
        <v>41</v>
      </c>
      <c r="E2769">
        <v>2000716457</v>
      </c>
      <c r="F2769">
        <v>280</v>
      </c>
      <c r="G2769">
        <v>120</v>
      </c>
      <c r="H2769">
        <v>0</v>
      </c>
      <c r="I2769" t="s">
        <v>194</v>
      </c>
      <c r="J2769" t="s">
        <v>174</v>
      </c>
      <c r="K2769" t="s">
        <v>662</v>
      </c>
      <c r="O2769">
        <v>0</v>
      </c>
      <c r="U2769" t="s">
        <v>81</v>
      </c>
    </row>
    <row r="2770" spans="1:21" x14ac:dyDescent="0.25">
      <c r="A2770" s="33">
        <v>2785</v>
      </c>
      <c r="B2770" s="24">
        <v>44264</v>
      </c>
      <c r="C2770" t="s">
        <v>39</v>
      </c>
      <c r="D2770" t="s">
        <v>41</v>
      </c>
      <c r="E2770">
        <v>2000716708</v>
      </c>
      <c r="F2770">
        <v>40</v>
      </c>
      <c r="G2770">
        <v>40</v>
      </c>
      <c r="H2770">
        <v>0</v>
      </c>
      <c r="I2770" t="s">
        <v>180</v>
      </c>
      <c r="J2770" t="s">
        <v>174</v>
      </c>
      <c r="K2770" t="s">
        <v>877</v>
      </c>
      <c r="O2770">
        <v>0</v>
      </c>
      <c r="U2770" t="s">
        <v>81</v>
      </c>
    </row>
    <row r="2771" spans="1:21" x14ac:dyDescent="0.25">
      <c r="A2771" s="33">
        <v>2786</v>
      </c>
      <c r="B2771" s="24">
        <v>44264</v>
      </c>
      <c r="C2771" t="s">
        <v>39</v>
      </c>
      <c r="D2771" t="s">
        <v>41</v>
      </c>
      <c r="E2771">
        <v>2000716459</v>
      </c>
      <c r="F2771">
        <v>40</v>
      </c>
      <c r="G2771">
        <v>40</v>
      </c>
      <c r="H2771">
        <v>0</v>
      </c>
      <c r="I2771" t="s">
        <v>180</v>
      </c>
      <c r="J2771" t="s">
        <v>174</v>
      </c>
      <c r="K2771" t="s">
        <v>792</v>
      </c>
      <c r="O2771">
        <v>0</v>
      </c>
      <c r="U2771" t="s">
        <v>81</v>
      </c>
    </row>
    <row r="2772" spans="1:21" x14ac:dyDescent="0.25">
      <c r="A2772" s="33">
        <v>2787</v>
      </c>
      <c r="B2772" s="24">
        <v>44264</v>
      </c>
      <c r="C2772" t="s">
        <v>39</v>
      </c>
      <c r="D2772" t="s">
        <v>41</v>
      </c>
      <c r="E2772">
        <v>2000716664</v>
      </c>
      <c r="F2772">
        <v>130</v>
      </c>
      <c r="G2772">
        <v>43</v>
      </c>
      <c r="H2772">
        <v>0</v>
      </c>
      <c r="I2772" t="s">
        <v>180</v>
      </c>
      <c r="J2772" t="s">
        <v>174</v>
      </c>
      <c r="K2772" t="s">
        <v>870</v>
      </c>
      <c r="O2772">
        <v>0</v>
      </c>
      <c r="U2772" t="s">
        <v>81</v>
      </c>
    </row>
    <row r="2773" spans="1:21" x14ac:dyDescent="0.25">
      <c r="A2773" s="33">
        <v>2788</v>
      </c>
      <c r="B2773" s="24">
        <v>44264</v>
      </c>
      <c r="C2773" t="s">
        <v>39</v>
      </c>
      <c r="D2773" t="s">
        <v>41</v>
      </c>
      <c r="E2773">
        <v>2000716316</v>
      </c>
      <c r="F2773">
        <v>400</v>
      </c>
      <c r="G2773">
        <v>7</v>
      </c>
      <c r="H2773">
        <v>0</v>
      </c>
      <c r="I2773" t="s">
        <v>180</v>
      </c>
      <c r="J2773" t="s">
        <v>174</v>
      </c>
      <c r="K2773" t="s">
        <v>695</v>
      </c>
      <c r="O2773">
        <v>0</v>
      </c>
      <c r="U2773" t="s">
        <v>81</v>
      </c>
    </row>
    <row r="2774" spans="1:21" x14ac:dyDescent="0.25">
      <c r="A2774" s="33">
        <v>2789</v>
      </c>
      <c r="B2774" s="24">
        <v>44264</v>
      </c>
      <c r="C2774" t="s">
        <v>39</v>
      </c>
      <c r="D2774" t="s">
        <v>41</v>
      </c>
      <c r="E2774">
        <v>2000716481</v>
      </c>
      <c r="F2774">
        <v>700</v>
      </c>
      <c r="G2774">
        <v>537</v>
      </c>
      <c r="H2774">
        <v>0</v>
      </c>
      <c r="I2774" t="s">
        <v>661</v>
      </c>
      <c r="J2774" t="s">
        <v>170</v>
      </c>
      <c r="K2774" t="s">
        <v>899</v>
      </c>
      <c r="O2774">
        <v>0</v>
      </c>
      <c r="U2774" t="s">
        <v>81</v>
      </c>
    </row>
    <row r="2775" spans="1:21" x14ac:dyDescent="0.25">
      <c r="A2775" s="33">
        <v>2790</v>
      </c>
      <c r="B2775" s="24">
        <v>44264</v>
      </c>
      <c r="C2775" t="s">
        <v>39</v>
      </c>
      <c r="D2775" t="s">
        <v>41</v>
      </c>
      <c r="E2775">
        <v>2000716713</v>
      </c>
      <c r="F2775">
        <v>1000</v>
      </c>
      <c r="G2775">
        <v>225</v>
      </c>
      <c r="H2775">
        <v>0</v>
      </c>
      <c r="I2775" t="s">
        <v>661</v>
      </c>
      <c r="J2775" t="s">
        <v>174</v>
      </c>
      <c r="K2775" t="s">
        <v>774</v>
      </c>
      <c r="O2775">
        <v>0</v>
      </c>
      <c r="U2775" t="s">
        <v>81</v>
      </c>
    </row>
    <row r="2776" spans="1:21" x14ac:dyDescent="0.25">
      <c r="A2776" s="33">
        <v>2791</v>
      </c>
      <c r="B2776" s="24">
        <v>44264</v>
      </c>
      <c r="C2776" t="s">
        <v>39</v>
      </c>
      <c r="D2776" t="s">
        <v>41</v>
      </c>
      <c r="E2776">
        <v>2000715711</v>
      </c>
      <c r="F2776">
        <v>1150</v>
      </c>
      <c r="G2776">
        <v>80</v>
      </c>
      <c r="H2776">
        <v>0</v>
      </c>
      <c r="I2776" t="s">
        <v>185</v>
      </c>
      <c r="J2776" t="s">
        <v>196</v>
      </c>
      <c r="K2776" t="s">
        <v>648</v>
      </c>
      <c r="O2776">
        <v>0</v>
      </c>
      <c r="U2776" t="s">
        <v>81</v>
      </c>
    </row>
    <row r="2777" spans="1:21" x14ac:dyDescent="0.25">
      <c r="A2777" s="33">
        <v>2792</v>
      </c>
      <c r="B2777" s="24">
        <v>44264</v>
      </c>
      <c r="C2777" t="s">
        <v>39</v>
      </c>
      <c r="D2777" t="s">
        <v>41</v>
      </c>
      <c r="E2777">
        <v>2000716473</v>
      </c>
      <c r="F2777">
        <v>1000</v>
      </c>
      <c r="G2777">
        <v>80</v>
      </c>
      <c r="H2777">
        <v>0</v>
      </c>
      <c r="I2777" t="s">
        <v>185</v>
      </c>
      <c r="J2777" t="s">
        <v>172</v>
      </c>
      <c r="K2777" t="s">
        <v>854</v>
      </c>
      <c r="O2777">
        <v>0</v>
      </c>
      <c r="U2777" t="s">
        <v>81</v>
      </c>
    </row>
    <row r="2778" spans="1:21" x14ac:dyDescent="0.25">
      <c r="A2778" s="33">
        <v>2793</v>
      </c>
      <c r="B2778" s="24">
        <v>44264</v>
      </c>
      <c r="C2778" t="s">
        <v>39</v>
      </c>
      <c r="D2778" t="s">
        <v>41</v>
      </c>
      <c r="E2778">
        <v>2000716772</v>
      </c>
      <c r="F2778">
        <v>380</v>
      </c>
      <c r="G2778">
        <v>80</v>
      </c>
      <c r="H2778">
        <v>0</v>
      </c>
      <c r="I2778" t="s">
        <v>185</v>
      </c>
      <c r="J2778" t="s">
        <v>175</v>
      </c>
      <c r="K2778" t="s">
        <v>758</v>
      </c>
      <c r="O2778">
        <v>0</v>
      </c>
      <c r="U2778" t="s">
        <v>81</v>
      </c>
    </row>
    <row r="2779" spans="1:21" x14ac:dyDescent="0.25">
      <c r="A2779" s="33">
        <v>2794</v>
      </c>
      <c r="B2779" s="24">
        <v>44264</v>
      </c>
      <c r="C2779" t="s">
        <v>39</v>
      </c>
      <c r="D2779" t="s">
        <v>41</v>
      </c>
      <c r="E2779">
        <v>2000716746</v>
      </c>
      <c r="F2779">
        <v>570</v>
      </c>
      <c r="G2779">
        <v>80</v>
      </c>
      <c r="H2779">
        <v>0</v>
      </c>
      <c r="I2779" t="s">
        <v>185</v>
      </c>
      <c r="J2779" t="s">
        <v>169</v>
      </c>
      <c r="K2779" t="s">
        <v>663</v>
      </c>
      <c r="O2779">
        <v>0</v>
      </c>
      <c r="U2779" t="s">
        <v>81</v>
      </c>
    </row>
    <row r="2780" spans="1:21" x14ac:dyDescent="0.25">
      <c r="A2780" s="33">
        <v>2795</v>
      </c>
      <c r="B2780" s="24">
        <v>44264</v>
      </c>
      <c r="C2780" t="s">
        <v>39</v>
      </c>
      <c r="D2780" t="s">
        <v>41</v>
      </c>
      <c r="E2780">
        <v>2000716773</v>
      </c>
      <c r="F2780">
        <v>500</v>
      </c>
      <c r="G2780">
        <v>80</v>
      </c>
      <c r="H2780">
        <v>0</v>
      </c>
      <c r="I2780" t="s">
        <v>185</v>
      </c>
      <c r="J2780" t="s">
        <v>645</v>
      </c>
      <c r="K2780" t="s">
        <v>719</v>
      </c>
      <c r="O2780">
        <v>0</v>
      </c>
      <c r="U2780" t="s">
        <v>81</v>
      </c>
    </row>
    <row r="2781" spans="1:21" x14ac:dyDescent="0.25">
      <c r="A2781" s="33">
        <v>2796</v>
      </c>
      <c r="B2781" s="24">
        <v>44264</v>
      </c>
      <c r="C2781" t="s">
        <v>39</v>
      </c>
      <c r="D2781" t="s">
        <v>41</v>
      </c>
      <c r="E2781">
        <v>2000715867</v>
      </c>
      <c r="F2781">
        <v>1600</v>
      </c>
      <c r="G2781">
        <v>120</v>
      </c>
      <c r="H2781">
        <v>0</v>
      </c>
      <c r="I2781" t="s">
        <v>185</v>
      </c>
      <c r="J2781" t="s">
        <v>645</v>
      </c>
      <c r="K2781" t="s">
        <v>721</v>
      </c>
      <c r="O2781">
        <v>0</v>
      </c>
      <c r="U2781" t="s">
        <v>81</v>
      </c>
    </row>
    <row r="2782" spans="1:21" x14ac:dyDescent="0.25">
      <c r="A2782" s="33">
        <v>2797</v>
      </c>
      <c r="B2782" s="24">
        <v>44264</v>
      </c>
      <c r="C2782" t="s">
        <v>39</v>
      </c>
      <c r="D2782" t="s">
        <v>41</v>
      </c>
      <c r="E2782">
        <v>2000716789</v>
      </c>
      <c r="F2782">
        <v>380</v>
      </c>
      <c r="G2782">
        <v>80</v>
      </c>
      <c r="H2782">
        <v>0</v>
      </c>
      <c r="I2782" t="s">
        <v>185</v>
      </c>
      <c r="J2782" t="s">
        <v>196</v>
      </c>
      <c r="K2782" t="s">
        <v>689</v>
      </c>
      <c r="O2782">
        <v>0</v>
      </c>
      <c r="U2782" t="s">
        <v>81</v>
      </c>
    </row>
    <row r="2783" spans="1:21" x14ac:dyDescent="0.25">
      <c r="A2783" s="33">
        <v>2798</v>
      </c>
      <c r="B2783" s="24">
        <v>44264</v>
      </c>
      <c r="C2783" t="s">
        <v>39</v>
      </c>
      <c r="D2783" t="s">
        <v>41</v>
      </c>
      <c r="E2783">
        <v>2000716774</v>
      </c>
      <c r="F2783">
        <v>320</v>
      </c>
      <c r="G2783">
        <v>40</v>
      </c>
      <c r="H2783">
        <v>0</v>
      </c>
      <c r="I2783" t="s">
        <v>185</v>
      </c>
      <c r="J2783" t="s">
        <v>645</v>
      </c>
      <c r="K2783" t="s">
        <v>734</v>
      </c>
      <c r="O2783">
        <v>0</v>
      </c>
      <c r="U2783" t="s">
        <v>81</v>
      </c>
    </row>
    <row r="2784" spans="1:21" x14ac:dyDescent="0.25">
      <c r="A2784" s="33">
        <v>2799</v>
      </c>
      <c r="B2784" s="24">
        <v>44264</v>
      </c>
      <c r="C2784" t="s">
        <v>39</v>
      </c>
      <c r="D2784" t="s">
        <v>41</v>
      </c>
      <c r="E2784">
        <v>2000715606</v>
      </c>
      <c r="F2784">
        <v>3600</v>
      </c>
      <c r="G2784">
        <v>300</v>
      </c>
      <c r="H2784">
        <v>0</v>
      </c>
      <c r="I2784" t="s">
        <v>1040</v>
      </c>
      <c r="J2784" t="s">
        <v>169</v>
      </c>
      <c r="K2784" t="s">
        <v>652</v>
      </c>
      <c r="O2784">
        <v>0</v>
      </c>
      <c r="U2784" t="s">
        <v>81</v>
      </c>
    </row>
    <row r="2785" spans="1:21" x14ac:dyDescent="0.25">
      <c r="A2785" s="33">
        <v>2800</v>
      </c>
      <c r="B2785" s="24">
        <v>44264</v>
      </c>
      <c r="C2785" t="s">
        <v>39</v>
      </c>
      <c r="D2785" t="s">
        <v>41</v>
      </c>
      <c r="E2785">
        <v>2000715914</v>
      </c>
      <c r="F2785">
        <v>3904</v>
      </c>
      <c r="G2785">
        <v>1104</v>
      </c>
      <c r="H2785">
        <v>0</v>
      </c>
      <c r="I2785" t="s">
        <v>1040</v>
      </c>
      <c r="J2785" t="s">
        <v>203</v>
      </c>
      <c r="K2785" t="s">
        <v>788</v>
      </c>
      <c r="O2785">
        <v>0</v>
      </c>
      <c r="U2785" t="s">
        <v>81</v>
      </c>
    </row>
    <row r="2786" spans="1:21" x14ac:dyDescent="0.25">
      <c r="A2786" s="33">
        <v>2801</v>
      </c>
      <c r="B2786" s="24">
        <v>44264</v>
      </c>
      <c r="C2786" t="s">
        <v>39</v>
      </c>
      <c r="D2786" t="s">
        <v>41</v>
      </c>
      <c r="E2786">
        <v>2000715709</v>
      </c>
      <c r="F2786">
        <v>1150</v>
      </c>
      <c r="G2786">
        <v>400</v>
      </c>
      <c r="H2786">
        <v>0</v>
      </c>
      <c r="I2786" t="s">
        <v>1040</v>
      </c>
      <c r="J2786" t="s">
        <v>196</v>
      </c>
      <c r="K2786" t="s">
        <v>682</v>
      </c>
      <c r="O2786">
        <v>0</v>
      </c>
      <c r="U2786" t="s">
        <v>81</v>
      </c>
    </row>
    <row r="2787" spans="1:21" ht="75" x14ac:dyDescent="0.25">
      <c r="A2787" s="33">
        <v>2802</v>
      </c>
      <c r="B2787" s="24">
        <v>44264</v>
      </c>
      <c r="C2787" t="s">
        <v>39</v>
      </c>
      <c r="D2787" t="s">
        <v>41</v>
      </c>
      <c r="E2787">
        <v>2000715861</v>
      </c>
      <c r="F2787">
        <v>2400</v>
      </c>
      <c r="G2787">
        <v>400</v>
      </c>
      <c r="H2787">
        <v>0</v>
      </c>
      <c r="I2787" t="s">
        <v>1040</v>
      </c>
      <c r="J2787" t="s">
        <v>645</v>
      </c>
      <c r="K2787" t="s">
        <v>739</v>
      </c>
      <c r="O2787">
        <v>0</v>
      </c>
      <c r="T2787" s="62" t="s">
        <v>1044</v>
      </c>
      <c r="U2787" t="s">
        <v>81</v>
      </c>
    </row>
    <row r="2788" spans="1:21" x14ac:dyDescent="0.25">
      <c r="A2788" s="33">
        <v>2803</v>
      </c>
      <c r="B2788" s="24">
        <v>44264</v>
      </c>
      <c r="C2788" t="s">
        <v>39</v>
      </c>
      <c r="D2788" t="s">
        <v>41</v>
      </c>
      <c r="E2788">
        <v>2000716455</v>
      </c>
      <c r="F2788">
        <v>1200</v>
      </c>
      <c r="G2788">
        <v>600</v>
      </c>
      <c r="H2788">
        <v>0</v>
      </c>
      <c r="I2788" t="s">
        <v>665</v>
      </c>
      <c r="J2788" t="s">
        <v>196</v>
      </c>
      <c r="K2788" t="s">
        <v>738</v>
      </c>
      <c r="O2788">
        <v>0</v>
      </c>
      <c r="U2788" t="s">
        <v>81</v>
      </c>
    </row>
    <row r="2789" spans="1:21" ht="30" x14ac:dyDescent="0.25">
      <c r="A2789" s="33">
        <v>2804</v>
      </c>
      <c r="B2789" s="24">
        <v>44264</v>
      </c>
      <c r="C2789" t="s">
        <v>39</v>
      </c>
      <c r="D2789" t="s">
        <v>41</v>
      </c>
      <c r="E2789">
        <v>2000716670</v>
      </c>
      <c r="F2789">
        <v>1792</v>
      </c>
      <c r="G2789">
        <v>900</v>
      </c>
      <c r="H2789">
        <v>0</v>
      </c>
      <c r="I2789" t="s">
        <v>201</v>
      </c>
      <c r="J2789" t="s">
        <v>202</v>
      </c>
      <c r="K2789" t="s">
        <v>858</v>
      </c>
      <c r="O2789">
        <v>0</v>
      </c>
      <c r="T2789" s="62" t="s">
        <v>723</v>
      </c>
      <c r="U2789" t="s">
        <v>81</v>
      </c>
    </row>
    <row r="2790" spans="1:21" x14ac:dyDescent="0.25">
      <c r="A2790" s="33">
        <v>2805</v>
      </c>
      <c r="B2790" s="24">
        <v>44264</v>
      </c>
      <c r="C2790" t="s">
        <v>39</v>
      </c>
      <c r="D2790" t="s">
        <v>41</v>
      </c>
      <c r="E2790">
        <v>2000715864</v>
      </c>
      <c r="F2790">
        <v>1600</v>
      </c>
      <c r="G2790">
        <v>200</v>
      </c>
      <c r="H2790">
        <v>0</v>
      </c>
      <c r="I2790" t="s">
        <v>201</v>
      </c>
      <c r="J2790" t="s">
        <v>645</v>
      </c>
      <c r="K2790" t="s">
        <v>756</v>
      </c>
      <c r="O2790">
        <v>0</v>
      </c>
      <c r="U2790" t="s">
        <v>81</v>
      </c>
    </row>
    <row r="2791" spans="1:21" x14ac:dyDescent="0.25">
      <c r="A2791" s="33">
        <v>2806</v>
      </c>
      <c r="B2791" s="24">
        <v>44264</v>
      </c>
      <c r="C2791" t="s">
        <v>39</v>
      </c>
      <c r="D2791" t="s">
        <v>41</v>
      </c>
      <c r="E2791">
        <v>2000716821</v>
      </c>
      <c r="F2791">
        <v>1200</v>
      </c>
      <c r="G2791">
        <v>100</v>
      </c>
      <c r="H2791">
        <v>1</v>
      </c>
      <c r="I2791" t="s">
        <v>201</v>
      </c>
      <c r="J2791" t="s">
        <v>196</v>
      </c>
      <c r="K2791" t="s">
        <v>684</v>
      </c>
      <c r="L2791" t="s">
        <v>97</v>
      </c>
      <c r="N2791" t="s">
        <v>1045</v>
      </c>
      <c r="O2791">
        <v>1</v>
      </c>
      <c r="P2791" t="s">
        <v>1046</v>
      </c>
      <c r="S2791" s="36">
        <v>0.53125</v>
      </c>
      <c r="U2791" t="s">
        <v>81</v>
      </c>
    </row>
    <row r="2792" spans="1:21" x14ac:dyDescent="0.25">
      <c r="A2792" s="33">
        <v>2807</v>
      </c>
      <c r="B2792" s="24">
        <v>44264</v>
      </c>
      <c r="C2792" t="s">
        <v>39</v>
      </c>
      <c r="D2792" t="s">
        <v>41</v>
      </c>
      <c r="E2792">
        <v>2000715866</v>
      </c>
      <c r="F2792">
        <v>1600</v>
      </c>
      <c r="G2792">
        <v>940</v>
      </c>
      <c r="H2792">
        <v>0</v>
      </c>
      <c r="I2792" t="s">
        <v>201</v>
      </c>
      <c r="J2792" t="s">
        <v>645</v>
      </c>
      <c r="K2792" t="s">
        <v>658</v>
      </c>
      <c r="O2792">
        <v>0</v>
      </c>
      <c r="U2792" t="s">
        <v>81</v>
      </c>
    </row>
    <row r="2793" spans="1:21" x14ac:dyDescent="0.25">
      <c r="A2793" s="33">
        <v>2808</v>
      </c>
      <c r="B2793" s="24">
        <v>44264</v>
      </c>
      <c r="C2793" t="s">
        <v>39</v>
      </c>
      <c r="D2793" t="s">
        <v>41</v>
      </c>
      <c r="E2793">
        <v>2000715667</v>
      </c>
      <c r="F2793">
        <v>1900</v>
      </c>
      <c r="G2793">
        <v>200</v>
      </c>
      <c r="H2793">
        <v>0</v>
      </c>
      <c r="I2793" t="s">
        <v>201</v>
      </c>
      <c r="J2793" t="s">
        <v>172</v>
      </c>
      <c r="K2793" t="s">
        <v>725</v>
      </c>
      <c r="O2793">
        <v>0</v>
      </c>
      <c r="U2793" t="s">
        <v>81</v>
      </c>
    </row>
    <row r="2794" spans="1:21" x14ac:dyDescent="0.25">
      <c r="A2794" s="33">
        <v>2809</v>
      </c>
      <c r="B2794" s="24">
        <v>44264</v>
      </c>
      <c r="C2794" t="s">
        <v>39</v>
      </c>
      <c r="D2794" t="s">
        <v>41</v>
      </c>
      <c r="E2794">
        <v>2000715865</v>
      </c>
      <c r="F2794">
        <v>1600</v>
      </c>
      <c r="G2794">
        <v>150</v>
      </c>
      <c r="H2794">
        <v>0</v>
      </c>
      <c r="I2794" t="s">
        <v>201</v>
      </c>
      <c r="J2794" t="s">
        <v>645</v>
      </c>
      <c r="K2794" t="s">
        <v>739</v>
      </c>
      <c r="O2794">
        <v>0</v>
      </c>
      <c r="U2794" t="s">
        <v>81</v>
      </c>
    </row>
    <row r="2795" spans="1:21" x14ac:dyDescent="0.25">
      <c r="A2795" s="33">
        <v>2810</v>
      </c>
      <c r="B2795" s="24">
        <v>44264</v>
      </c>
      <c r="C2795" t="s">
        <v>39</v>
      </c>
      <c r="D2795" t="s">
        <v>41</v>
      </c>
      <c r="E2795">
        <v>2000716823</v>
      </c>
      <c r="F2795">
        <v>1200</v>
      </c>
      <c r="G2795">
        <v>150</v>
      </c>
      <c r="H2795">
        <v>0</v>
      </c>
      <c r="I2795" t="s">
        <v>201</v>
      </c>
      <c r="J2795" t="s">
        <v>196</v>
      </c>
      <c r="K2795" t="s">
        <v>685</v>
      </c>
      <c r="O2795">
        <v>0</v>
      </c>
      <c r="U2795" t="s">
        <v>81</v>
      </c>
    </row>
    <row r="2796" spans="1:21" x14ac:dyDescent="0.25">
      <c r="A2796" s="33">
        <v>2811</v>
      </c>
      <c r="B2796" s="24">
        <v>44264</v>
      </c>
      <c r="C2796" t="s">
        <v>39</v>
      </c>
      <c r="D2796" t="s">
        <v>41</v>
      </c>
      <c r="E2796">
        <v>2000716261</v>
      </c>
      <c r="F2796">
        <v>1050</v>
      </c>
      <c r="G2796">
        <v>160</v>
      </c>
      <c r="H2796">
        <v>0</v>
      </c>
      <c r="I2796" t="s">
        <v>201</v>
      </c>
      <c r="J2796" t="s">
        <v>193</v>
      </c>
      <c r="K2796" t="s">
        <v>686</v>
      </c>
      <c r="O2796">
        <v>0</v>
      </c>
      <c r="U2796" t="s">
        <v>81</v>
      </c>
    </row>
    <row r="2797" spans="1:21" x14ac:dyDescent="0.25">
      <c r="A2797" s="33">
        <v>2812</v>
      </c>
      <c r="B2797" s="24">
        <v>44264</v>
      </c>
      <c r="C2797" t="s">
        <v>39</v>
      </c>
      <c r="D2797" t="s">
        <v>41</v>
      </c>
      <c r="E2797">
        <v>2000716463</v>
      </c>
      <c r="F2797">
        <v>1004</v>
      </c>
      <c r="G2797">
        <v>100</v>
      </c>
      <c r="H2797">
        <v>0</v>
      </c>
      <c r="I2797" t="s">
        <v>201</v>
      </c>
      <c r="J2797" t="s">
        <v>196</v>
      </c>
      <c r="K2797" t="s">
        <v>738</v>
      </c>
      <c r="O2797">
        <v>0</v>
      </c>
      <c r="U2797" t="s">
        <v>81</v>
      </c>
    </row>
    <row r="2798" spans="1:21" x14ac:dyDescent="0.25">
      <c r="A2798" s="33">
        <v>2813</v>
      </c>
      <c r="B2798" s="24">
        <v>44264</v>
      </c>
      <c r="C2798" t="s">
        <v>39</v>
      </c>
      <c r="D2798" t="s">
        <v>41</v>
      </c>
      <c r="E2798">
        <v>2000715915</v>
      </c>
      <c r="F2798">
        <v>6600</v>
      </c>
      <c r="G2798">
        <v>450</v>
      </c>
      <c r="H2798">
        <v>0</v>
      </c>
      <c r="I2798" t="s">
        <v>201</v>
      </c>
      <c r="J2798" t="s">
        <v>200</v>
      </c>
      <c r="K2798" t="s">
        <v>737</v>
      </c>
      <c r="O2798">
        <v>0</v>
      </c>
      <c r="U2798" t="s">
        <v>81</v>
      </c>
    </row>
    <row r="2799" spans="1:21" x14ac:dyDescent="0.25">
      <c r="A2799" s="33">
        <v>2814</v>
      </c>
      <c r="B2799" s="24">
        <v>44264</v>
      </c>
      <c r="C2799" t="s">
        <v>39</v>
      </c>
      <c r="D2799" t="s">
        <v>41</v>
      </c>
      <c r="E2799">
        <v>2000715605</v>
      </c>
      <c r="F2799">
        <v>6600</v>
      </c>
      <c r="G2799">
        <v>2400</v>
      </c>
      <c r="H2799">
        <v>0</v>
      </c>
      <c r="I2799" t="s">
        <v>1021</v>
      </c>
      <c r="J2799" t="s">
        <v>200</v>
      </c>
      <c r="K2799" t="s">
        <v>737</v>
      </c>
      <c r="O2799">
        <v>0</v>
      </c>
      <c r="U2799" t="s">
        <v>81</v>
      </c>
    </row>
    <row r="2800" spans="1:21" x14ac:dyDescent="0.25">
      <c r="A2800" s="33">
        <v>2815</v>
      </c>
      <c r="B2800" s="24">
        <v>44264</v>
      </c>
      <c r="C2800" t="s">
        <v>39</v>
      </c>
      <c r="D2800" t="s">
        <v>41</v>
      </c>
      <c r="E2800">
        <v>2000715915</v>
      </c>
      <c r="F2800">
        <v>6600</v>
      </c>
      <c r="G2800">
        <v>450</v>
      </c>
      <c r="H2800">
        <v>0</v>
      </c>
      <c r="I2800" t="s">
        <v>1021</v>
      </c>
      <c r="J2800" t="s">
        <v>200</v>
      </c>
      <c r="K2800" t="s">
        <v>737</v>
      </c>
      <c r="O2800">
        <v>0</v>
      </c>
      <c r="U2800" t="s">
        <v>81</v>
      </c>
    </row>
    <row r="2801" spans="1:21" x14ac:dyDescent="0.25">
      <c r="A2801" s="33">
        <v>2816</v>
      </c>
      <c r="B2801" s="24">
        <v>44264</v>
      </c>
      <c r="C2801" t="s">
        <v>39</v>
      </c>
      <c r="D2801" t="s">
        <v>51</v>
      </c>
      <c r="E2801">
        <v>2000716587</v>
      </c>
      <c r="F2801">
        <v>80</v>
      </c>
      <c r="G2801">
        <v>80</v>
      </c>
      <c r="H2801">
        <v>0</v>
      </c>
      <c r="I2801" t="s">
        <v>191</v>
      </c>
      <c r="J2801" t="s">
        <v>669</v>
      </c>
      <c r="K2801" t="s">
        <v>679</v>
      </c>
      <c r="O2801">
        <v>0</v>
      </c>
      <c r="U2801" t="s">
        <v>81</v>
      </c>
    </row>
    <row r="2802" spans="1:21" x14ac:dyDescent="0.25">
      <c r="A2802" s="33">
        <v>2817</v>
      </c>
      <c r="B2802" s="24">
        <v>44264</v>
      </c>
      <c r="C2802" t="s">
        <v>39</v>
      </c>
      <c r="D2802" t="s">
        <v>51</v>
      </c>
      <c r="E2802">
        <v>2000716584</v>
      </c>
      <c r="F2802">
        <v>80</v>
      </c>
      <c r="G2802">
        <v>80</v>
      </c>
      <c r="H2802">
        <v>0</v>
      </c>
      <c r="I2802" t="s">
        <v>191</v>
      </c>
      <c r="J2802" t="s">
        <v>676</v>
      </c>
      <c r="K2802" t="s">
        <v>677</v>
      </c>
      <c r="O2802">
        <v>0</v>
      </c>
      <c r="U2802" t="s">
        <v>81</v>
      </c>
    </row>
    <row r="2803" spans="1:21" x14ac:dyDescent="0.25">
      <c r="A2803" s="33">
        <v>2818</v>
      </c>
      <c r="B2803" s="24">
        <v>44264</v>
      </c>
      <c r="C2803" t="s">
        <v>39</v>
      </c>
      <c r="D2803" t="s">
        <v>51</v>
      </c>
      <c r="E2803">
        <v>2000716868</v>
      </c>
      <c r="F2803">
        <v>400</v>
      </c>
      <c r="G2803">
        <v>120</v>
      </c>
      <c r="H2803">
        <v>0</v>
      </c>
      <c r="I2803" t="s">
        <v>191</v>
      </c>
      <c r="J2803" t="s">
        <v>676</v>
      </c>
      <c r="K2803" t="s">
        <v>677</v>
      </c>
      <c r="O2803">
        <v>0</v>
      </c>
      <c r="U2803" t="s">
        <v>81</v>
      </c>
    </row>
    <row r="2804" spans="1:21" x14ac:dyDescent="0.25">
      <c r="A2804" s="33">
        <v>2819</v>
      </c>
      <c r="B2804" s="24">
        <v>44264</v>
      </c>
      <c r="C2804" t="s">
        <v>39</v>
      </c>
      <c r="D2804" t="s">
        <v>51</v>
      </c>
      <c r="E2804">
        <v>2000713074</v>
      </c>
      <c r="F2804">
        <v>660</v>
      </c>
      <c r="G2804">
        <v>30</v>
      </c>
      <c r="H2804">
        <v>0</v>
      </c>
      <c r="I2804" t="s">
        <v>191</v>
      </c>
      <c r="J2804" t="s">
        <v>667</v>
      </c>
      <c r="K2804" t="s">
        <v>668</v>
      </c>
      <c r="O2804">
        <v>0</v>
      </c>
      <c r="U2804" t="s">
        <v>81</v>
      </c>
    </row>
    <row r="2805" spans="1:21" x14ac:dyDescent="0.25">
      <c r="A2805" s="33">
        <v>2820</v>
      </c>
      <c r="B2805" s="24">
        <v>44264</v>
      </c>
      <c r="C2805" t="s">
        <v>39</v>
      </c>
      <c r="D2805" t="s">
        <v>51</v>
      </c>
      <c r="E2805">
        <v>2000715655</v>
      </c>
      <c r="F2805">
        <v>501</v>
      </c>
      <c r="G2805">
        <v>278</v>
      </c>
      <c r="H2805">
        <v>0</v>
      </c>
      <c r="I2805" t="s">
        <v>191</v>
      </c>
      <c r="J2805" t="s">
        <v>667</v>
      </c>
      <c r="K2805" t="s">
        <v>668</v>
      </c>
      <c r="O2805">
        <v>0</v>
      </c>
      <c r="U2805" t="s">
        <v>81</v>
      </c>
    </row>
    <row r="2806" spans="1:21" x14ac:dyDescent="0.25">
      <c r="A2806" s="33">
        <v>2821</v>
      </c>
      <c r="B2806" s="24">
        <v>44264</v>
      </c>
      <c r="C2806" t="s">
        <v>39</v>
      </c>
      <c r="D2806" t="s">
        <v>51</v>
      </c>
      <c r="E2806">
        <v>2000717045</v>
      </c>
      <c r="F2806">
        <v>300</v>
      </c>
      <c r="G2806">
        <v>49</v>
      </c>
      <c r="H2806">
        <v>0</v>
      </c>
      <c r="I2806" t="s">
        <v>191</v>
      </c>
      <c r="J2806" t="s">
        <v>669</v>
      </c>
      <c r="K2806" t="s">
        <v>834</v>
      </c>
      <c r="O2806">
        <v>0</v>
      </c>
      <c r="U2806" t="s">
        <v>81</v>
      </c>
    </row>
    <row r="2807" spans="1:21" x14ac:dyDescent="0.25">
      <c r="A2807" s="33">
        <v>2822</v>
      </c>
      <c r="B2807" s="24">
        <v>44264</v>
      </c>
      <c r="C2807" t="s">
        <v>39</v>
      </c>
      <c r="D2807" t="s">
        <v>51</v>
      </c>
      <c r="E2807">
        <v>2000716864</v>
      </c>
      <c r="F2807">
        <v>80</v>
      </c>
      <c r="G2807">
        <v>30</v>
      </c>
      <c r="H2807">
        <v>0</v>
      </c>
      <c r="I2807" t="s">
        <v>191</v>
      </c>
      <c r="J2807" t="s">
        <v>669</v>
      </c>
      <c r="K2807" t="s">
        <v>744</v>
      </c>
      <c r="O2807">
        <v>0</v>
      </c>
      <c r="U2807" t="s">
        <v>81</v>
      </c>
    </row>
    <row r="2808" spans="1:21" x14ac:dyDescent="0.25">
      <c r="A2808" s="33">
        <v>2823</v>
      </c>
      <c r="B2808" s="24">
        <v>44264</v>
      </c>
      <c r="C2808" t="s">
        <v>39</v>
      </c>
      <c r="D2808" t="s">
        <v>51</v>
      </c>
      <c r="E2808">
        <v>2000716582</v>
      </c>
      <c r="F2808">
        <v>350</v>
      </c>
      <c r="G2808">
        <v>80</v>
      </c>
      <c r="H2808">
        <v>0</v>
      </c>
      <c r="I2808" t="s">
        <v>191</v>
      </c>
      <c r="J2808" t="s">
        <v>669</v>
      </c>
      <c r="K2808" t="s">
        <v>810</v>
      </c>
      <c r="O2808">
        <v>0</v>
      </c>
      <c r="U2808" t="s">
        <v>81</v>
      </c>
    </row>
    <row r="2809" spans="1:21" x14ac:dyDescent="0.25">
      <c r="A2809" s="33">
        <v>2824</v>
      </c>
      <c r="B2809" s="24">
        <v>44264</v>
      </c>
      <c r="C2809" t="s">
        <v>39</v>
      </c>
      <c r="D2809" t="s">
        <v>51</v>
      </c>
      <c r="E2809">
        <v>2000715659</v>
      </c>
      <c r="F2809">
        <v>1140</v>
      </c>
      <c r="G2809">
        <v>175</v>
      </c>
      <c r="H2809">
        <v>0</v>
      </c>
      <c r="I2809" t="s">
        <v>191</v>
      </c>
      <c r="J2809" t="s">
        <v>667</v>
      </c>
      <c r="K2809" t="s">
        <v>671</v>
      </c>
      <c r="O2809">
        <v>0</v>
      </c>
      <c r="U2809" t="s">
        <v>81</v>
      </c>
    </row>
    <row r="2810" spans="1:21" x14ac:dyDescent="0.25">
      <c r="A2810" s="33">
        <v>2825</v>
      </c>
      <c r="B2810" s="24">
        <v>44264</v>
      </c>
      <c r="C2810" t="s">
        <v>39</v>
      </c>
      <c r="D2810" t="s">
        <v>51</v>
      </c>
      <c r="E2810">
        <v>2000715986</v>
      </c>
      <c r="F2810">
        <v>10</v>
      </c>
      <c r="G2810">
        <v>10</v>
      </c>
      <c r="H2810">
        <v>0</v>
      </c>
      <c r="I2810" t="s">
        <v>191</v>
      </c>
      <c r="J2810" t="s">
        <v>673</v>
      </c>
      <c r="K2810" t="s">
        <v>708</v>
      </c>
      <c r="O2810">
        <v>0</v>
      </c>
      <c r="U2810" t="s">
        <v>81</v>
      </c>
    </row>
    <row r="2811" spans="1:21" x14ac:dyDescent="0.25">
      <c r="A2811" s="33">
        <v>2826</v>
      </c>
      <c r="B2811" s="24">
        <v>44264</v>
      </c>
      <c r="C2811" t="s">
        <v>181</v>
      </c>
      <c r="D2811" t="s">
        <v>41</v>
      </c>
      <c r="E2811">
        <v>2000716673</v>
      </c>
      <c r="F2811">
        <v>280</v>
      </c>
      <c r="G2811">
        <v>13</v>
      </c>
      <c r="H2811">
        <v>0</v>
      </c>
      <c r="I2811" t="s">
        <v>198</v>
      </c>
      <c r="J2811" t="s">
        <v>174</v>
      </c>
      <c r="K2811" t="s">
        <v>186</v>
      </c>
      <c r="O2811">
        <v>0</v>
      </c>
      <c r="U2811" t="s">
        <v>81</v>
      </c>
    </row>
    <row r="2812" spans="1:21" x14ac:dyDescent="0.25">
      <c r="A2812" s="33">
        <v>2827</v>
      </c>
      <c r="B2812" s="24">
        <v>44264</v>
      </c>
      <c r="C2812" t="s">
        <v>181</v>
      </c>
      <c r="D2812" t="s">
        <v>41</v>
      </c>
      <c r="E2812">
        <v>2000715715</v>
      </c>
      <c r="F2812">
        <v>1230</v>
      </c>
      <c r="G2812">
        <v>120</v>
      </c>
      <c r="H2812">
        <v>0</v>
      </c>
      <c r="I2812" t="s">
        <v>198</v>
      </c>
      <c r="J2812" t="s">
        <v>169</v>
      </c>
      <c r="K2812" t="s">
        <v>663</v>
      </c>
      <c r="O2812">
        <v>0</v>
      </c>
      <c r="U2812" t="s">
        <v>81</v>
      </c>
    </row>
    <row r="2813" spans="1:21" x14ac:dyDescent="0.25">
      <c r="A2813" s="33">
        <v>2828</v>
      </c>
      <c r="B2813" s="24">
        <v>44264</v>
      </c>
      <c r="C2813" t="s">
        <v>181</v>
      </c>
      <c r="D2813" t="s">
        <v>41</v>
      </c>
      <c r="E2813">
        <v>2000716705</v>
      </c>
      <c r="F2813">
        <v>960</v>
      </c>
      <c r="G2813">
        <v>39</v>
      </c>
      <c r="H2813">
        <v>0</v>
      </c>
      <c r="I2813" t="s">
        <v>198</v>
      </c>
      <c r="J2813" t="s">
        <v>174</v>
      </c>
      <c r="K2813" t="s">
        <v>805</v>
      </c>
      <c r="O2813">
        <v>0</v>
      </c>
      <c r="U2813" t="s">
        <v>81</v>
      </c>
    </row>
    <row r="2814" spans="1:21" x14ac:dyDescent="0.25">
      <c r="A2814" s="33">
        <v>2829</v>
      </c>
      <c r="B2814" s="24">
        <v>44264</v>
      </c>
      <c r="C2814" t="s">
        <v>181</v>
      </c>
      <c r="D2814" t="s">
        <v>41</v>
      </c>
      <c r="E2814">
        <v>2000716740</v>
      </c>
      <c r="F2814">
        <v>1200</v>
      </c>
      <c r="G2814">
        <v>80</v>
      </c>
      <c r="H2814">
        <v>0</v>
      </c>
      <c r="I2814" t="s">
        <v>198</v>
      </c>
      <c r="J2814" t="s">
        <v>687</v>
      </c>
      <c r="K2814" t="s">
        <v>705</v>
      </c>
      <c r="O2814">
        <v>0</v>
      </c>
      <c r="U2814" t="s">
        <v>81</v>
      </c>
    </row>
    <row r="2815" spans="1:21" x14ac:dyDescent="0.25">
      <c r="A2815" s="33">
        <v>2830</v>
      </c>
      <c r="B2815" s="24">
        <v>44264</v>
      </c>
      <c r="C2815" t="s">
        <v>181</v>
      </c>
      <c r="D2815" t="s">
        <v>41</v>
      </c>
      <c r="E2815">
        <v>2000716806</v>
      </c>
      <c r="F2815">
        <v>2000</v>
      </c>
      <c r="G2815">
        <v>80</v>
      </c>
      <c r="H2815">
        <v>0</v>
      </c>
      <c r="I2815" t="s">
        <v>198</v>
      </c>
      <c r="J2815" t="s">
        <v>172</v>
      </c>
      <c r="K2815" t="s">
        <v>724</v>
      </c>
      <c r="O2815">
        <v>0</v>
      </c>
      <c r="U2815" t="s">
        <v>81</v>
      </c>
    </row>
    <row r="2816" spans="1:21" ht="45" x14ac:dyDescent="0.25">
      <c r="A2816" s="33">
        <v>2831</v>
      </c>
      <c r="B2816" s="24">
        <v>44264</v>
      </c>
      <c r="C2816" t="s">
        <v>181</v>
      </c>
      <c r="D2816" t="s">
        <v>41</v>
      </c>
      <c r="E2816">
        <v>2000716807</v>
      </c>
      <c r="F2816">
        <v>800</v>
      </c>
      <c r="G2816">
        <v>80</v>
      </c>
      <c r="H2816">
        <v>0</v>
      </c>
      <c r="I2816" t="s">
        <v>198</v>
      </c>
      <c r="J2816" t="s">
        <v>172</v>
      </c>
      <c r="K2816" t="s">
        <v>173</v>
      </c>
      <c r="O2816">
        <v>0</v>
      </c>
      <c r="T2816" s="62" t="s">
        <v>775</v>
      </c>
      <c r="U2816" t="s">
        <v>81</v>
      </c>
    </row>
    <row r="2817" spans="1:21" x14ac:dyDescent="0.25">
      <c r="A2817" s="33">
        <v>2832</v>
      </c>
      <c r="B2817" s="24">
        <v>44264</v>
      </c>
      <c r="C2817" t="s">
        <v>181</v>
      </c>
      <c r="D2817" t="s">
        <v>41</v>
      </c>
      <c r="E2817">
        <v>2000716790</v>
      </c>
      <c r="F2817">
        <v>800</v>
      </c>
      <c r="G2817">
        <v>80</v>
      </c>
      <c r="H2817">
        <v>0</v>
      </c>
      <c r="I2817" t="s">
        <v>198</v>
      </c>
      <c r="J2817" t="s">
        <v>645</v>
      </c>
      <c r="K2817" t="s">
        <v>718</v>
      </c>
      <c r="O2817">
        <v>0</v>
      </c>
      <c r="U2817" t="s">
        <v>81</v>
      </c>
    </row>
    <row r="2818" spans="1:21" x14ac:dyDescent="0.25">
      <c r="A2818" s="33">
        <v>2833</v>
      </c>
      <c r="B2818" s="24">
        <v>44264</v>
      </c>
      <c r="C2818" t="s">
        <v>181</v>
      </c>
      <c r="D2818" t="s">
        <v>41</v>
      </c>
      <c r="E2818">
        <v>2000716811</v>
      </c>
      <c r="F2818">
        <v>540</v>
      </c>
      <c r="G2818">
        <v>40</v>
      </c>
      <c r="H2818">
        <v>0</v>
      </c>
      <c r="I2818" t="s">
        <v>198</v>
      </c>
      <c r="J2818" t="s">
        <v>172</v>
      </c>
      <c r="K2818" t="s">
        <v>854</v>
      </c>
      <c r="O2818">
        <v>0</v>
      </c>
      <c r="U2818" t="s">
        <v>81</v>
      </c>
    </row>
    <row r="2819" spans="1:21" x14ac:dyDescent="0.25">
      <c r="A2819" s="33">
        <v>2834</v>
      </c>
      <c r="B2819" s="24">
        <v>44264</v>
      </c>
      <c r="C2819" t="s">
        <v>181</v>
      </c>
      <c r="D2819" t="s">
        <v>41</v>
      </c>
      <c r="E2819">
        <v>2000716824</v>
      </c>
      <c r="F2819">
        <v>1200</v>
      </c>
      <c r="G2819">
        <v>80</v>
      </c>
      <c r="H2819">
        <v>0</v>
      </c>
      <c r="I2819" t="s">
        <v>198</v>
      </c>
      <c r="J2819" t="s">
        <v>196</v>
      </c>
      <c r="K2819" t="s">
        <v>648</v>
      </c>
      <c r="O2819">
        <v>0</v>
      </c>
      <c r="T2819" s="62"/>
      <c r="U2819" t="s">
        <v>81</v>
      </c>
    </row>
    <row r="2820" spans="1:21" x14ac:dyDescent="0.25">
      <c r="A2820" s="33">
        <v>2835</v>
      </c>
      <c r="B2820" s="24">
        <v>44264</v>
      </c>
      <c r="C2820" t="s">
        <v>181</v>
      </c>
      <c r="D2820" t="s">
        <v>41</v>
      </c>
      <c r="E2820">
        <v>2000715386</v>
      </c>
      <c r="F2820">
        <v>4400</v>
      </c>
      <c r="G2820">
        <v>200</v>
      </c>
      <c r="H2820">
        <v>0</v>
      </c>
      <c r="I2820" t="s">
        <v>198</v>
      </c>
      <c r="J2820" t="s">
        <v>200</v>
      </c>
      <c r="K2820" t="s">
        <v>653</v>
      </c>
      <c r="O2820">
        <v>0</v>
      </c>
      <c r="U2820" t="s">
        <v>81</v>
      </c>
    </row>
    <row r="2821" spans="1:21" x14ac:dyDescent="0.25">
      <c r="A2821" s="33">
        <v>2836</v>
      </c>
      <c r="B2821" s="24">
        <v>44264</v>
      </c>
      <c r="C2821" t="s">
        <v>181</v>
      </c>
      <c r="D2821" t="s">
        <v>41</v>
      </c>
      <c r="E2821">
        <v>2000715386</v>
      </c>
      <c r="F2821">
        <v>1900</v>
      </c>
      <c r="G2821">
        <v>60</v>
      </c>
      <c r="H2821">
        <v>0</v>
      </c>
      <c r="I2821" t="s">
        <v>198</v>
      </c>
      <c r="J2821" t="s">
        <v>169</v>
      </c>
      <c r="K2821" t="s">
        <v>179</v>
      </c>
      <c r="O2821">
        <v>0</v>
      </c>
      <c r="U2821" t="s">
        <v>81</v>
      </c>
    </row>
    <row r="2822" spans="1:21" x14ac:dyDescent="0.25">
      <c r="A2822" s="33">
        <v>2837</v>
      </c>
      <c r="B2822" s="24">
        <v>44264</v>
      </c>
      <c r="C2822" t="s">
        <v>181</v>
      </c>
      <c r="D2822" t="s">
        <v>41</v>
      </c>
      <c r="E2822">
        <v>2000716302</v>
      </c>
      <c r="F2822">
        <v>720</v>
      </c>
      <c r="G2822">
        <v>60</v>
      </c>
      <c r="H2822">
        <v>0</v>
      </c>
      <c r="I2822" t="s">
        <v>198</v>
      </c>
      <c r="J2822" t="s">
        <v>169</v>
      </c>
      <c r="K2822" t="s">
        <v>664</v>
      </c>
      <c r="O2822">
        <v>0</v>
      </c>
      <c r="U2822" t="s">
        <v>81</v>
      </c>
    </row>
    <row r="2823" spans="1:21" x14ac:dyDescent="0.25">
      <c r="A2823" s="33">
        <v>2838</v>
      </c>
      <c r="B2823" s="24">
        <v>44264</v>
      </c>
      <c r="C2823" t="s">
        <v>181</v>
      </c>
      <c r="D2823" t="s">
        <v>41</v>
      </c>
      <c r="E2823">
        <v>2000716259</v>
      </c>
      <c r="F2823">
        <v>1050</v>
      </c>
      <c r="G2823">
        <v>200</v>
      </c>
      <c r="H2823">
        <v>0</v>
      </c>
      <c r="I2823" t="s">
        <v>680</v>
      </c>
      <c r="J2823" t="s">
        <v>193</v>
      </c>
      <c r="K2823" t="s">
        <v>683</v>
      </c>
      <c r="O2823">
        <v>0</v>
      </c>
      <c r="U2823" t="s">
        <v>81</v>
      </c>
    </row>
    <row r="2824" spans="1:21" x14ac:dyDescent="0.25">
      <c r="A2824" s="33">
        <v>2839</v>
      </c>
      <c r="B2824" s="24">
        <v>44264</v>
      </c>
      <c r="C2824" t="s">
        <v>181</v>
      </c>
      <c r="D2824" t="s">
        <v>41</v>
      </c>
      <c r="E2824">
        <v>2000716254</v>
      </c>
      <c r="F2824">
        <v>1050</v>
      </c>
      <c r="G2824">
        <v>150</v>
      </c>
      <c r="H2824">
        <v>0</v>
      </c>
      <c r="I2824" t="s">
        <v>680</v>
      </c>
      <c r="J2824" t="s">
        <v>193</v>
      </c>
      <c r="K2824" t="s">
        <v>683</v>
      </c>
      <c r="O2824">
        <v>0</v>
      </c>
      <c r="U2824" t="s">
        <v>81</v>
      </c>
    </row>
    <row r="2825" spans="1:21" x14ac:dyDescent="0.25">
      <c r="A2825" s="33">
        <v>2840</v>
      </c>
      <c r="B2825" s="24">
        <v>44264</v>
      </c>
      <c r="C2825" t="s">
        <v>181</v>
      </c>
      <c r="D2825" t="s">
        <v>41</v>
      </c>
      <c r="E2825">
        <v>2000715915</v>
      </c>
      <c r="F2825">
        <v>6600</v>
      </c>
      <c r="G2825">
        <v>300</v>
      </c>
      <c r="H2825">
        <v>0</v>
      </c>
      <c r="I2825" t="s">
        <v>680</v>
      </c>
      <c r="J2825" t="s">
        <v>200</v>
      </c>
      <c r="K2825" t="s">
        <v>652</v>
      </c>
      <c r="O2825">
        <v>0</v>
      </c>
      <c r="T2825" s="62"/>
      <c r="U2825" t="s">
        <v>81</v>
      </c>
    </row>
    <row r="2826" spans="1:21" x14ac:dyDescent="0.25">
      <c r="A2826" s="33">
        <v>2841</v>
      </c>
      <c r="B2826" s="24">
        <v>44264</v>
      </c>
      <c r="C2826" t="s">
        <v>181</v>
      </c>
      <c r="D2826" t="s">
        <v>41</v>
      </c>
      <c r="E2826">
        <v>2000716728</v>
      </c>
      <c r="F2826">
        <v>3200</v>
      </c>
      <c r="G2826">
        <v>400</v>
      </c>
      <c r="H2826">
        <v>0</v>
      </c>
      <c r="I2826" t="s">
        <v>680</v>
      </c>
      <c r="J2826" t="s">
        <v>203</v>
      </c>
      <c r="K2826" t="s">
        <v>788</v>
      </c>
      <c r="O2826">
        <v>0</v>
      </c>
      <c r="T2826" s="62"/>
      <c r="U2826" t="s">
        <v>81</v>
      </c>
    </row>
    <row r="2827" spans="1:21" x14ac:dyDescent="0.25">
      <c r="A2827" s="33">
        <v>2842</v>
      </c>
      <c r="B2827" s="24">
        <v>44264</v>
      </c>
      <c r="C2827" t="s">
        <v>181</v>
      </c>
      <c r="D2827" t="s">
        <v>41</v>
      </c>
      <c r="E2827">
        <v>2000716455</v>
      </c>
      <c r="F2827">
        <v>1200</v>
      </c>
      <c r="G2827">
        <v>300</v>
      </c>
      <c r="H2827">
        <v>0</v>
      </c>
      <c r="I2827" t="s">
        <v>680</v>
      </c>
      <c r="J2827" t="s">
        <v>196</v>
      </c>
      <c r="K2827" t="s">
        <v>738</v>
      </c>
      <c r="O2827">
        <v>0</v>
      </c>
      <c r="U2827" t="s">
        <v>81</v>
      </c>
    </row>
    <row r="2828" spans="1:21" x14ac:dyDescent="0.25">
      <c r="A2828" s="33">
        <v>2843</v>
      </c>
      <c r="B2828" s="24">
        <v>44264</v>
      </c>
      <c r="C2828" t="s">
        <v>181</v>
      </c>
      <c r="D2828" t="s">
        <v>41</v>
      </c>
      <c r="E2828">
        <v>2000716839</v>
      </c>
      <c r="F2828">
        <v>190</v>
      </c>
      <c r="G2828">
        <v>50</v>
      </c>
      <c r="H2828">
        <v>0</v>
      </c>
      <c r="I2828" t="s">
        <v>680</v>
      </c>
      <c r="J2828" t="s">
        <v>202</v>
      </c>
      <c r="K2828" t="s">
        <v>831</v>
      </c>
      <c r="O2828">
        <v>0</v>
      </c>
      <c r="U2828" t="s">
        <v>81</v>
      </c>
    </row>
    <row r="2829" spans="1:21" x14ac:dyDescent="0.25">
      <c r="A2829" s="33">
        <v>2844</v>
      </c>
      <c r="B2829" s="24">
        <v>44264</v>
      </c>
      <c r="C2829" t="s">
        <v>181</v>
      </c>
      <c r="D2829" t="s">
        <v>41</v>
      </c>
      <c r="E2829">
        <v>2000715702</v>
      </c>
      <c r="F2829">
        <v>470</v>
      </c>
      <c r="G2829">
        <v>200</v>
      </c>
      <c r="H2829">
        <v>0</v>
      </c>
      <c r="I2829" t="s">
        <v>680</v>
      </c>
      <c r="J2829" t="s">
        <v>172</v>
      </c>
      <c r="K2829" t="s">
        <v>725</v>
      </c>
      <c r="O2829">
        <v>0</v>
      </c>
      <c r="U2829" t="s">
        <v>81</v>
      </c>
    </row>
    <row r="2830" spans="1:21" x14ac:dyDescent="0.25">
      <c r="A2830" s="33">
        <v>2845</v>
      </c>
      <c r="B2830" s="24">
        <v>44264</v>
      </c>
      <c r="C2830" t="s">
        <v>181</v>
      </c>
      <c r="D2830" t="s">
        <v>41</v>
      </c>
      <c r="E2830">
        <v>2000715085</v>
      </c>
      <c r="F2830">
        <v>2180</v>
      </c>
      <c r="G2830">
        <v>150</v>
      </c>
      <c r="H2830">
        <v>0</v>
      </c>
      <c r="I2830" t="s">
        <v>680</v>
      </c>
      <c r="J2830" t="s">
        <v>645</v>
      </c>
      <c r="K2830" t="s">
        <v>658</v>
      </c>
      <c r="O2830">
        <v>0</v>
      </c>
      <c r="U2830" t="s">
        <v>81</v>
      </c>
    </row>
    <row r="2831" spans="1:21" x14ac:dyDescent="0.25">
      <c r="A2831" s="33">
        <v>2846</v>
      </c>
      <c r="B2831" s="24">
        <v>44264</v>
      </c>
      <c r="C2831" t="s">
        <v>181</v>
      </c>
      <c r="D2831" t="s">
        <v>41</v>
      </c>
      <c r="E2831">
        <v>2000716838</v>
      </c>
      <c r="F2831">
        <v>190</v>
      </c>
      <c r="G2831">
        <v>20</v>
      </c>
      <c r="H2831">
        <v>0</v>
      </c>
      <c r="I2831" t="s">
        <v>680</v>
      </c>
      <c r="J2831" t="s">
        <v>202</v>
      </c>
      <c r="K2831" t="s">
        <v>830</v>
      </c>
      <c r="O2831">
        <v>0</v>
      </c>
      <c r="T2831" s="62"/>
      <c r="U2831" t="s">
        <v>81</v>
      </c>
    </row>
    <row r="2832" spans="1:21" x14ac:dyDescent="0.25">
      <c r="A2832" s="33">
        <v>2847</v>
      </c>
      <c r="B2832" s="24">
        <v>44264</v>
      </c>
      <c r="C2832" t="s">
        <v>181</v>
      </c>
      <c r="D2832" t="s">
        <v>41</v>
      </c>
      <c r="E2832">
        <v>2000716142</v>
      </c>
      <c r="F2832">
        <v>554</v>
      </c>
      <c r="G2832">
        <v>300</v>
      </c>
      <c r="H2832">
        <v>0</v>
      </c>
      <c r="I2832" t="s">
        <v>680</v>
      </c>
      <c r="J2832" t="s">
        <v>904</v>
      </c>
      <c r="K2832" t="s">
        <v>905</v>
      </c>
      <c r="O2832">
        <v>0</v>
      </c>
      <c r="T2832" s="62"/>
      <c r="U2832" t="s">
        <v>81</v>
      </c>
    </row>
    <row r="2833" spans="1:21" x14ac:dyDescent="0.25">
      <c r="A2833" s="33">
        <v>2848</v>
      </c>
      <c r="B2833" s="24">
        <v>44264</v>
      </c>
      <c r="C2833" t="s">
        <v>181</v>
      </c>
      <c r="D2833" t="s">
        <v>41</v>
      </c>
      <c r="E2833">
        <v>2000715703</v>
      </c>
      <c r="F2833">
        <v>1000</v>
      </c>
      <c r="G2833">
        <v>200</v>
      </c>
      <c r="H2833">
        <v>0</v>
      </c>
      <c r="I2833" t="s">
        <v>680</v>
      </c>
      <c r="J2833" t="s">
        <v>172</v>
      </c>
      <c r="K2833" t="s">
        <v>725</v>
      </c>
      <c r="O2833">
        <v>0</v>
      </c>
      <c r="U2833" t="s">
        <v>81</v>
      </c>
    </row>
    <row r="2834" spans="1:21" ht="30" x14ac:dyDescent="0.25">
      <c r="A2834" s="33">
        <v>2849</v>
      </c>
      <c r="B2834" s="24">
        <v>44264</v>
      </c>
      <c r="C2834" t="s">
        <v>181</v>
      </c>
      <c r="D2834" t="s">
        <v>41</v>
      </c>
      <c r="E2834">
        <v>2000716664</v>
      </c>
      <c r="F2834">
        <v>130</v>
      </c>
      <c r="G2834">
        <v>80</v>
      </c>
      <c r="H2834">
        <v>0</v>
      </c>
      <c r="I2834" t="s">
        <v>183</v>
      </c>
      <c r="J2834" t="s">
        <v>174</v>
      </c>
      <c r="K2834" t="s">
        <v>695</v>
      </c>
      <c r="O2834">
        <v>0</v>
      </c>
      <c r="T2834" s="62" t="s">
        <v>723</v>
      </c>
      <c r="U2834" t="s">
        <v>81</v>
      </c>
    </row>
    <row r="2835" spans="1:21" ht="30" x14ac:dyDescent="0.25">
      <c r="A2835" s="33">
        <v>2850</v>
      </c>
      <c r="B2835" s="24">
        <v>44264</v>
      </c>
      <c r="C2835" t="s">
        <v>181</v>
      </c>
      <c r="D2835" t="s">
        <v>41</v>
      </c>
      <c r="E2835">
        <v>2000716457</v>
      </c>
      <c r="F2835">
        <v>280</v>
      </c>
      <c r="G2835">
        <v>120</v>
      </c>
      <c r="H2835">
        <v>0</v>
      </c>
      <c r="I2835" t="s">
        <v>183</v>
      </c>
      <c r="J2835" t="s">
        <v>174</v>
      </c>
      <c r="K2835" t="s">
        <v>662</v>
      </c>
      <c r="O2835">
        <v>0</v>
      </c>
      <c r="T2835" s="62" t="s">
        <v>723</v>
      </c>
      <c r="U2835" t="s">
        <v>81</v>
      </c>
    </row>
    <row r="2836" spans="1:21" x14ac:dyDescent="0.25">
      <c r="A2836" s="33">
        <v>2851</v>
      </c>
      <c r="B2836" s="24">
        <v>44264</v>
      </c>
      <c r="C2836" t="s">
        <v>181</v>
      </c>
      <c r="D2836" t="s">
        <v>41</v>
      </c>
      <c r="E2836">
        <v>2000715387</v>
      </c>
      <c r="F2836">
        <v>2912</v>
      </c>
      <c r="G2836">
        <v>320</v>
      </c>
      <c r="H2836">
        <v>0</v>
      </c>
      <c r="I2836" t="s">
        <v>183</v>
      </c>
      <c r="J2836" t="s">
        <v>655</v>
      </c>
      <c r="K2836" t="s">
        <v>656</v>
      </c>
      <c r="O2836">
        <v>0</v>
      </c>
      <c r="U2836" t="s">
        <v>81</v>
      </c>
    </row>
    <row r="2837" spans="1:21" x14ac:dyDescent="0.25">
      <c r="A2837" s="33">
        <v>2852</v>
      </c>
      <c r="B2837" s="24">
        <v>44264</v>
      </c>
      <c r="C2837" t="s">
        <v>181</v>
      </c>
      <c r="D2837" t="s">
        <v>41</v>
      </c>
      <c r="E2837">
        <v>2000714727</v>
      </c>
      <c r="F2837">
        <v>850</v>
      </c>
      <c r="G2837">
        <v>90</v>
      </c>
      <c r="H2837">
        <v>0</v>
      </c>
      <c r="I2837" t="s">
        <v>183</v>
      </c>
      <c r="J2837" t="s">
        <v>698</v>
      </c>
      <c r="K2837" t="s">
        <v>699</v>
      </c>
      <c r="O2837">
        <v>0</v>
      </c>
      <c r="U2837" t="s">
        <v>81</v>
      </c>
    </row>
    <row r="2838" spans="1:21" x14ac:dyDescent="0.25">
      <c r="A2838" s="33">
        <v>2853</v>
      </c>
      <c r="B2838" s="24">
        <v>44264</v>
      </c>
      <c r="C2838" t="s">
        <v>181</v>
      </c>
      <c r="D2838" t="s">
        <v>41</v>
      </c>
      <c r="E2838">
        <v>2000716319</v>
      </c>
      <c r="F2838">
        <v>300</v>
      </c>
      <c r="G2838">
        <v>40</v>
      </c>
      <c r="H2838">
        <v>0</v>
      </c>
      <c r="I2838" t="s">
        <v>183</v>
      </c>
      <c r="J2838" t="s">
        <v>174</v>
      </c>
      <c r="K2838" t="s">
        <v>177</v>
      </c>
      <c r="O2838">
        <v>0</v>
      </c>
      <c r="U2838" t="s">
        <v>81</v>
      </c>
    </row>
    <row r="2839" spans="1:21" x14ac:dyDescent="0.25">
      <c r="A2839" s="33">
        <v>2854</v>
      </c>
      <c r="B2839" s="24">
        <v>44264</v>
      </c>
      <c r="C2839" t="s">
        <v>181</v>
      </c>
      <c r="D2839" t="s">
        <v>41</v>
      </c>
      <c r="E2839">
        <v>2000715863</v>
      </c>
      <c r="F2839">
        <v>2400</v>
      </c>
      <c r="G2839">
        <v>120</v>
      </c>
      <c r="H2839">
        <v>0</v>
      </c>
      <c r="I2839" t="s">
        <v>183</v>
      </c>
      <c r="J2839" t="s">
        <v>645</v>
      </c>
      <c r="K2839" t="s">
        <v>721</v>
      </c>
      <c r="O2839">
        <v>0</v>
      </c>
      <c r="U2839" t="s">
        <v>81</v>
      </c>
    </row>
    <row r="2840" spans="1:21" x14ac:dyDescent="0.25">
      <c r="A2840" s="33">
        <v>2855</v>
      </c>
      <c r="B2840" s="24">
        <v>44264</v>
      </c>
      <c r="C2840" t="s">
        <v>181</v>
      </c>
      <c r="D2840" t="s">
        <v>41</v>
      </c>
      <c r="E2840">
        <v>2000717475</v>
      </c>
      <c r="F2840">
        <v>160</v>
      </c>
      <c r="G2840">
        <v>40</v>
      </c>
      <c r="H2840">
        <v>0</v>
      </c>
      <c r="I2840" t="s">
        <v>183</v>
      </c>
      <c r="J2840" t="s">
        <v>174</v>
      </c>
      <c r="K2840" t="s">
        <v>893</v>
      </c>
      <c r="O2840">
        <v>0</v>
      </c>
      <c r="U2840" t="s">
        <v>81</v>
      </c>
    </row>
    <row r="2841" spans="1:21" x14ac:dyDescent="0.25">
      <c r="A2841" s="33">
        <v>2856</v>
      </c>
      <c r="B2841" s="24">
        <v>44264</v>
      </c>
      <c r="C2841" t="s">
        <v>181</v>
      </c>
      <c r="D2841" t="s">
        <v>41</v>
      </c>
      <c r="E2841">
        <v>2000715873</v>
      </c>
      <c r="F2841">
        <v>1500</v>
      </c>
      <c r="G2841">
        <v>116</v>
      </c>
      <c r="H2841">
        <v>0</v>
      </c>
      <c r="I2841" t="s">
        <v>183</v>
      </c>
      <c r="J2841" t="s">
        <v>645</v>
      </c>
      <c r="K2841" t="s">
        <v>646</v>
      </c>
      <c r="O2841">
        <v>0</v>
      </c>
      <c r="U2841" t="s">
        <v>81</v>
      </c>
    </row>
    <row r="2842" spans="1:21" x14ac:dyDescent="0.25">
      <c r="A2842" s="33">
        <v>2857</v>
      </c>
      <c r="B2842" s="24">
        <v>44264</v>
      </c>
      <c r="C2842" t="s">
        <v>181</v>
      </c>
      <c r="D2842" t="s">
        <v>41</v>
      </c>
      <c r="E2842">
        <v>2000716473</v>
      </c>
      <c r="F2842">
        <v>1000</v>
      </c>
      <c r="G2842">
        <v>40</v>
      </c>
      <c r="H2842">
        <v>0</v>
      </c>
      <c r="I2842" t="s">
        <v>183</v>
      </c>
      <c r="J2842" t="s">
        <v>172</v>
      </c>
      <c r="K2842" t="s">
        <v>854</v>
      </c>
      <c r="O2842">
        <v>0</v>
      </c>
      <c r="T2842" s="62"/>
      <c r="U2842" t="s">
        <v>81</v>
      </c>
    </row>
    <row r="2843" spans="1:21" x14ac:dyDescent="0.25">
      <c r="A2843" s="33">
        <v>2858</v>
      </c>
      <c r="B2843" s="24">
        <v>44264</v>
      </c>
      <c r="C2843" t="s">
        <v>181</v>
      </c>
      <c r="D2843" t="s">
        <v>41</v>
      </c>
      <c r="E2843">
        <v>2000716713</v>
      </c>
      <c r="F2843">
        <v>1000</v>
      </c>
      <c r="G2843">
        <v>775</v>
      </c>
      <c r="H2843">
        <v>0</v>
      </c>
      <c r="I2843" t="s">
        <v>693</v>
      </c>
      <c r="J2843" t="s">
        <v>174</v>
      </c>
      <c r="K2843" t="s">
        <v>774</v>
      </c>
      <c r="O2843">
        <v>0</v>
      </c>
      <c r="U2843" t="s">
        <v>81</v>
      </c>
    </row>
    <row r="2844" spans="1:21" x14ac:dyDescent="0.25">
      <c r="A2844" s="33">
        <v>2859</v>
      </c>
      <c r="B2844" s="24">
        <v>44264</v>
      </c>
      <c r="C2844" t="s">
        <v>181</v>
      </c>
      <c r="D2844" t="s">
        <v>41</v>
      </c>
      <c r="E2844">
        <v>2000716714</v>
      </c>
      <c r="F2844">
        <v>2000</v>
      </c>
      <c r="G2844">
        <v>319</v>
      </c>
      <c r="H2844">
        <v>0</v>
      </c>
      <c r="I2844" t="s">
        <v>693</v>
      </c>
      <c r="J2844" t="s">
        <v>174</v>
      </c>
      <c r="K2844" t="s">
        <v>774</v>
      </c>
      <c r="O2844">
        <v>0</v>
      </c>
      <c r="U2844" t="s">
        <v>81</v>
      </c>
    </row>
    <row r="2845" spans="1:21" x14ac:dyDescent="0.25">
      <c r="A2845" s="33">
        <v>2860</v>
      </c>
      <c r="B2845" s="24">
        <v>44264</v>
      </c>
      <c r="C2845" t="s">
        <v>181</v>
      </c>
      <c r="D2845" t="s">
        <v>41</v>
      </c>
      <c r="E2845">
        <v>2000716427</v>
      </c>
      <c r="F2845">
        <v>500</v>
      </c>
      <c r="G2845">
        <v>240</v>
      </c>
      <c r="H2845">
        <v>1</v>
      </c>
      <c r="I2845" t="s">
        <v>184</v>
      </c>
      <c r="J2845" t="s">
        <v>203</v>
      </c>
      <c r="K2845" t="s">
        <v>785</v>
      </c>
      <c r="L2845" t="s">
        <v>97</v>
      </c>
      <c r="N2845" t="s">
        <v>1047</v>
      </c>
      <c r="O2845">
        <v>1</v>
      </c>
      <c r="P2845" t="s">
        <v>1048</v>
      </c>
      <c r="Q2845" t="s">
        <v>1049</v>
      </c>
      <c r="R2845">
        <v>4120006442</v>
      </c>
      <c r="S2845" s="36">
        <v>0.9472222222222223</v>
      </c>
      <c r="U2845" t="s">
        <v>81</v>
      </c>
    </row>
    <row r="2846" spans="1:21" x14ac:dyDescent="0.25">
      <c r="A2846" s="33">
        <v>2861</v>
      </c>
      <c r="B2846" s="24">
        <v>44264</v>
      </c>
      <c r="C2846" t="s">
        <v>181</v>
      </c>
      <c r="D2846" t="s">
        <v>41</v>
      </c>
      <c r="E2846">
        <v>2000716760</v>
      </c>
      <c r="F2846">
        <v>300</v>
      </c>
      <c r="G2846">
        <v>300</v>
      </c>
      <c r="H2846">
        <v>0</v>
      </c>
      <c r="I2846" t="s">
        <v>184</v>
      </c>
      <c r="J2846" t="s">
        <v>203</v>
      </c>
      <c r="K2846" t="s">
        <v>785</v>
      </c>
      <c r="O2846">
        <v>0</v>
      </c>
      <c r="U2846" t="s">
        <v>81</v>
      </c>
    </row>
    <row r="2847" spans="1:21" x14ac:dyDescent="0.25">
      <c r="A2847" s="33">
        <v>2862</v>
      </c>
      <c r="B2847" s="24">
        <v>44264</v>
      </c>
      <c r="C2847" t="s">
        <v>181</v>
      </c>
      <c r="D2847" t="s">
        <v>41</v>
      </c>
      <c r="E2847">
        <v>2000716759</v>
      </c>
      <c r="F2847">
        <v>400</v>
      </c>
      <c r="G2847">
        <v>180</v>
      </c>
      <c r="H2847">
        <v>0</v>
      </c>
      <c r="I2847" t="s">
        <v>184</v>
      </c>
      <c r="J2847" t="s">
        <v>203</v>
      </c>
      <c r="K2847" t="s">
        <v>638</v>
      </c>
      <c r="O2847">
        <v>0</v>
      </c>
      <c r="U2847" t="s">
        <v>81</v>
      </c>
    </row>
    <row r="2848" spans="1:21" x14ac:dyDescent="0.25">
      <c r="A2848" s="33">
        <v>2863</v>
      </c>
      <c r="B2848" s="24">
        <v>44264</v>
      </c>
      <c r="C2848" t="s">
        <v>181</v>
      </c>
      <c r="D2848" t="s">
        <v>41</v>
      </c>
      <c r="E2848">
        <v>2000716673</v>
      </c>
      <c r="F2848">
        <v>280</v>
      </c>
      <c r="G2848">
        <v>20</v>
      </c>
      <c r="H2848">
        <v>0</v>
      </c>
      <c r="I2848" t="s">
        <v>696</v>
      </c>
      <c r="J2848" t="s">
        <v>174</v>
      </c>
      <c r="K2848" t="s">
        <v>186</v>
      </c>
      <c r="O2848">
        <v>0</v>
      </c>
      <c r="U2848" t="s">
        <v>81</v>
      </c>
    </row>
    <row r="2849" spans="1:21" x14ac:dyDescent="0.25">
      <c r="A2849" s="33">
        <v>2864</v>
      </c>
      <c r="B2849" s="24">
        <v>44264</v>
      </c>
      <c r="C2849" t="s">
        <v>181</v>
      </c>
      <c r="D2849" t="s">
        <v>41</v>
      </c>
      <c r="E2849">
        <v>2000716705</v>
      </c>
      <c r="F2849">
        <v>960</v>
      </c>
      <c r="G2849">
        <v>280</v>
      </c>
      <c r="H2849">
        <v>0</v>
      </c>
      <c r="I2849" t="s">
        <v>696</v>
      </c>
      <c r="J2849" t="s">
        <v>174</v>
      </c>
      <c r="K2849" t="s">
        <v>805</v>
      </c>
      <c r="O2849">
        <v>0</v>
      </c>
      <c r="U2849" t="s">
        <v>81</v>
      </c>
    </row>
    <row r="2850" spans="1:21" x14ac:dyDescent="0.25">
      <c r="A2850" s="33">
        <v>2865</v>
      </c>
      <c r="B2850" s="24">
        <v>44264</v>
      </c>
      <c r="C2850" t="s">
        <v>181</v>
      </c>
      <c r="D2850" t="s">
        <v>41</v>
      </c>
      <c r="E2850">
        <v>2000717475</v>
      </c>
      <c r="F2850">
        <v>160</v>
      </c>
      <c r="G2850">
        <v>120</v>
      </c>
      <c r="H2850">
        <v>0</v>
      </c>
      <c r="I2850" t="s">
        <v>696</v>
      </c>
      <c r="J2850" t="s">
        <v>174</v>
      </c>
      <c r="K2850" t="s">
        <v>893</v>
      </c>
      <c r="O2850">
        <v>0</v>
      </c>
      <c r="U2850" t="s">
        <v>81</v>
      </c>
    </row>
    <row r="2851" spans="1:21" x14ac:dyDescent="0.25">
      <c r="A2851" s="33">
        <v>2866</v>
      </c>
      <c r="B2851" s="24">
        <v>44264</v>
      </c>
      <c r="C2851" t="s">
        <v>181</v>
      </c>
      <c r="D2851" t="s">
        <v>41</v>
      </c>
      <c r="E2851">
        <v>2000716319</v>
      </c>
      <c r="F2851">
        <v>300</v>
      </c>
      <c r="G2851">
        <v>40</v>
      </c>
      <c r="H2851">
        <v>0</v>
      </c>
      <c r="I2851" t="s">
        <v>696</v>
      </c>
      <c r="J2851" t="s">
        <v>174</v>
      </c>
      <c r="K2851" t="s">
        <v>177</v>
      </c>
      <c r="O2851">
        <v>0</v>
      </c>
      <c r="U2851" t="s">
        <v>81</v>
      </c>
    </row>
    <row r="2852" spans="1:21" x14ac:dyDescent="0.25">
      <c r="A2852" s="33">
        <v>2867</v>
      </c>
      <c r="B2852" s="24">
        <v>44264</v>
      </c>
      <c r="C2852" t="s">
        <v>181</v>
      </c>
      <c r="D2852" t="s">
        <v>51</v>
      </c>
      <c r="E2852">
        <v>2000716868</v>
      </c>
      <c r="F2852">
        <v>400</v>
      </c>
      <c r="G2852">
        <v>250</v>
      </c>
      <c r="H2852">
        <v>0</v>
      </c>
      <c r="I2852" t="s">
        <v>706</v>
      </c>
      <c r="J2852" t="s">
        <v>676</v>
      </c>
      <c r="K2852" t="s">
        <v>677</v>
      </c>
      <c r="O2852">
        <v>0</v>
      </c>
      <c r="U2852" t="s">
        <v>81</v>
      </c>
    </row>
    <row r="2853" spans="1:21" x14ac:dyDescent="0.25">
      <c r="A2853" s="33">
        <v>2868</v>
      </c>
      <c r="B2853" s="24">
        <v>44264</v>
      </c>
      <c r="C2853" t="s">
        <v>181</v>
      </c>
      <c r="D2853" t="s">
        <v>51</v>
      </c>
      <c r="E2853">
        <v>2000717046</v>
      </c>
      <c r="F2853">
        <v>300</v>
      </c>
      <c r="G2853">
        <v>180</v>
      </c>
      <c r="H2853">
        <v>0</v>
      </c>
      <c r="I2853" t="s">
        <v>706</v>
      </c>
      <c r="J2853" t="s">
        <v>669</v>
      </c>
      <c r="K2853" t="s">
        <v>834</v>
      </c>
      <c r="O2853">
        <v>0</v>
      </c>
      <c r="U2853" t="s">
        <v>81</v>
      </c>
    </row>
    <row r="2854" spans="1:21" x14ac:dyDescent="0.25">
      <c r="A2854" s="33">
        <v>2869</v>
      </c>
      <c r="B2854" s="24">
        <v>44264</v>
      </c>
      <c r="C2854" t="s">
        <v>181</v>
      </c>
      <c r="D2854" t="s">
        <v>51</v>
      </c>
      <c r="E2854">
        <v>2000715659</v>
      </c>
      <c r="F2854">
        <v>1140</v>
      </c>
      <c r="G2854">
        <v>140</v>
      </c>
      <c r="H2854">
        <v>0</v>
      </c>
      <c r="I2854" t="s">
        <v>706</v>
      </c>
      <c r="J2854" t="s">
        <v>667</v>
      </c>
      <c r="K2854" t="s">
        <v>671</v>
      </c>
      <c r="O2854">
        <v>0</v>
      </c>
      <c r="U2854" t="s">
        <v>81</v>
      </c>
    </row>
    <row r="2855" spans="1:21" x14ac:dyDescent="0.25">
      <c r="A2855" s="33">
        <v>2870</v>
      </c>
      <c r="B2855" s="24">
        <v>44264</v>
      </c>
      <c r="C2855" t="s">
        <v>181</v>
      </c>
      <c r="D2855" t="s">
        <v>51</v>
      </c>
      <c r="E2855">
        <v>2000716582</v>
      </c>
      <c r="F2855">
        <v>350</v>
      </c>
      <c r="G2855">
        <v>80</v>
      </c>
      <c r="H2855">
        <v>0</v>
      </c>
      <c r="I2855" t="s">
        <v>706</v>
      </c>
      <c r="J2855" t="s">
        <v>669</v>
      </c>
      <c r="K2855" t="s">
        <v>810</v>
      </c>
      <c r="O2855">
        <v>0</v>
      </c>
      <c r="U2855" t="s">
        <v>81</v>
      </c>
    </row>
    <row r="2856" spans="1:21" x14ac:dyDescent="0.25">
      <c r="A2856" s="33">
        <v>2871</v>
      </c>
      <c r="B2856" s="24">
        <v>44264</v>
      </c>
      <c r="C2856" t="s">
        <v>181</v>
      </c>
      <c r="D2856" t="s">
        <v>51</v>
      </c>
      <c r="E2856">
        <v>2000716865</v>
      </c>
      <c r="F2856">
        <v>389</v>
      </c>
      <c r="G2856">
        <v>100</v>
      </c>
      <c r="H2856">
        <v>0</v>
      </c>
      <c r="I2856" t="s">
        <v>706</v>
      </c>
      <c r="J2856" t="s">
        <v>673</v>
      </c>
      <c r="K2856" t="s">
        <v>674</v>
      </c>
      <c r="O2856">
        <v>0</v>
      </c>
      <c r="U2856" t="s">
        <v>81</v>
      </c>
    </row>
    <row r="2857" spans="1:21" x14ac:dyDescent="0.25">
      <c r="A2857" s="33">
        <v>2872</v>
      </c>
      <c r="B2857" s="24">
        <v>44264</v>
      </c>
      <c r="C2857" t="s">
        <v>181</v>
      </c>
      <c r="D2857" t="s">
        <v>51</v>
      </c>
      <c r="E2857">
        <v>2000716869</v>
      </c>
      <c r="F2857">
        <v>800</v>
      </c>
      <c r="G2857">
        <v>180</v>
      </c>
      <c r="H2857">
        <v>0</v>
      </c>
      <c r="I2857" t="s">
        <v>706</v>
      </c>
      <c r="J2857" t="s">
        <v>667</v>
      </c>
      <c r="K2857" t="s">
        <v>730</v>
      </c>
      <c r="O2857">
        <v>0</v>
      </c>
      <c r="U2857" t="s">
        <v>81</v>
      </c>
    </row>
    <row r="2858" spans="1:21" x14ac:dyDescent="0.25">
      <c r="A2858" s="33">
        <v>2873</v>
      </c>
      <c r="B2858" s="24">
        <v>44265</v>
      </c>
      <c r="C2858" t="s">
        <v>39</v>
      </c>
      <c r="D2858" t="s">
        <v>41</v>
      </c>
      <c r="E2858">
        <v>2000716759</v>
      </c>
      <c r="F2858">
        <v>400</v>
      </c>
      <c r="G2858">
        <v>40</v>
      </c>
      <c r="H2858">
        <v>0</v>
      </c>
      <c r="I2858" t="s">
        <v>168</v>
      </c>
      <c r="J2858" t="s">
        <v>203</v>
      </c>
      <c r="K2858" t="s">
        <v>638</v>
      </c>
      <c r="O2858">
        <v>0</v>
      </c>
      <c r="U2858" t="s">
        <v>81</v>
      </c>
    </row>
    <row r="2859" spans="1:21" x14ac:dyDescent="0.25">
      <c r="A2859" s="33">
        <v>2874</v>
      </c>
      <c r="B2859" s="24">
        <v>44265</v>
      </c>
      <c r="C2859" t="s">
        <v>39</v>
      </c>
      <c r="D2859" t="s">
        <v>41</v>
      </c>
      <c r="E2859">
        <v>2000714219</v>
      </c>
      <c r="F2859">
        <v>800</v>
      </c>
      <c r="G2859">
        <v>32</v>
      </c>
      <c r="H2859">
        <v>0</v>
      </c>
      <c r="I2859" t="s">
        <v>168</v>
      </c>
      <c r="J2859" t="s">
        <v>203</v>
      </c>
      <c r="K2859" t="s">
        <v>638</v>
      </c>
      <c r="O2859">
        <v>0</v>
      </c>
      <c r="U2859" t="s">
        <v>81</v>
      </c>
    </row>
    <row r="2860" spans="1:21" x14ac:dyDescent="0.25">
      <c r="A2860" s="33">
        <v>2875</v>
      </c>
      <c r="B2860" s="24">
        <v>44265</v>
      </c>
      <c r="C2860" t="s">
        <v>39</v>
      </c>
      <c r="D2860" t="s">
        <v>41</v>
      </c>
      <c r="E2860">
        <v>2000716434</v>
      </c>
      <c r="F2860">
        <v>690</v>
      </c>
      <c r="G2860">
        <v>180</v>
      </c>
      <c r="H2860">
        <v>0</v>
      </c>
      <c r="I2860" t="s">
        <v>168</v>
      </c>
      <c r="J2860" t="s">
        <v>203</v>
      </c>
      <c r="K2860" t="s">
        <v>891</v>
      </c>
      <c r="O2860">
        <v>0</v>
      </c>
      <c r="U2860" t="s">
        <v>81</v>
      </c>
    </row>
    <row r="2861" spans="1:21" x14ac:dyDescent="0.25">
      <c r="A2861" s="33">
        <v>2876</v>
      </c>
      <c r="B2861" s="24">
        <v>44265</v>
      </c>
      <c r="C2861" t="s">
        <v>39</v>
      </c>
      <c r="D2861" t="s">
        <v>41</v>
      </c>
      <c r="E2861">
        <v>2000716762</v>
      </c>
      <c r="F2861">
        <v>290</v>
      </c>
      <c r="G2861">
        <v>257</v>
      </c>
      <c r="H2861">
        <v>0</v>
      </c>
      <c r="I2861" t="s">
        <v>168</v>
      </c>
      <c r="J2861" t="s">
        <v>203</v>
      </c>
      <c r="K2861" t="s">
        <v>793</v>
      </c>
      <c r="O2861">
        <v>0</v>
      </c>
      <c r="U2861" t="s">
        <v>81</v>
      </c>
    </row>
    <row r="2862" spans="1:21" x14ac:dyDescent="0.25">
      <c r="A2862" s="33">
        <v>2877</v>
      </c>
      <c r="B2862" s="24">
        <v>44265</v>
      </c>
      <c r="C2862" t="s">
        <v>39</v>
      </c>
      <c r="D2862" t="s">
        <v>41</v>
      </c>
      <c r="E2862">
        <v>2000716654</v>
      </c>
      <c r="F2862">
        <v>1200</v>
      </c>
      <c r="G2862">
        <v>60</v>
      </c>
      <c r="H2862">
        <v>0</v>
      </c>
      <c r="I2862" t="s">
        <v>180</v>
      </c>
      <c r="J2862" t="s">
        <v>687</v>
      </c>
      <c r="K2862" t="s">
        <v>898</v>
      </c>
      <c r="O2862">
        <v>0</v>
      </c>
      <c r="U2862" t="s">
        <v>81</v>
      </c>
    </row>
    <row r="2863" spans="1:21" x14ac:dyDescent="0.25">
      <c r="A2863" s="33">
        <v>2878</v>
      </c>
      <c r="B2863" s="24">
        <v>44265</v>
      </c>
      <c r="C2863" t="s">
        <v>39</v>
      </c>
      <c r="D2863" t="s">
        <v>41</v>
      </c>
      <c r="E2863">
        <v>2000717186</v>
      </c>
      <c r="F2863">
        <v>400</v>
      </c>
      <c r="G2863">
        <v>80</v>
      </c>
      <c r="H2863">
        <v>0</v>
      </c>
      <c r="I2863" t="s">
        <v>180</v>
      </c>
      <c r="J2863" t="s">
        <v>174</v>
      </c>
      <c r="K2863" t="s">
        <v>805</v>
      </c>
      <c r="O2863">
        <v>0</v>
      </c>
      <c r="U2863" t="s">
        <v>81</v>
      </c>
    </row>
    <row r="2864" spans="1:21" x14ac:dyDescent="0.25">
      <c r="A2864" s="33">
        <v>2879</v>
      </c>
      <c r="B2864" s="24">
        <v>44265</v>
      </c>
      <c r="C2864" t="s">
        <v>39</v>
      </c>
      <c r="D2864" t="s">
        <v>41</v>
      </c>
      <c r="E2864">
        <v>2000716840</v>
      </c>
      <c r="F2864">
        <v>190</v>
      </c>
      <c r="G2864">
        <v>20</v>
      </c>
      <c r="H2864">
        <v>0</v>
      </c>
      <c r="I2864" t="s">
        <v>201</v>
      </c>
      <c r="J2864" t="s">
        <v>202</v>
      </c>
      <c r="K2864" t="s">
        <v>832</v>
      </c>
      <c r="O2864">
        <v>0</v>
      </c>
      <c r="U2864" t="s">
        <v>81</v>
      </c>
    </row>
    <row r="2865" spans="1:21" x14ac:dyDescent="0.25">
      <c r="A2865" s="33">
        <v>2880</v>
      </c>
      <c r="B2865" s="24">
        <v>44265</v>
      </c>
      <c r="C2865" t="s">
        <v>39</v>
      </c>
      <c r="D2865" t="s">
        <v>41</v>
      </c>
      <c r="E2865">
        <v>2000713862</v>
      </c>
      <c r="F2865">
        <v>2640</v>
      </c>
      <c r="G2865">
        <v>240</v>
      </c>
      <c r="H2865">
        <v>0</v>
      </c>
      <c r="I2865" t="s">
        <v>201</v>
      </c>
      <c r="J2865" t="s">
        <v>203</v>
      </c>
      <c r="K2865" t="s">
        <v>640</v>
      </c>
      <c r="O2865">
        <v>0</v>
      </c>
      <c r="U2865" t="s">
        <v>81</v>
      </c>
    </row>
    <row r="2866" spans="1:21" x14ac:dyDescent="0.25">
      <c r="A2866" s="33">
        <v>2881</v>
      </c>
      <c r="B2866" s="24">
        <v>44265</v>
      </c>
      <c r="C2866" t="s">
        <v>39</v>
      </c>
      <c r="D2866" t="s">
        <v>41</v>
      </c>
      <c r="E2866">
        <v>2000716822</v>
      </c>
      <c r="F2866">
        <v>1200</v>
      </c>
      <c r="G2866">
        <v>150</v>
      </c>
      <c r="H2866">
        <v>0</v>
      </c>
      <c r="I2866" t="s">
        <v>201</v>
      </c>
      <c r="J2866" t="s">
        <v>196</v>
      </c>
      <c r="K2866" t="s">
        <v>682</v>
      </c>
      <c r="O2866">
        <v>0</v>
      </c>
      <c r="U2866" t="s">
        <v>81</v>
      </c>
    </row>
    <row r="2867" spans="1:21" x14ac:dyDescent="0.25">
      <c r="A2867" s="33">
        <v>2882</v>
      </c>
      <c r="B2867" s="24">
        <v>44265</v>
      </c>
      <c r="C2867" t="s">
        <v>39</v>
      </c>
      <c r="D2867" t="s">
        <v>41</v>
      </c>
      <c r="E2867">
        <v>2000716142</v>
      </c>
      <c r="F2867">
        <v>554</v>
      </c>
      <c r="G2867">
        <v>254</v>
      </c>
      <c r="H2867">
        <v>0</v>
      </c>
      <c r="I2867" t="s">
        <v>201</v>
      </c>
      <c r="J2867" t="s">
        <v>918</v>
      </c>
      <c r="K2867" t="s">
        <v>905</v>
      </c>
      <c r="O2867">
        <v>0</v>
      </c>
      <c r="U2867" t="s">
        <v>81</v>
      </c>
    </row>
    <row r="2868" spans="1:21" x14ac:dyDescent="0.25">
      <c r="A2868" s="33">
        <v>2883</v>
      </c>
      <c r="B2868" s="24">
        <v>44265</v>
      </c>
      <c r="C2868" t="s">
        <v>39</v>
      </c>
      <c r="D2868" t="s">
        <v>41</v>
      </c>
      <c r="E2868">
        <v>2000715860</v>
      </c>
      <c r="F2868">
        <v>2400</v>
      </c>
      <c r="G2868">
        <v>800</v>
      </c>
      <c r="H2868">
        <v>0</v>
      </c>
      <c r="I2868" t="s">
        <v>201</v>
      </c>
      <c r="J2868" t="s">
        <v>645</v>
      </c>
      <c r="K2868" t="s">
        <v>756</v>
      </c>
      <c r="O2868">
        <v>0</v>
      </c>
      <c r="U2868" t="s">
        <v>81</v>
      </c>
    </row>
    <row r="2869" spans="1:21" x14ac:dyDescent="0.25">
      <c r="A2869" s="33">
        <v>2884</v>
      </c>
      <c r="B2869" s="24">
        <v>44265</v>
      </c>
      <c r="C2869" t="s">
        <v>39</v>
      </c>
      <c r="D2869" t="s">
        <v>41</v>
      </c>
      <c r="E2869">
        <v>2000716275</v>
      </c>
      <c r="F2869">
        <v>800</v>
      </c>
      <c r="G2869">
        <v>200</v>
      </c>
      <c r="H2869">
        <v>0</v>
      </c>
      <c r="I2869" t="s">
        <v>201</v>
      </c>
      <c r="J2869" t="s">
        <v>172</v>
      </c>
      <c r="K2869" t="s">
        <v>725</v>
      </c>
      <c r="O2869">
        <v>0</v>
      </c>
      <c r="U2869" t="s">
        <v>81</v>
      </c>
    </row>
    <row r="2870" spans="1:21" x14ac:dyDescent="0.25">
      <c r="A2870" s="33">
        <v>2885</v>
      </c>
      <c r="B2870" s="24">
        <v>44265</v>
      </c>
      <c r="C2870" t="s">
        <v>39</v>
      </c>
      <c r="D2870" t="s">
        <v>41</v>
      </c>
      <c r="E2870">
        <v>2000716730</v>
      </c>
      <c r="F2870">
        <v>7800</v>
      </c>
      <c r="G2870">
        <v>300</v>
      </c>
      <c r="H2870">
        <v>0</v>
      </c>
      <c r="I2870" t="s">
        <v>201</v>
      </c>
      <c r="J2870" t="s">
        <v>200</v>
      </c>
      <c r="K2870" t="s">
        <v>737</v>
      </c>
      <c r="O2870">
        <v>0</v>
      </c>
      <c r="U2870" t="s">
        <v>81</v>
      </c>
    </row>
    <row r="2871" spans="1:21" x14ac:dyDescent="0.25">
      <c r="A2871" s="33">
        <v>2886</v>
      </c>
      <c r="B2871" s="24">
        <v>44265</v>
      </c>
      <c r="C2871" t="s">
        <v>39</v>
      </c>
      <c r="D2871" t="s">
        <v>41</v>
      </c>
      <c r="E2871">
        <v>2000716728</v>
      </c>
      <c r="F2871">
        <v>3200</v>
      </c>
      <c r="G2871">
        <v>800</v>
      </c>
      <c r="H2871">
        <v>0</v>
      </c>
      <c r="I2871" t="s">
        <v>201</v>
      </c>
      <c r="J2871" t="s">
        <v>203</v>
      </c>
      <c r="K2871" t="s">
        <v>788</v>
      </c>
      <c r="O2871">
        <v>0</v>
      </c>
      <c r="U2871" t="s">
        <v>81</v>
      </c>
    </row>
    <row r="2872" spans="1:21" x14ac:dyDescent="0.25">
      <c r="A2872" s="33">
        <v>2887</v>
      </c>
      <c r="B2872" s="24">
        <v>44265</v>
      </c>
      <c r="C2872" t="s">
        <v>39</v>
      </c>
      <c r="D2872" t="s">
        <v>41</v>
      </c>
      <c r="E2872">
        <v>2000716727</v>
      </c>
      <c r="F2872">
        <v>1800</v>
      </c>
      <c r="G2872">
        <v>130</v>
      </c>
      <c r="H2872">
        <v>0</v>
      </c>
      <c r="I2872" t="s">
        <v>201</v>
      </c>
      <c r="J2872" t="s">
        <v>169</v>
      </c>
      <c r="K2872" t="s">
        <v>652</v>
      </c>
      <c r="O2872">
        <v>0</v>
      </c>
      <c r="U2872" t="s">
        <v>81</v>
      </c>
    </row>
    <row r="2873" spans="1:21" x14ac:dyDescent="0.25">
      <c r="A2873" s="33">
        <v>2888</v>
      </c>
      <c r="B2873" s="24">
        <v>44265</v>
      </c>
      <c r="C2873" t="s">
        <v>39</v>
      </c>
      <c r="D2873" t="s">
        <v>41</v>
      </c>
      <c r="E2873">
        <v>2000715606</v>
      </c>
      <c r="F2873">
        <v>3600</v>
      </c>
      <c r="G2873">
        <v>900</v>
      </c>
      <c r="H2873">
        <v>0</v>
      </c>
      <c r="I2873" t="s">
        <v>1021</v>
      </c>
      <c r="J2873" t="s">
        <v>169</v>
      </c>
      <c r="K2873" t="s">
        <v>652</v>
      </c>
      <c r="O2873">
        <v>0</v>
      </c>
      <c r="U2873" t="s">
        <v>81</v>
      </c>
    </row>
    <row r="2874" spans="1:21" x14ac:dyDescent="0.25">
      <c r="A2874" s="33">
        <v>2889</v>
      </c>
      <c r="B2874" s="24">
        <v>44265</v>
      </c>
      <c r="C2874" t="s">
        <v>39</v>
      </c>
      <c r="D2874" t="s">
        <v>41</v>
      </c>
      <c r="E2874">
        <v>2000714684</v>
      </c>
      <c r="F2874">
        <v>3600</v>
      </c>
      <c r="G2874">
        <v>300</v>
      </c>
      <c r="H2874">
        <v>0</v>
      </c>
      <c r="I2874" t="s">
        <v>1021</v>
      </c>
      <c r="J2874" t="s">
        <v>169</v>
      </c>
      <c r="K2874" t="s">
        <v>652</v>
      </c>
      <c r="O2874">
        <v>0</v>
      </c>
      <c r="U2874" t="s">
        <v>81</v>
      </c>
    </row>
    <row r="2875" spans="1:21" x14ac:dyDescent="0.25">
      <c r="A2875" s="33">
        <v>2890</v>
      </c>
      <c r="B2875" s="24">
        <v>44265</v>
      </c>
      <c r="C2875" t="s">
        <v>39</v>
      </c>
      <c r="D2875" t="s">
        <v>41</v>
      </c>
      <c r="E2875">
        <v>2000715605</v>
      </c>
      <c r="F2875">
        <v>6600</v>
      </c>
      <c r="G2875">
        <v>1200</v>
      </c>
      <c r="H2875">
        <v>0</v>
      </c>
      <c r="I2875" t="s">
        <v>1021</v>
      </c>
      <c r="J2875" t="s">
        <v>200</v>
      </c>
      <c r="K2875" t="s">
        <v>737</v>
      </c>
      <c r="O2875">
        <v>0</v>
      </c>
      <c r="U2875" t="s">
        <v>81</v>
      </c>
    </row>
    <row r="2876" spans="1:21" x14ac:dyDescent="0.25">
      <c r="A2876" s="33">
        <v>2891</v>
      </c>
      <c r="B2876" s="24">
        <v>44265</v>
      </c>
      <c r="C2876" t="s">
        <v>39</v>
      </c>
      <c r="D2876" t="s">
        <v>41</v>
      </c>
      <c r="E2876">
        <v>2000715915</v>
      </c>
      <c r="F2876">
        <v>6600</v>
      </c>
      <c r="G2876">
        <v>300</v>
      </c>
      <c r="H2876">
        <v>0</v>
      </c>
      <c r="I2876" t="s">
        <v>1021</v>
      </c>
      <c r="J2876" t="s">
        <v>200</v>
      </c>
      <c r="K2876" t="s">
        <v>737</v>
      </c>
      <c r="O2876">
        <v>0</v>
      </c>
      <c r="U2876" t="s">
        <v>81</v>
      </c>
    </row>
    <row r="2877" spans="1:21" x14ac:dyDescent="0.25">
      <c r="A2877" s="33">
        <v>2892</v>
      </c>
      <c r="B2877" s="24">
        <v>44265</v>
      </c>
      <c r="C2877" t="s">
        <v>39</v>
      </c>
      <c r="D2877" t="s">
        <v>41</v>
      </c>
      <c r="E2877">
        <v>2000716319</v>
      </c>
      <c r="F2877">
        <v>300</v>
      </c>
      <c r="G2877">
        <v>40</v>
      </c>
      <c r="H2877">
        <v>0</v>
      </c>
      <c r="I2877" t="s">
        <v>661</v>
      </c>
      <c r="J2877" t="s">
        <v>174</v>
      </c>
      <c r="K2877" t="s">
        <v>177</v>
      </c>
      <c r="O2877">
        <v>0</v>
      </c>
      <c r="U2877" t="s">
        <v>81</v>
      </c>
    </row>
    <row r="2878" spans="1:21" x14ac:dyDescent="0.25">
      <c r="A2878" s="33">
        <v>2893</v>
      </c>
      <c r="B2878" s="24">
        <v>44265</v>
      </c>
      <c r="C2878" t="s">
        <v>39</v>
      </c>
      <c r="D2878" t="s">
        <v>41</v>
      </c>
      <c r="E2878">
        <v>2000716706</v>
      </c>
      <c r="F2878">
        <v>440</v>
      </c>
      <c r="G2878">
        <v>80</v>
      </c>
      <c r="H2878">
        <v>0</v>
      </c>
      <c r="I2878" t="s">
        <v>661</v>
      </c>
      <c r="J2878" t="s">
        <v>174</v>
      </c>
      <c r="K2878" t="s">
        <v>735</v>
      </c>
      <c r="O2878">
        <v>0</v>
      </c>
      <c r="U2878" t="s">
        <v>81</v>
      </c>
    </row>
    <row r="2879" spans="1:21" x14ac:dyDescent="0.25">
      <c r="A2879" s="33">
        <v>2894</v>
      </c>
      <c r="B2879" s="24">
        <v>44265</v>
      </c>
      <c r="C2879" t="s">
        <v>39</v>
      </c>
      <c r="D2879" t="s">
        <v>41</v>
      </c>
      <c r="E2879">
        <v>2000717187</v>
      </c>
      <c r="F2879">
        <v>280</v>
      </c>
      <c r="G2879">
        <v>280</v>
      </c>
      <c r="H2879">
        <v>0</v>
      </c>
      <c r="I2879" t="s">
        <v>661</v>
      </c>
      <c r="J2879" t="s">
        <v>174</v>
      </c>
      <c r="K2879" t="s">
        <v>735</v>
      </c>
      <c r="O2879">
        <v>0</v>
      </c>
      <c r="U2879" t="s">
        <v>81</v>
      </c>
    </row>
    <row r="2880" spans="1:21" x14ac:dyDescent="0.25">
      <c r="A2880" s="33">
        <v>2895</v>
      </c>
      <c r="B2880" s="24">
        <v>44265</v>
      </c>
      <c r="C2880" t="s">
        <v>39</v>
      </c>
      <c r="D2880" t="s">
        <v>41</v>
      </c>
      <c r="E2880">
        <v>2000717451</v>
      </c>
      <c r="F2880">
        <v>747</v>
      </c>
      <c r="G2880">
        <v>280</v>
      </c>
      <c r="H2880">
        <v>0</v>
      </c>
      <c r="I2880" t="s">
        <v>661</v>
      </c>
      <c r="J2880" t="s">
        <v>174</v>
      </c>
      <c r="K2880" t="s">
        <v>695</v>
      </c>
      <c r="O2880">
        <v>0</v>
      </c>
      <c r="U2880" t="s">
        <v>81</v>
      </c>
    </row>
    <row r="2881" spans="1:21" x14ac:dyDescent="0.25">
      <c r="A2881" s="33">
        <v>2896</v>
      </c>
      <c r="B2881" s="24">
        <v>44265</v>
      </c>
      <c r="C2881" t="s">
        <v>39</v>
      </c>
      <c r="D2881" t="s">
        <v>41</v>
      </c>
      <c r="E2881">
        <v>2000716811</v>
      </c>
      <c r="F2881">
        <v>540</v>
      </c>
      <c r="G2881">
        <v>40</v>
      </c>
      <c r="H2881">
        <v>0</v>
      </c>
      <c r="I2881" t="s">
        <v>185</v>
      </c>
      <c r="J2881" t="s">
        <v>172</v>
      </c>
      <c r="K2881" t="s">
        <v>854</v>
      </c>
      <c r="O2881">
        <v>0</v>
      </c>
      <c r="U2881" t="s">
        <v>81</v>
      </c>
    </row>
    <row r="2882" spans="1:21" x14ac:dyDescent="0.25">
      <c r="A2882" s="33">
        <v>2897</v>
      </c>
      <c r="B2882" s="24">
        <v>44265</v>
      </c>
      <c r="C2882" t="s">
        <v>39</v>
      </c>
      <c r="D2882" t="s">
        <v>41</v>
      </c>
      <c r="E2882">
        <v>2000716302</v>
      </c>
      <c r="F2882">
        <v>720</v>
      </c>
      <c r="G2882">
        <v>30</v>
      </c>
      <c r="H2882">
        <v>0</v>
      </c>
      <c r="I2882" t="s">
        <v>185</v>
      </c>
      <c r="J2882" t="s">
        <v>169</v>
      </c>
      <c r="K2882" t="s">
        <v>664</v>
      </c>
      <c r="O2882">
        <v>0</v>
      </c>
      <c r="U2882" t="s">
        <v>81</v>
      </c>
    </row>
    <row r="2883" spans="1:21" x14ac:dyDescent="0.25">
      <c r="A2883" s="33">
        <v>2898</v>
      </c>
      <c r="B2883" s="24">
        <v>44265</v>
      </c>
      <c r="C2883" t="s">
        <v>39</v>
      </c>
      <c r="D2883" t="s">
        <v>41</v>
      </c>
      <c r="E2883">
        <v>2000716791</v>
      </c>
      <c r="F2883">
        <v>1180</v>
      </c>
      <c r="G2883">
        <v>80</v>
      </c>
      <c r="H2883">
        <v>0</v>
      </c>
      <c r="I2883" t="s">
        <v>185</v>
      </c>
      <c r="J2883" t="s">
        <v>645</v>
      </c>
      <c r="K2883" t="s">
        <v>649</v>
      </c>
      <c r="O2883">
        <v>0</v>
      </c>
      <c r="U2883" t="s">
        <v>81</v>
      </c>
    </row>
    <row r="2884" spans="1:21" ht="45" x14ac:dyDescent="0.25">
      <c r="A2884" s="33">
        <v>2899</v>
      </c>
      <c r="B2884" s="24">
        <v>44265</v>
      </c>
      <c r="C2884" t="s">
        <v>39</v>
      </c>
      <c r="D2884" t="s">
        <v>41</v>
      </c>
      <c r="E2884">
        <v>2000716806</v>
      </c>
      <c r="F2884">
        <v>2000</v>
      </c>
      <c r="G2884">
        <v>80</v>
      </c>
      <c r="H2884">
        <v>0</v>
      </c>
      <c r="I2884" t="s">
        <v>185</v>
      </c>
      <c r="J2884" t="s">
        <v>172</v>
      </c>
      <c r="K2884" t="s">
        <v>724</v>
      </c>
      <c r="O2884">
        <v>0</v>
      </c>
      <c r="T2884" s="62" t="s">
        <v>775</v>
      </c>
      <c r="U2884" t="s">
        <v>81</v>
      </c>
    </row>
    <row r="2885" spans="1:21" x14ac:dyDescent="0.25">
      <c r="A2885" s="33">
        <v>2900</v>
      </c>
      <c r="B2885" s="24">
        <v>44265</v>
      </c>
      <c r="C2885" t="s">
        <v>39</v>
      </c>
      <c r="D2885" t="s">
        <v>41</v>
      </c>
      <c r="E2885">
        <v>2000716828</v>
      </c>
      <c r="F2885">
        <v>800</v>
      </c>
      <c r="G2885">
        <v>80</v>
      </c>
      <c r="H2885">
        <v>0</v>
      </c>
      <c r="I2885" t="s">
        <v>185</v>
      </c>
      <c r="J2885" t="s">
        <v>645</v>
      </c>
      <c r="K2885" t="s">
        <v>721</v>
      </c>
      <c r="O2885">
        <v>0</v>
      </c>
      <c r="U2885" t="s">
        <v>81</v>
      </c>
    </row>
    <row r="2886" spans="1:21" x14ac:dyDescent="0.25">
      <c r="A2886" s="33">
        <v>2901</v>
      </c>
      <c r="B2886" s="24">
        <v>44265</v>
      </c>
      <c r="C2886" t="s">
        <v>39</v>
      </c>
      <c r="D2886" t="s">
        <v>41</v>
      </c>
      <c r="E2886">
        <v>2000716741</v>
      </c>
      <c r="F2886">
        <v>3990</v>
      </c>
      <c r="G2886">
        <v>120</v>
      </c>
      <c r="H2886">
        <v>0</v>
      </c>
      <c r="I2886" t="s">
        <v>185</v>
      </c>
      <c r="J2886" t="s">
        <v>687</v>
      </c>
      <c r="K2886" t="s">
        <v>688</v>
      </c>
      <c r="O2886">
        <v>0</v>
      </c>
      <c r="U2886" t="s">
        <v>81</v>
      </c>
    </row>
    <row r="2887" spans="1:21" x14ac:dyDescent="0.25">
      <c r="A2887" s="33">
        <v>2902</v>
      </c>
      <c r="B2887" s="24">
        <v>44265</v>
      </c>
      <c r="C2887" t="s">
        <v>39</v>
      </c>
      <c r="D2887" t="s">
        <v>41</v>
      </c>
      <c r="E2887">
        <v>2000716774</v>
      </c>
      <c r="F2887">
        <v>320</v>
      </c>
      <c r="G2887">
        <v>40</v>
      </c>
      <c r="H2887">
        <v>0</v>
      </c>
      <c r="I2887" t="s">
        <v>185</v>
      </c>
      <c r="J2887" t="s">
        <v>645</v>
      </c>
      <c r="K2887" t="s">
        <v>734</v>
      </c>
      <c r="O2887">
        <v>0</v>
      </c>
      <c r="U2887" t="s">
        <v>81</v>
      </c>
    </row>
    <row r="2888" spans="1:21" x14ac:dyDescent="0.25">
      <c r="A2888" s="33">
        <v>2903</v>
      </c>
      <c r="B2888" s="24">
        <v>44265</v>
      </c>
      <c r="C2888" t="s">
        <v>39</v>
      </c>
      <c r="D2888" t="s">
        <v>41</v>
      </c>
      <c r="E2888">
        <v>2000716750</v>
      </c>
      <c r="F2888">
        <v>900</v>
      </c>
      <c r="G2888">
        <v>80</v>
      </c>
      <c r="H2888">
        <v>0</v>
      </c>
      <c r="I2888" t="s">
        <v>185</v>
      </c>
      <c r="J2888" t="s">
        <v>169</v>
      </c>
      <c r="K2888" t="s">
        <v>190</v>
      </c>
      <c r="O2888">
        <v>0</v>
      </c>
      <c r="U2888" t="s">
        <v>81</v>
      </c>
    </row>
    <row r="2889" spans="1:21" x14ac:dyDescent="0.25">
      <c r="A2889" s="33">
        <v>2904</v>
      </c>
      <c r="B2889" s="24">
        <v>44265</v>
      </c>
      <c r="C2889" t="s">
        <v>39</v>
      </c>
      <c r="D2889" t="s">
        <v>41</v>
      </c>
      <c r="E2889">
        <v>2000716793</v>
      </c>
      <c r="F2889">
        <v>100</v>
      </c>
      <c r="G2889">
        <v>20</v>
      </c>
      <c r="H2889">
        <v>0</v>
      </c>
      <c r="I2889" t="s">
        <v>185</v>
      </c>
      <c r="J2889" t="s">
        <v>175</v>
      </c>
      <c r="K2889" t="s">
        <v>649</v>
      </c>
      <c r="O2889">
        <v>0</v>
      </c>
      <c r="U2889" t="s">
        <v>81</v>
      </c>
    </row>
    <row r="2890" spans="1:21" x14ac:dyDescent="0.25">
      <c r="A2890" s="33">
        <v>2905</v>
      </c>
      <c r="B2890" s="24">
        <v>44265</v>
      </c>
      <c r="C2890" t="s">
        <v>39</v>
      </c>
      <c r="D2890" t="s">
        <v>41</v>
      </c>
      <c r="E2890">
        <v>2000716793</v>
      </c>
      <c r="F2890">
        <v>770</v>
      </c>
      <c r="G2890">
        <v>80</v>
      </c>
      <c r="H2890">
        <v>0</v>
      </c>
      <c r="I2890" t="s">
        <v>185</v>
      </c>
      <c r="J2890" t="s">
        <v>645</v>
      </c>
      <c r="K2890" t="s">
        <v>649</v>
      </c>
      <c r="O2890">
        <v>0</v>
      </c>
      <c r="U2890" t="s">
        <v>81</v>
      </c>
    </row>
    <row r="2891" spans="1:21" x14ac:dyDescent="0.25">
      <c r="A2891" s="33">
        <v>2906</v>
      </c>
      <c r="B2891" s="24">
        <v>44265</v>
      </c>
      <c r="C2891" t="s">
        <v>39</v>
      </c>
      <c r="D2891" t="s">
        <v>41</v>
      </c>
      <c r="E2891">
        <v>2000716775</v>
      </c>
      <c r="F2891">
        <v>120</v>
      </c>
      <c r="G2891">
        <v>20</v>
      </c>
      <c r="H2891">
        <v>0</v>
      </c>
      <c r="I2891" t="s">
        <v>185</v>
      </c>
      <c r="J2891" t="s">
        <v>175</v>
      </c>
      <c r="K2891" t="s">
        <v>886</v>
      </c>
      <c r="O2891">
        <v>0</v>
      </c>
      <c r="U2891" t="s">
        <v>81</v>
      </c>
    </row>
    <row r="2892" spans="1:21" x14ac:dyDescent="0.25">
      <c r="A2892" s="33">
        <v>2907</v>
      </c>
      <c r="B2892" s="24">
        <v>44265</v>
      </c>
      <c r="C2892" t="s">
        <v>39</v>
      </c>
      <c r="D2892" t="s">
        <v>41</v>
      </c>
      <c r="E2892">
        <v>2000716268</v>
      </c>
      <c r="F2892">
        <v>60</v>
      </c>
      <c r="G2892">
        <v>20</v>
      </c>
      <c r="H2892">
        <v>0</v>
      </c>
      <c r="I2892" t="s">
        <v>185</v>
      </c>
      <c r="J2892" t="s">
        <v>645</v>
      </c>
      <c r="K2892" t="s">
        <v>752</v>
      </c>
      <c r="O2892">
        <v>0</v>
      </c>
      <c r="U2892" t="s">
        <v>81</v>
      </c>
    </row>
    <row r="2893" spans="1:21" x14ac:dyDescent="0.25">
      <c r="A2893" s="33">
        <v>2908</v>
      </c>
      <c r="B2893" s="24">
        <v>44265</v>
      </c>
      <c r="C2893" t="s">
        <v>39</v>
      </c>
      <c r="D2893" t="s">
        <v>41</v>
      </c>
      <c r="E2893">
        <v>2000716319</v>
      </c>
      <c r="F2893">
        <v>300</v>
      </c>
      <c r="G2893">
        <v>40</v>
      </c>
      <c r="H2893">
        <v>0</v>
      </c>
      <c r="I2893" t="s">
        <v>666</v>
      </c>
      <c r="J2893" t="s">
        <v>174</v>
      </c>
      <c r="K2893" t="s">
        <v>177</v>
      </c>
      <c r="O2893">
        <v>0</v>
      </c>
      <c r="U2893" t="s">
        <v>81</v>
      </c>
    </row>
    <row r="2894" spans="1:21" x14ac:dyDescent="0.25">
      <c r="A2894" s="33">
        <v>2909</v>
      </c>
      <c r="B2894" s="24">
        <v>44265</v>
      </c>
      <c r="C2894" t="s">
        <v>39</v>
      </c>
      <c r="D2894" t="s">
        <v>41</v>
      </c>
      <c r="E2894">
        <v>2000717186</v>
      </c>
      <c r="F2894">
        <v>400</v>
      </c>
      <c r="G2894">
        <v>277</v>
      </c>
      <c r="H2894">
        <v>0</v>
      </c>
      <c r="I2894" t="s">
        <v>666</v>
      </c>
      <c r="J2894" t="s">
        <v>174</v>
      </c>
      <c r="K2894" t="s">
        <v>805</v>
      </c>
      <c r="O2894">
        <v>0</v>
      </c>
      <c r="U2894" t="s">
        <v>81</v>
      </c>
    </row>
    <row r="2895" spans="1:21" x14ac:dyDescent="0.25">
      <c r="A2895" s="33">
        <v>2910</v>
      </c>
      <c r="B2895" s="24">
        <v>44265</v>
      </c>
      <c r="C2895" t="s">
        <v>39</v>
      </c>
      <c r="D2895" t="s">
        <v>41</v>
      </c>
      <c r="E2895">
        <v>2000716655</v>
      </c>
      <c r="F2895">
        <v>1000</v>
      </c>
      <c r="G2895">
        <v>34</v>
      </c>
      <c r="H2895">
        <v>0</v>
      </c>
      <c r="I2895" t="s">
        <v>666</v>
      </c>
      <c r="J2895" t="s">
        <v>174</v>
      </c>
      <c r="K2895" t="s">
        <v>186</v>
      </c>
      <c r="O2895">
        <v>0</v>
      </c>
      <c r="U2895" t="s">
        <v>81</v>
      </c>
    </row>
    <row r="2896" spans="1:21" x14ac:dyDescent="0.25">
      <c r="A2896" s="33">
        <v>2911</v>
      </c>
      <c r="B2896" s="24">
        <v>44265</v>
      </c>
      <c r="C2896" t="s">
        <v>39</v>
      </c>
      <c r="D2896" t="s">
        <v>41</v>
      </c>
      <c r="E2896">
        <v>2000716705</v>
      </c>
      <c r="F2896">
        <v>960</v>
      </c>
      <c r="G2896">
        <v>80</v>
      </c>
      <c r="H2896">
        <v>0</v>
      </c>
      <c r="I2896" t="s">
        <v>666</v>
      </c>
      <c r="J2896" t="s">
        <v>174</v>
      </c>
      <c r="K2896" t="s">
        <v>805</v>
      </c>
      <c r="O2896">
        <v>0</v>
      </c>
      <c r="U2896" t="s">
        <v>81</v>
      </c>
    </row>
    <row r="2897" spans="1:21" x14ac:dyDescent="0.25">
      <c r="A2897" s="33">
        <v>2912</v>
      </c>
      <c r="B2897" s="24">
        <v>44265</v>
      </c>
      <c r="C2897" t="s">
        <v>39</v>
      </c>
      <c r="D2897" t="s">
        <v>41</v>
      </c>
      <c r="E2897">
        <v>2000716706</v>
      </c>
      <c r="F2897">
        <v>440</v>
      </c>
      <c r="G2897">
        <v>118</v>
      </c>
      <c r="H2897">
        <v>0</v>
      </c>
      <c r="I2897" t="s">
        <v>666</v>
      </c>
      <c r="J2897" t="s">
        <v>174</v>
      </c>
      <c r="K2897" t="s">
        <v>735</v>
      </c>
      <c r="O2897">
        <v>0</v>
      </c>
      <c r="U2897" t="s">
        <v>81</v>
      </c>
    </row>
    <row r="2898" spans="1:21" ht="30" x14ac:dyDescent="0.25">
      <c r="A2898" s="33">
        <v>2913</v>
      </c>
      <c r="B2898" s="24">
        <v>44265</v>
      </c>
      <c r="C2898" t="s">
        <v>39</v>
      </c>
      <c r="D2898" t="s">
        <v>41</v>
      </c>
      <c r="E2898">
        <v>2000716706</v>
      </c>
      <c r="F2898">
        <v>440</v>
      </c>
      <c r="G2898">
        <v>80</v>
      </c>
      <c r="H2898">
        <v>0</v>
      </c>
      <c r="I2898" t="s">
        <v>666</v>
      </c>
      <c r="J2898" t="s">
        <v>174</v>
      </c>
      <c r="K2898" t="s">
        <v>735</v>
      </c>
      <c r="O2898">
        <v>0</v>
      </c>
      <c r="T2898" s="62" t="s">
        <v>723</v>
      </c>
      <c r="U2898" t="s">
        <v>81</v>
      </c>
    </row>
    <row r="2899" spans="1:21" x14ac:dyDescent="0.25">
      <c r="A2899" s="33">
        <v>2914</v>
      </c>
      <c r="B2899" s="24">
        <v>44265</v>
      </c>
      <c r="C2899" t="s">
        <v>39</v>
      </c>
      <c r="D2899" t="s">
        <v>41</v>
      </c>
      <c r="E2899">
        <v>2000717186</v>
      </c>
      <c r="F2899">
        <v>400</v>
      </c>
      <c r="G2899">
        <v>40</v>
      </c>
      <c r="H2899">
        <v>0</v>
      </c>
      <c r="I2899" t="s">
        <v>666</v>
      </c>
      <c r="J2899" t="s">
        <v>174</v>
      </c>
      <c r="K2899" t="s">
        <v>805</v>
      </c>
      <c r="O2899">
        <v>0</v>
      </c>
      <c r="U2899" t="s">
        <v>81</v>
      </c>
    </row>
    <row r="2900" spans="1:21" x14ac:dyDescent="0.25">
      <c r="A2900" s="33">
        <v>2915</v>
      </c>
      <c r="B2900" s="24">
        <v>44265</v>
      </c>
      <c r="C2900" t="s">
        <v>39</v>
      </c>
      <c r="D2900" t="s">
        <v>41</v>
      </c>
      <c r="E2900">
        <v>2000715922</v>
      </c>
      <c r="F2900">
        <v>3000</v>
      </c>
      <c r="G2900">
        <v>120</v>
      </c>
      <c r="H2900">
        <v>0</v>
      </c>
      <c r="I2900" t="s">
        <v>666</v>
      </c>
      <c r="J2900" t="s">
        <v>687</v>
      </c>
      <c r="K2900" t="s">
        <v>688</v>
      </c>
      <c r="O2900">
        <v>0</v>
      </c>
      <c r="U2900" t="s">
        <v>81</v>
      </c>
    </row>
    <row r="2901" spans="1:21" x14ac:dyDescent="0.25">
      <c r="A2901" s="33">
        <v>2916</v>
      </c>
      <c r="B2901" s="24">
        <v>44265</v>
      </c>
      <c r="C2901" t="s">
        <v>39</v>
      </c>
      <c r="D2901" t="s">
        <v>41</v>
      </c>
      <c r="E2901">
        <v>2000714120</v>
      </c>
      <c r="F2901">
        <v>1030</v>
      </c>
      <c r="G2901">
        <v>1</v>
      </c>
      <c r="H2901">
        <v>0</v>
      </c>
      <c r="I2901" t="s">
        <v>194</v>
      </c>
      <c r="J2901" t="s">
        <v>698</v>
      </c>
      <c r="K2901" t="s">
        <v>721</v>
      </c>
      <c r="O2901">
        <v>0</v>
      </c>
      <c r="U2901" t="s">
        <v>81</v>
      </c>
    </row>
    <row r="2902" spans="1:21" x14ac:dyDescent="0.25">
      <c r="A2902" s="33">
        <v>2917</v>
      </c>
      <c r="B2902" s="24">
        <v>44265</v>
      </c>
      <c r="C2902" t="s">
        <v>39</v>
      </c>
      <c r="D2902" t="s">
        <v>41</v>
      </c>
      <c r="E2902">
        <v>2000717021</v>
      </c>
      <c r="F2902">
        <v>400</v>
      </c>
      <c r="G2902">
        <v>45</v>
      </c>
      <c r="H2902">
        <v>0</v>
      </c>
      <c r="I2902" t="s">
        <v>194</v>
      </c>
      <c r="J2902" t="s">
        <v>698</v>
      </c>
      <c r="K2902" t="s">
        <v>786</v>
      </c>
      <c r="O2902">
        <v>0</v>
      </c>
      <c r="U2902" t="s">
        <v>81</v>
      </c>
    </row>
    <row r="2903" spans="1:21" x14ac:dyDescent="0.25">
      <c r="A2903" s="33">
        <v>2918</v>
      </c>
      <c r="B2903" s="24">
        <v>44265</v>
      </c>
      <c r="C2903" t="s">
        <v>39</v>
      </c>
      <c r="D2903" t="s">
        <v>41</v>
      </c>
      <c r="E2903">
        <v>2000716434</v>
      </c>
      <c r="F2903">
        <v>690</v>
      </c>
      <c r="G2903">
        <v>60</v>
      </c>
      <c r="H2903">
        <v>0</v>
      </c>
      <c r="I2903" t="s">
        <v>194</v>
      </c>
      <c r="J2903" t="s">
        <v>203</v>
      </c>
      <c r="K2903" t="s">
        <v>891</v>
      </c>
      <c r="O2903">
        <v>0</v>
      </c>
      <c r="U2903" t="s">
        <v>81</v>
      </c>
    </row>
    <row r="2904" spans="1:21" x14ac:dyDescent="0.25">
      <c r="A2904" s="33">
        <v>2919</v>
      </c>
      <c r="B2904" s="24">
        <v>44265</v>
      </c>
      <c r="C2904" t="s">
        <v>39</v>
      </c>
      <c r="D2904" t="s">
        <v>41</v>
      </c>
      <c r="E2904">
        <v>2000716759</v>
      </c>
      <c r="F2904">
        <v>400</v>
      </c>
      <c r="G2904">
        <v>30</v>
      </c>
      <c r="H2904">
        <v>0</v>
      </c>
      <c r="I2904" t="s">
        <v>194</v>
      </c>
      <c r="J2904" t="s">
        <v>203</v>
      </c>
      <c r="K2904" t="s">
        <v>638</v>
      </c>
      <c r="O2904">
        <v>0</v>
      </c>
      <c r="U2904" t="s">
        <v>81</v>
      </c>
    </row>
    <row r="2905" spans="1:21" x14ac:dyDescent="0.25">
      <c r="A2905" s="33">
        <v>2920</v>
      </c>
      <c r="B2905" s="24">
        <v>44265</v>
      </c>
      <c r="C2905" t="s">
        <v>39</v>
      </c>
      <c r="D2905" t="s">
        <v>41</v>
      </c>
      <c r="E2905">
        <v>2000716706</v>
      </c>
      <c r="F2905">
        <v>440</v>
      </c>
      <c r="G2905">
        <v>160</v>
      </c>
      <c r="H2905">
        <v>0</v>
      </c>
      <c r="I2905" t="s">
        <v>194</v>
      </c>
      <c r="J2905" t="s">
        <v>174</v>
      </c>
      <c r="K2905" t="s">
        <v>735</v>
      </c>
      <c r="O2905">
        <v>0</v>
      </c>
      <c r="U2905" t="s">
        <v>81</v>
      </c>
    </row>
    <row r="2906" spans="1:21" x14ac:dyDescent="0.25">
      <c r="A2906" s="33">
        <v>2921</v>
      </c>
      <c r="B2906" s="24">
        <v>44265</v>
      </c>
      <c r="C2906" t="s">
        <v>39</v>
      </c>
      <c r="D2906" t="s">
        <v>41</v>
      </c>
      <c r="E2906">
        <v>2000715552</v>
      </c>
      <c r="F2906">
        <v>1010</v>
      </c>
      <c r="G2906">
        <v>180</v>
      </c>
      <c r="H2906">
        <v>0</v>
      </c>
      <c r="I2906" t="s">
        <v>194</v>
      </c>
      <c r="J2906" t="s">
        <v>203</v>
      </c>
      <c r="K2906" t="s">
        <v>768</v>
      </c>
      <c r="O2906">
        <v>0</v>
      </c>
      <c r="U2906" t="s">
        <v>81</v>
      </c>
    </row>
    <row r="2907" spans="1:21" x14ac:dyDescent="0.25">
      <c r="A2907" s="33">
        <v>2922</v>
      </c>
      <c r="B2907" s="24">
        <v>44265</v>
      </c>
      <c r="C2907" t="s">
        <v>39</v>
      </c>
      <c r="D2907" t="s">
        <v>41</v>
      </c>
      <c r="E2907">
        <v>2000716714</v>
      </c>
      <c r="F2907">
        <v>2000</v>
      </c>
      <c r="G2907">
        <v>15</v>
      </c>
      <c r="H2907">
        <v>0</v>
      </c>
      <c r="I2907" t="s">
        <v>194</v>
      </c>
      <c r="J2907" t="s">
        <v>174</v>
      </c>
      <c r="K2907" t="s">
        <v>774</v>
      </c>
      <c r="O2907">
        <v>0</v>
      </c>
      <c r="U2907" t="s">
        <v>81</v>
      </c>
    </row>
    <row r="2908" spans="1:21" x14ac:dyDescent="0.25">
      <c r="A2908" s="33">
        <v>2923</v>
      </c>
      <c r="B2908" s="24">
        <v>44265</v>
      </c>
      <c r="C2908" t="s">
        <v>39</v>
      </c>
      <c r="D2908" t="s">
        <v>41</v>
      </c>
      <c r="E2908">
        <v>2000716714</v>
      </c>
      <c r="F2908">
        <v>2000</v>
      </c>
      <c r="G2908">
        <v>585</v>
      </c>
      <c r="H2908">
        <v>0</v>
      </c>
      <c r="I2908" t="s">
        <v>178</v>
      </c>
      <c r="J2908" t="s">
        <v>174</v>
      </c>
      <c r="K2908" t="s">
        <v>774</v>
      </c>
      <c r="O2908">
        <v>0</v>
      </c>
      <c r="U2908" t="s">
        <v>81</v>
      </c>
    </row>
    <row r="2909" spans="1:21" x14ac:dyDescent="0.25">
      <c r="A2909" s="33">
        <v>2924</v>
      </c>
      <c r="B2909" s="24">
        <v>44265</v>
      </c>
      <c r="C2909" t="s">
        <v>39</v>
      </c>
      <c r="D2909" t="s">
        <v>41</v>
      </c>
      <c r="E2909">
        <v>2000717021</v>
      </c>
      <c r="F2909">
        <v>400</v>
      </c>
      <c r="G2909">
        <v>354</v>
      </c>
      <c r="H2909">
        <v>0</v>
      </c>
      <c r="I2909" t="s">
        <v>178</v>
      </c>
      <c r="J2909" t="s">
        <v>698</v>
      </c>
      <c r="K2909" t="s">
        <v>786</v>
      </c>
      <c r="O2909">
        <v>0</v>
      </c>
      <c r="U2909" t="s">
        <v>81</v>
      </c>
    </row>
    <row r="2910" spans="1:21" x14ac:dyDescent="0.25">
      <c r="A2910" s="33">
        <v>2925</v>
      </c>
      <c r="B2910" s="24">
        <v>44265</v>
      </c>
      <c r="C2910" t="s">
        <v>39</v>
      </c>
      <c r="D2910" t="s">
        <v>41</v>
      </c>
      <c r="E2910">
        <v>2000714699</v>
      </c>
      <c r="F2910">
        <v>1000</v>
      </c>
      <c r="G2910">
        <v>30</v>
      </c>
      <c r="H2910">
        <v>0</v>
      </c>
      <c r="I2910" t="s">
        <v>178</v>
      </c>
      <c r="J2910" t="s">
        <v>169</v>
      </c>
      <c r="K2910" t="s">
        <v>179</v>
      </c>
      <c r="O2910">
        <v>0</v>
      </c>
      <c r="U2910" t="s">
        <v>81</v>
      </c>
    </row>
    <row r="2911" spans="1:21" x14ac:dyDescent="0.25">
      <c r="A2911" s="33">
        <v>2926</v>
      </c>
      <c r="B2911" s="24">
        <v>44265</v>
      </c>
      <c r="C2911" t="s">
        <v>39</v>
      </c>
      <c r="D2911" t="s">
        <v>51</v>
      </c>
      <c r="E2911">
        <v>2000716582</v>
      </c>
      <c r="F2911">
        <v>350</v>
      </c>
      <c r="G2911">
        <v>30</v>
      </c>
      <c r="H2911">
        <v>0</v>
      </c>
      <c r="I2911" t="s">
        <v>191</v>
      </c>
      <c r="J2911" t="s">
        <v>669</v>
      </c>
      <c r="K2911" t="s">
        <v>810</v>
      </c>
      <c r="O2911">
        <v>0</v>
      </c>
      <c r="U2911" t="s">
        <v>81</v>
      </c>
    </row>
    <row r="2912" spans="1:21" x14ac:dyDescent="0.25">
      <c r="A2912" s="33">
        <v>2927</v>
      </c>
      <c r="B2912" s="24">
        <v>44265</v>
      </c>
      <c r="C2912" t="s">
        <v>39</v>
      </c>
      <c r="D2912" t="s">
        <v>51</v>
      </c>
      <c r="E2912">
        <v>2000716868</v>
      </c>
      <c r="F2912">
        <v>400</v>
      </c>
      <c r="G2912">
        <v>24</v>
      </c>
      <c r="H2912">
        <v>0</v>
      </c>
      <c r="I2912" t="s">
        <v>191</v>
      </c>
      <c r="J2912" t="s">
        <v>676</v>
      </c>
      <c r="K2912" t="s">
        <v>677</v>
      </c>
      <c r="O2912">
        <v>0</v>
      </c>
      <c r="U2912" t="s">
        <v>81</v>
      </c>
    </row>
    <row r="2913" spans="1:21" x14ac:dyDescent="0.25">
      <c r="A2913" s="33">
        <v>2928</v>
      </c>
      <c r="B2913" s="24">
        <v>44265</v>
      </c>
      <c r="C2913" t="s">
        <v>39</v>
      </c>
      <c r="D2913" t="s">
        <v>51</v>
      </c>
      <c r="E2913">
        <v>2000715658</v>
      </c>
      <c r="F2913">
        <v>400</v>
      </c>
      <c r="G2913">
        <v>230</v>
      </c>
      <c r="H2913">
        <v>0</v>
      </c>
      <c r="I2913" t="s">
        <v>191</v>
      </c>
      <c r="J2913" t="s">
        <v>676</v>
      </c>
      <c r="K2913" t="s">
        <v>874</v>
      </c>
      <c r="O2913">
        <v>0</v>
      </c>
      <c r="U2913" t="s">
        <v>81</v>
      </c>
    </row>
    <row r="2914" spans="1:21" x14ac:dyDescent="0.25">
      <c r="A2914" s="33">
        <v>2929</v>
      </c>
      <c r="B2914" s="24">
        <v>44265</v>
      </c>
      <c r="C2914" t="s">
        <v>39</v>
      </c>
      <c r="D2914" t="s">
        <v>51</v>
      </c>
      <c r="E2914">
        <v>2000715660</v>
      </c>
      <c r="F2914">
        <v>400</v>
      </c>
      <c r="G2914">
        <v>400</v>
      </c>
      <c r="H2914">
        <v>0</v>
      </c>
      <c r="I2914" t="s">
        <v>191</v>
      </c>
      <c r="J2914" t="s">
        <v>669</v>
      </c>
      <c r="K2914" t="s">
        <v>679</v>
      </c>
      <c r="O2914">
        <v>0</v>
      </c>
      <c r="U2914" t="s">
        <v>81</v>
      </c>
    </row>
    <row r="2915" spans="1:21" x14ac:dyDescent="0.25">
      <c r="A2915" s="33">
        <v>2930</v>
      </c>
      <c r="B2915" s="24">
        <v>44265</v>
      </c>
      <c r="C2915" t="s">
        <v>39</v>
      </c>
      <c r="D2915" t="s">
        <v>51</v>
      </c>
      <c r="E2915">
        <v>2000717031</v>
      </c>
      <c r="F2915">
        <v>800</v>
      </c>
      <c r="G2915">
        <v>180</v>
      </c>
      <c r="H2915">
        <v>0</v>
      </c>
      <c r="I2915" t="s">
        <v>191</v>
      </c>
      <c r="J2915" t="s">
        <v>667</v>
      </c>
      <c r="K2915" t="s">
        <v>730</v>
      </c>
      <c r="O2915">
        <v>0</v>
      </c>
      <c r="U2915" t="s">
        <v>81</v>
      </c>
    </row>
    <row r="2916" spans="1:21" x14ac:dyDescent="0.25">
      <c r="A2916" s="33">
        <v>2931</v>
      </c>
      <c r="B2916" s="24">
        <v>44265</v>
      </c>
      <c r="C2916" t="s">
        <v>39</v>
      </c>
      <c r="D2916" t="s">
        <v>51</v>
      </c>
      <c r="E2916">
        <v>2000717316</v>
      </c>
      <c r="F2916">
        <v>800</v>
      </c>
      <c r="G2916">
        <v>180</v>
      </c>
      <c r="H2916">
        <v>0</v>
      </c>
      <c r="I2916" t="s">
        <v>191</v>
      </c>
      <c r="J2916" t="s">
        <v>667</v>
      </c>
      <c r="K2916" t="s">
        <v>730</v>
      </c>
      <c r="O2916">
        <v>0</v>
      </c>
      <c r="U2916" t="s">
        <v>81</v>
      </c>
    </row>
    <row r="2917" spans="1:21" x14ac:dyDescent="0.25">
      <c r="A2917" s="33">
        <v>2932</v>
      </c>
      <c r="B2917" s="24">
        <v>44265</v>
      </c>
      <c r="C2917" t="s">
        <v>39</v>
      </c>
      <c r="D2917" t="s">
        <v>51</v>
      </c>
      <c r="E2917">
        <v>2000717029</v>
      </c>
      <c r="F2917">
        <v>500</v>
      </c>
      <c r="G2917">
        <v>100</v>
      </c>
      <c r="H2917">
        <v>0</v>
      </c>
      <c r="I2917" t="s">
        <v>191</v>
      </c>
      <c r="J2917" t="s">
        <v>673</v>
      </c>
      <c r="K2917" t="s">
        <v>672</v>
      </c>
      <c r="O2917">
        <v>0</v>
      </c>
      <c r="U2917" t="s">
        <v>81</v>
      </c>
    </row>
    <row r="2918" spans="1:21" x14ac:dyDescent="0.25">
      <c r="A2918" s="33">
        <v>2933</v>
      </c>
      <c r="B2918" s="24">
        <v>44265</v>
      </c>
      <c r="C2918" t="s">
        <v>39</v>
      </c>
      <c r="D2918" t="s">
        <v>51</v>
      </c>
      <c r="E2918">
        <v>2000716583</v>
      </c>
      <c r="F2918">
        <v>370</v>
      </c>
      <c r="G2918">
        <v>80</v>
      </c>
      <c r="H2918">
        <v>0</v>
      </c>
      <c r="I2918" t="s">
        <v>191</v>
      </c>
      <c r="J2918" t="s">
        <v>673</v>
      </c>
      <c r="K2918" t="s">
        <v>708</v>
      </c>
      <c r="O2918">
        <v>0</v>
      </c>
      <c r="U2918" t="s">
        <v>81</v>
      </c>
    </row>
    <row r="2919" spans="1:21" x14ac:dyDescent="0.25">
      <c r="A2919" s="33">
        <v>2934</v>
      </c>
      <c r="B2919" s="24">
        <v>44265</v>
      </c>
      <c r="C2919" t="s">
        <v>181</v>
      </c>
      <c r="D2919" t="s">
        <v>41</v>
      </c>
      <c r="E2919">
        <v>2000716762</v>
      </c>
      <c r="F2919">
        <v>290</v>
      </c>
      <c r="G2919">
        <v>30</v>
      </c>
      <c r="H2919">
        <v>0</v>
      </c>
      <c r="I2919" t="s">
        <v>184</v>
      </c>
      <c r="J2919" t="s">
        <v>203</v>
      </c>
      <c r="K2919" t="s">
        <v>793</v>
      </c>
      <c r="O2919">
        <v>0</v>
      </c>
      <c r="U2919" t="s">
        <v>81</v>
      </c>
    </row>
    <row r="2920" spans="1:21" x14ac:dyDescent="0.25">
      <c r="A2920" s="33">
        <v>2935</v>
      </c>
      <c r="B2920" s="24">
        <v>44265</v>
      </c>
      <c r="C2920" t="s">
        <v>181</v>
      </c>
      <c r="D2920" t="s">
        <v>41</v>
      </c>
      <c r="E2920">
        <v>2000716763</v>
      </c>
      <c r="F2920">
        <v>720</v>
      </c>
      <c r="G2920">
        <v>486</v>
      </c>
      <c r="H2920">
        <v>0</v>
      </c>
      <c r="I2920" t="s">
        <v>184</v>
      </c>
      <c r="J2920" t="s">
        <v>203</v>
      </c>
      <c r="K2920" t="s">
        <v>891</v>
      </c>
      <c r="O2920">
        <v>0</v>
      </c>
      <c r="T2920" s="62"/>
      <c r="U2920" t="s">
        <v>81</v>
      </c>
    </row>
    <row r="2921" spans="1:21" x14ac:dyDescent="0.25">
      <c r="A2921" s="33">
        <v>2936</v>
      </c>
      <c r="B2921" s="24">
        <v>44265</v>
      </c>
      <c r="C2921" t="s">
        <v>181</v>
      </c>
      <c r="D2921" t="s">
        <v>41</v>
      </c>
      <c r="E2921">
        <v>2000714219</v>
      </c>
      <c r="F2921">
        <v>800</v>
      </c>
      <c r="G2921">
        <v>60</v>
      </c>
      <c r="H2921">
        <v>0</v>
      </c>
      <c r="I2921" t="s">
        <v>184</v>
      </c>
      <c r="J2921" t="s">
        <v>203</v>
      </c>
      <c r="K2921" t="s">
        <v>638</v>
      </c>
      <c r="O2921">
        <v>0</v>
      </c>
      <c r="T2921" s="62"/>
      <c r="U2921" t="s">
        <v>81</v>
      </c>
    </row>
    <row r="2922" spans="1:21" x14ac:dyDescent="0.25">
      <c r="A2922" s="33">
        <v>2937</v>
      </c>
      <c r="B2922" s="24">
        <v>44265</v>
      </c>
      <c r="C2922" t="s">
        <v>181</v>
      </c>
      <c r="D2922" t="s">
        <v>41</v>
      </c>
      <c r="E2922">
        <v>2000716759</v>
      </c>
      <c r="F2922">
        <v>400</v>
      </c>
      <c r="G2922">
        <v>60</v>
      </c>
      <c r="H2922">
        <v>0</v>
      </c>
      <c r="I2922" t="s">
        <v>184</v>
      </c>
      <c r="J2922" t="s">
        <v>203</v>
      </c>
      <c r="K2922" t="s">
        <v>638</v>
      </c>
      <c r="O2922">
        <v>0</v>
      </c>
      <c r="U2922" t="s">
        <v>81</v>
      </c>
    </row>
    <row r="2923" spans="1:21" x14ac:dyDescent="0.25">
      <c r="A2923" s="33">
        <v>2938</v>
      </c>
      <c r="B2923" s="24">
        <v>44265</v>
      </c>
      <c r="C2923" t="s">
        <v>181</v>
      </c>
      <c r="D2923" t="s">
        <v>41</v>
      </c>
      <c r="E2923">
        <v>2000717186</v>
      </c>
      <c r="F2923">
        <v>400</v>
      </c>
      <c r="G2923">
        <v>40</v>
      </c>
      <c r="H2923">
        <v>0</v>
      </c>
      <c r="I2923" t="s">
        <v>696</v>
      </c>
      <c r="J2923" t="s">
        <v>174</v>
      </c>
      <c r="K2923" t="s">
        <v>805</v>
      </c>
      <c r="O2923">
        <v>0</v>
      </c>
      <c r="U2923" t="s">
        <v>81</v>
      </c>
    </row>
    <row r="2924" spans="1:21" x14ac:dyDescent="0.25">
      <c r="A2924" s="33">
        <v>2939</v>
      </c>
      <c r="B2924" s="24">
        <v>44265</v>
      </c>
      <c r="C2924" t="s">
        <v>181</v>
      </c>
      <c r="D2924" t="s">
        <v>41</v>
      </c>
      <c r="E2924">
        <v>2000716705</v>
      </c>
      <c r="F2924">
        <v>960</v>
      </c>
      <c r="G2924">
        <v>440</v>
      </c>
      <c r="H2924">
        <v>0</v>
      </c>
      <c r="I2924" t="s">
        <v>696</v>
      </c>
      <c r="J2924" t="s">
        <v>174</v>
      </c>
      <c r="K2924" t="s">
        <v>805</v>
      </c>
      <c r="O2924">
        <v>0</v>
      </c>
      <c r="U2924" t="s">
        <v>81</v>
      </c>
    </row>
    <row r="2925" spans="1:21" x14ac:dyDescent="0.25">
      <c r="A2925" s="33">
        <v>2940</v>
      </c>
      <c r="B2925" s="24">
        <v>44265</v>
      </c>
      <c r="C2925" t="s">
        <v>181</v>
      </c>
      <c r="D2925" t="s">
        <v>41</v>
      </c>
      <c r="E2925">
        <v>2000717453</v>
      </c>
      <c r="F2925">
        <v>1072</v>
      </c>
      <c r="G2925">
        <v>40</v>
      </c>
      <c r="H2925">
        <v>0</v>
      </c>
      <c r="I2925" t="s">
        <v>696</v>
      </c>
      <c r="J2925" t="s">
        <v>174</v>
      </c>
      <c r="K2925" t="s">
        <v>662</v>
      </c>
      <c r="O2925">
        <v>0</v>
      </c>
      <c r="U2925" t="s">
        <v>81</v>
      </c>
    </row>
    <row r="2926" spans="1:21" x14ac:dyDescent="0.25">
      <c r="A2926" s="33">
        <v>2941</v>
      </c>
      <c r="B2926" s="24">
        <v>44265</v>
      </c>
      <c r="C2926" t="s">
        <v>181</v>
      </c>
      <c r="D2926" t="s">
        <v>41</v>
      </c>
      <c r="E2926">
        <v>2000715915</v>
      </c>
      <c r="F2926">
        <v>6600</v>
      </c>
      <c r="G2926">
        <v>450</v>
      </c>
      <c r="H2926">
        <v>0</v>
      </c>
      <c r="I2926" t="s">
        <v>680</v>
      </c>
      <c r="J2926" t="s">
        <v>200</v>
      </c>
      <c r="K2926" t="s">
        <v>737</v>
      </c>
      <c r="O2926">
        <v>0</v>
      </c>
      <c r="U2926" t="s">
        <v>81</v>
      </c>
    </row>
    <row r="2927" spans="1:21" x14ac:dyDescent="0.25">
      <c r="A2927" s="33">
        <v>2942</v>
      </c>
      <c r="B2927" s="24">
        <v>44265</v>
      </c>
      <c r="C2927" t="s">
        <v>181</v>
      </c>
      <c r="D2927" t="s">
        <v>41</v>
      </c>
      <c r="E2927">
        <v>2000713862</v>
      </c>
      <c r="F2927">
        <v>2640</v>
      </c>
      <c r="G2927">
        <v>240</v>
      </c>
      <c r="H2927">
        <v>0</v>
      </c>
      <c r="I2927" t="s">
        <v>680</v>
      </c>
      <c r="J2927" t="s">
        <v>203</v>
      </c>
      <c r="K2927" t="s">
        <v>640</v>
      </c>
      <c r="O2927">
        <v>0</v>
      </c>
      <c r="U2927" t="s">
        <v>81</v>
      </c>
    </row>
    <row r="2928" spans="1:21" x14ac:dyDescent="0.25">
      <c r="A2928" s="33">
        <v>2943</v>
      </c>
      <c r="B2928" s="24">
        <v>44265</v>
      </c>
      <c r="C2928" t="s">
        <v>181</v>
      </c>
      <c r="D2928" t="s">
        <v>41</v>
      </c>
      <c r="E2928">
        <v>2000716728</v>
      </c>
      <c r="F2928">
        <v>3200</v>
      </c>
      <c r="G2928">
        <v>1600</v>
      </c>
      <c r="H2928">
        <v>0</v>
      </c>
      <c r="I2928" t="s">
        <v>680</v>
      </c>
      <c r="J2928" t="s">
        <v>203</v>
      </c>
      <c r="K2928" t="s">
        <v>788</v>
      </c>
      <c r="O2928">
        <v>0</v>
      </c>
      <c r="U2928" t="s">
        <v>81</v>
      </c>
    </row>
    <row r="2929" spans="1:21" x14ac:dyDescent="0.25">
      <c r="A2929" s="33">
        <v>2944</v>
      </c>
      <c r="B2929" s="24">
        <v>44265</v>
      </c>
      <c r="C2929" t="s">
        <v>181</v>
      </c>
      <c r="D2929" t="s">
        <v>41</v>
      </c>
      <c r="E2929">
        <v>2000716273</v>
      </c>
      <c r="F2929">
        <v>800</v>
      </c>
      <c r="G2929">
        <v>150</v>
      </c>
      <c r="H2929">
        <v>0</v>
      </c>
      <c r="I2929" t="s">
        <v>680</v>
      </c>
      <c r="J2929" t="s">
        <v>645</v>
      </c>
      <c r="K2929" t="s">
        <v>739</v>
      </c>
      <c r="O2929">
        <v>0</v>
      </c>
      <c r="U2929" t="s">
        <v>81</v>
      </c>
    </row>
    <row r="2930" spans="1:21" x14ac:dyDescent="0.25">
      <c r="A2930" s="33">
        <v>2945</v>
      </c>
      <c r="B2930" s="24">
        <v>44265</v>
      </c>
      <c r="C2930" t="s">
        <v>181</v>
      </c>
      <c r="D2930" t="s">
        <v>41</v>
      </c>
      <c r="E2930">
        <v>2000716278</v>
      </c>
      <c r="F2930">
        <v>1200</v>
      </c>
      <c r="G2930">
        <v>150</v>
      </c>
      <c r="H2930">
        <v>0</v>
      </c>
      <c r="I2930" t="s">
        <v>680</v>
      </c>
      <c r="J2930" t="s">
        <v>645</v>
      </c>
      <c r="K2930" t="s">
        <v>739</v>
      </c>
      <c r="O2930">
        <v>0</v>
      </c>
      <c r="U2930" t="s">
        <v>81</v>
      </c>
    </row>
    <row r="2931" spans="1:21" x14ac:dyDescent="0.25">
      <c r="A2931" s="33">
        <v>2946</v>
      </c>
      <c r="B2931" s="24">
        <v>44265</v>
      </c>
      <c r="C2931" t="s">
        <v>181</v>
      </c>
      <c r="D2931" t="s">
        <v>41</v>
      </c>
      <c r="E2931">
        <v>2000716472</v>
      </c>
      <c r="F2931">
        <v>1000</v>
      </c>
      <c r="G2931">
        <v>200</v>
      </c>
      <c r="H2931">
        <v>0</v>
      </c>
      <c r="I2931" t="s">
        <v>680</v>
      </c>
      <c r="J2931" t="s">
        <v>172</v>
      </c>
      <c r="K2931" t="s">
        <v>725</v>
      </c>
      <c r="O2931">
        <v>0</v>
      </c>
      <c r="U2931" t="s">
        <v>81</v>
      </c>
    </row>
    <row r="2932" spans="1:21" x14ac:dyDescent="0.25">
      <c r="A2932" s="33">
        <v>2947</v>
      </c>
      <c r="B2932" s="24">
        <v>44265</v>
      </c>
      <c r="C2932" t="s">
        <v>181</v>
      </c>
      <c r="D2932" t="s">
        <v>41</v>
      </c>
      <c r="E2932">
        <v>2000716280</v>
      </c>
      <c r="F2932">
        <v>1100</v>
      </c>
      <c r="G2932">
        <v>200</v>
      </c>
      <c r="H2932">
        <v>0</v>
      </c>
      <c r="I2932" t="s">
        <v>680</v>
      </c>
      <c r="J2932" t="s">
        <v>172</v>
      </c>
      <c r="K2932" t="s">
        <v>725</v>
      </c>
      <c r="O2932">
        <v>0</v>
      </c>
      <c r="U2932" t="s">
        <v>81</v>
      </c>
    </row>
    <row r="2933" spans="1:21" x14ac:dyDescent="0.25">
      <c r="A2933" s="33">
        <v>2948</v>
      </c>
      <c r="B2933" s="24">
        <v>44265</v>
      </c>
      <c r="C2933" t="s">
        <v>181</v>
      </c>
      <c r="D2933" t="s">
        <v>41</v>
      </c>
      <c r="E2933">
        <v>2000716714</v>
      </c>
      <c r="F2933">
        <v>2000</v>
      </c>
      <c r="G2933">
        <v>975</v>
      </c>
      <c r="H2933">
        <v>0</v>
      </c>
      <c r="I2933" t="s">
        <v>693</v>
      </c>
      <c r="J2933" t="s">
        <v>174</v>
      </c>
      <c r="K2933" t="s">
        <v>774</v>
      </c>
      <c r="O2933">
        <v>0</v>
      </c>
      <c r="U2933" t="s">
        <v>81</v>
      </c>
    </row>
    <row r="2934" spans="1:21" x14ac:dyDescent="0.25">
      <c r="A2934" s="33">
        <v>2949</v>
      </c>
      <c r="B2934" s="24">
        <v>44265</v>
      </c>
      <c r="C2934" t="s">
        <v>181</v>
      </c>
      <c r="D2934" t="s">
        <v>41</v>
      </c>
      <c r="E2934">
        <v>2000716319</v>
      </c>
      <c r="F2934">
        <v>300</v>
      </c>
      <c r="G2934">
        <v>60</v>
      </c>
      <c r="H2934">
        <v>0</v>
      </c>
      <c r="I2934" t="s">
        <v>183</v>
      </c>
      <c r="J2934" t="s">
        <v>174</v>
      </c>
      <c r="K2934" t="s">
        <v>177</v>
      </c>
      <c r="O2934">
        <v>0</v>
      </c>
      <c r="U2934" t="s">
        <v>81</v>
      </c>
    </row>
    <row r="2935" spans="1:21" x14ac:dyDescent="0.25">
      <c r="A2935" s="33">
        <v>2950</v>
      </c>
      <c r="B2935" s="24">
        <v>44265</v>
      </c>
      <c r="C2935" t="s">
        <v>181</v>
      </c>
      <c r="D2935" t="s">
        <v>41</v>
      </c>
      <c r="E2935">
        <v>2000716462</v>
      </c>
      <c r="F2935">
        <v>150</v>
      </c>
      <c r="G2935">
        <v>29</v>
      </c>
      <c r="H2935">
        <v>0</v>
      </c>
      <c r="I2935" t="s">
        <v>183</v>
      </c>
      <c r="J2935" t="s">
        <v>174</v>
      </c>
      <c r="K2935" t="s">
        <v>177</v>
      </c>
      <c r="O2935">
        <v>0</v>
      </c>
      <c r="U2935" t="s">
        <v>81</v>
      </c>
    </row>
    <row r="2936" spans="1:21" x14ac:dyDescent="0.25">
      <c r="A2936" s="33">
        <v>2951</v>
      </c>
      <c r="B2936" s="24">
        <v>44265</v>
      </c>
      <c r="C2936" t="s">
        <v>181</v>
      </c>
      <c r="D2936" t="s">
        <v>41</v>
      </c>
      <c r="E2936">
        <v>2000716847</v>
      </c>
      <c r="F2936">
        <v>320</v>
      </c>
      <c r="G2936">
        <v>318</v>
      </c>
      <c r="H2936">
        <v>0</v>
      </c>
      <c r="I2936" t="s">
        <v>183</v>
      </c>
      <c r="J2936" t="s">
        <v>174</v>
      </c>
      <c r="K2936" t="s">
        <v>811</v>
      </c>
      <c r="O2936">
        <v>0</v>
      </c>
      <c r="U2936" t="s">
        <v>81</v>
      </c>
    </row>
    <row r="2937" spans="1:21" x14ac:dyDescent="0.25">
      <c r="A2937" s="33">
        <v>2952</v>
      </c>
      <c r="B2937" s="24">
        <v>44265</v>
      </c>
      <c r="C2937" t="s">
        <v>181</v>
      </c>
      <c r="D2937" t="s">
        <v>41</v>
      </c>
      <c r="E2937">
        <v>2000717584</v>
      </c>
      <c r="F2937">
        <v>160</v>
      </c>
      <c r="G2937">
        <v>161</v>
      </c>
      <c r="H2937">
        <v>0</v>
      </c>
      <c r="I2937" t="s">
        <v>183</v>
      </c>
      <c r="J2937" t="s">
        <v>174</v>
      </c>
      <c r="K2937" t="s">
        <v>186</v>
      </c>
      <c r="O2937">
        <v>0</v>
      </c>
      <c r="U2937" t="s">
        <v>81</v>
      </c>
    </row>
    <row r="2938" spans="1:21" x14ac:dyDescent="0.25">
      <c r="A2938" s="33">
        <v>2953</v>
      </c>
      <c r="B2938" s="24">
        <v>44265</v>
      </c>
      <c r="C2938" t="s">
        <v>181</v>
      </c>
      <c r="D2938" t="s">
        <v>41</v>
      </c>
      <c r="E2938">
        <v>2000717453</v>
      </c>
      <c r="F2938">
        <v>1072</v>
      </c>
      <c r="G2938">
        <v>160</v>
      </c>
      <c r="H2938">
        <v>0</v>
      </c>
      <c r="I2938" t="s">
        <v>183</v>
      </c>
      <c r="J2938" t="s">
        <v>174</v>
      </c>
      <c r="K2938" t="s">
        <v>662</v>
      </c>
      <c r="O2938">
        <v>0</v>
      </c>
      <c r="U2938" t="s">
        <v>81</v>
      </c>
    </row>
    <row r="2939" spans="1:21" x14ac:dyDescent="0.25">
      <c r="A2939" s="33">
        <v>2954</v>
      </c>
      <c r="B2939" s="24">
        <v>44265</v>
      </c>
      <c r="C2939" t="s">
        <v>181</v>
      </c>
      <c r="D2939" t="s">
        <v>41</v>
      </c>
      <c r="E2939">
        <v>2000716832</v>
      </c>
      <c r="F2939">
        <v>1200</v>
      </c>
      <c r="G2939">
        <v>80</v>
      </c>
      <c r="H2939">
        <v>0</v>
      </c>
      <c r="I2939" t="s">
        <v>198</v>
      </c>
      <c r="J2939" t="s">
        <v>645</v>
      </c>
      <c r="K2939" t="s">
        <v>721</v>
      </c>
      <c r="O2939">
        <v>0</v>
      </c>
      <c r="U2939" t="s">
        <v>81</v>
      </c>
    </row>
    <row r="2940" spans="1:21" x14ac:dyDescent="0.25">
      <c r="A2940" s="33">
        <v>2955</v>
      </c>
      <c r="B2940" s="24">
        <v>44265</v>
      </c>
      <c r="C2940" t="s">
        <v>181</v>
      </c>
      <c r="D2940" t="s">
        <v>41</v>
      </c>
      <c r="E2940">
        <v>2000717144</v>
      </c>
      <c r="F2940">
        <v>800</v>
      </c>
      <c r="G2940">
        <v>40</v>
      </c>
      <c r="H2940">
        <v>0</v>
      </c>
      <c r="I2940" t="s">
        <v>198</v>
      </c>
      <c r="J2940" t="s">
        <v>645</v>
      </c>
      <c r="K2940" t="s">
        <v>721</v>
      </c>
      <c r="O2940">
        <v>0</v>
      </c>
      <c r="U2940" t="s">
        <v>81</v>
      </c>
    </row>
    <row r="2941" spans="1:21" x14ac:dyDescent="0.25">
      <c r="A2941" s="33">
        <v>2956</v>
      </c>
      <c r="B2941" s="24">
        <v>44265</v>
      </c>
      <c r="C2941" t="s">
        <v>181</v>
      </c>
      <c r="D2941" t="s">
        <v>41</v>
      </c>
      <c r="E2941">
        <v>2000716660</v>
      </c>
      <c r="F2941">
        <v>600</v>
      </c>
      <c r="G2941">
        <v>60</v>
      </c>
      <c r="H2941">
        <v>0</v>
      </c>
      <c r="I2941" t="s">
        <v>198</v>
      </c>
      <c r="J2941" t="s">
        <v>193</v>
      </c>
      <c r="K2941" t="s">
        <v>647</v>
      </c>
      <c r="O2941">
        <v>0</v>
      </c>
      <c r="U2941" t="s">
        <v>81</v>
      </c>
    </row>
    <row r="2942" spans="1:21" x14ac:dyDescent="0.25">
      <c r="A2942" s="33">
        <v>2957</v>
      </c>
      <c r="B2942" s="24">
        <v>44265</v>
      </c>
      <c r="C2942" t="s">
        <v>181</v>
      </c>
      <c r="D2942" t="s">
        <v>41</v>
      </c>
      <c r="E2942">
        <v>2000716669</v>
      </c>
      <c r="F2942">
        <v>500</v>
      </c>
      <c r="G2942">
        <v>80</v>
      </c>
      <c r="H2942">
        <v>0</v>
      </c>
      <c r="I2942" t="s">
        <v>198</v>
      </c>
      <c r="J2942" t="s">
        <v>193</v>
      </c>
      <c r="K2942" t="s">
        <v>647</v>
      </c>
      <c r="O2942">
        <v>0</v>
      </c>
      <c r="U2942" t="s">
        <v>81</v>
      </c>
    </row>
    <row r="2943" spans="1:21" x14ac:dyDescent="0.25">
      <c r="A2943" s="33">
        <v>2958</v>
      </c>
      <c r="B2943" s="24">
        <v>44265</v>
      </c>
      <c r="C2943" t="s">
        <v>181</v>
      </c>
      <c r="D2943" t="s">
        <v>41</v>
      </c>
      <c r="E2943">
        <v>2000715360</v>
      </c>
      <c r="F2943">
        <v>1900</v>
      </c>
      <c r="G2943">
        <v>70</v>
      </c>
      <c r="H2943">
        <v>0</v>
      </c>
      <c r="I2943" t="s">
        <v>198</v>
      </c>
      <c r="J2943" t="s">
        <v>169</v>
      </c>
      <c r="K2943" t="s">
        <v>179</v>
      </c>
      <c r="O2943">
        <v>0</v>
      </c>
      <c r="U2943" t="s">
        <v>81</v>
      </c>
    </row>
    <row r="2944" spans="1:21" x14ac:dyDescent="0.25">
      <c r="A2944" s="33">
        <v>2959</v>
      </c>
      <c r="B2944" s="24">
        <v>44265</v>
      </c>
      <c r="C2944" t="s">
        <v>181</v>
      </c>
      <c r="D2944" t="s">
        <v>41</v>
      </c>
      <c r="E2944">
        <v>2000716792</v>
      </c>
      <c r="F2944">
        <v>1580</v>
      </c>
      <c r="G2944">
        <v>130</v>
      </c>
      <c r="H2944">
        <v>0</v>
      </c>
      <c r="I2944" t="s">
        <v>198</v>
      </c>
      <c r="J2944" t="s">
        <v>645</v>
      </c>
      <c r="K2944" t="s">
        <v>718</v>
      </c>
      <c r="O2944">
        <v>0</v>
      </c>
      <c r="U2944" t="s">
        <v>81</v>
      </c>
    </row>
    <row r="2945" spans="1:21" x14ac:dyDescent="0.25">
      <c r="A2945" s="33">
        <v>2960</v>
      </c>
      <c r="B2945" s="24">
        <v>44265</v>
      </c>
      <c r="C2945" t="s">
        <v>181</v>
      </c>
      <c r="D2945" t="s">
        <v>41</v>
      </c>
      <c r="E2945">
        <v>2000715640</v>
      </c>
      <c r="F2945">
        <v>5008</v>
      </c>
      <c r="G2945">
        <v>200</v>
      </c>
      <c r="H2945">
        <v>0</v>
      </c>
      <c r="I2945" t="s">
        <v>198</v>
      </c>
      <c r="J2945" t="s">
        <v>200</v>
      </c>
      <c r="K2945" t="s">
        <v>653</v>
      </c>
      <c r="O2945">
        <v>0</v>
      </c>
      <c r="U2945" t="s">
        <v>81</v>
      </c>
    </row>
    <row r="2946" spans="1:21" x14ac:dyDescent="0.25">
      <c r="A2946" s="33">
        <v>2961</v>
      </c>
      <c r="B2946" s="24">
        <v>44265</v>
      </c>
      <c r="C2946" t="s">
        <v>181</v>
      </c>
      <c r="D2946" t="s">
        <v>41</v>
      </c>
      <c r="E2946">
        <v>2000716809</v>
      </c>
      <c r="F2946">
        <v>2000</v>
      </c>
      <c r="G2946">
        <v>130</v>
      </c>
      <c r="H2946">
        <v>0</v>
      </c>
      <c r="I2946" t="s">
        <v>198</v>
      </c>
      <c r="J2946" t="s">
        <v>172</v>
      </c>
      <c r="K2946" t="s">
        <v>724</v>
      </c>
      <c r="O2946">
        <v>0</v>
      </c>
      <c r="U2946" t="s">
        <v>81</v>
      </c>
    </row>
    <row r="2947" spans="1:21" x14ac:dyDescent="0.25">
      <c r="A2947" s="33">
        <v>2962</v>
      </c>
      <c r="B2947" s="24">
        <v>44265</v>
      </c>
      <c r="C2947" t="s">
        <v>181</v>
      </c>
      <c r="D2947" t="s">
        <v>41</v>
      </c>
      <c r="E2947">
        <v>2000716741</v>
      </c>
      <c r="F2947">
        <v>3990</v>
      </c>
      <c r="G2947">
        <v>120</v>
      </c>
      <c r="H2947">
        <v>0</v>
      </c>
      <c r="I2947" t="s">
        <v>198</v>
      </c>
      <c r="J2947" t="s">
        <v>687</v>
      </c>
      <c r="K2947" t="s">
        <v>688</v>
      </c>
      <c r="O2947">
        <v>0</v>
      </c>
      <c r="U2947" t="s">
        <v>81</v>
      </c>
    </row>
    <row r="2948" spans="1:21" x14ac:dyDescent="0.25">
      <c r="A2948" s="33">
        <v>2963</v>
      </c>
      <c r="B2948" s="24">
        <v>44265</v>
      </c>
      <c r="C2948" t="s">
        <v>181</v>
      </c>
      <c r="D2948" t="s">
        <v>51</v>
      </c>
      <c r="E2948">
        <v>2000716583</v>
      </c>
      <c r="F2948">
        <v>370</v>
      </c>
      <c r="G2948">
        <v>80</v>
      </c>
      <c r="H2948">
        <v>0</v>
      </c>
      <c r="I2948" t="s">
        <v>706</v>
      </c>
      <c r="J2948" t="s">
        <v>673</v>
      </c>
      <c r="K2948" t="s">
        <v>708</v>
      </c>
      <c r="O2948">
        <v>0</v>
      </c>
      <c r="U2948" t="s">
        <v>81</v>
      </c>
    </row>
    <row r="2949" spans="1:21" x14ac:dyDescent="0.25">
      <c r="A2949" s="33">
        <v>2964</v>
      </c>
      <c r="B2949" s="24">
        <v>44265</v>
      </c>
      <c r="C2949" t="s">
        <v>181</v>
      </c>
      <c r="D2949" t="s">
        <v>51</v>
      </c>
      <c r="E2949">
        <v>2000715658</v>
      </c>
      <c r="F2949">
        <v>400</v>
      </c>
      <c r="G2949">
        <v>150</v>
      </c>
      <c r="H2949">
        <v>0</v>
      </c>
      <c r="I2949" t="s">
        <v>706</v>
      </c>
      <c r="J2949" t="s">
        <v>676</v>
      </c>
      <c r="K2949" t="s">
        <v>874</v>
      </c>
      <c r="O2949">
        <v>0</v>
      </c>
      <c r="U2949" t="s">
        <v>81</v>
      </c>
    </row>
    <row r="2950" spans="1:21" x14ac:dyDescent="0.25">
      <c r="A2950" s="33">
        <v>2965</v>
      </c>
      <c r="B2950" s="24">
        <v>44265</v>
      </c>
      <c r="C2950" t="s">
        <v>181</v>
      </c>
      <c r="D2950" t="s">
        <v>51</v>
      </c>
      <c r="E2950">
        <v>2000715373</v>
      </c>
      <c r="F2950">
        <v>700</v>
      </c>
      <c r="G2950">
        <v>175</v>
      </c>
      <c r="H2950">
        <v>0</v>
      </c>
      <c r="I2950" t="s">
        <v>706</v>
      </c>
      <c r="J2950" t="s">
        <v>667</v>
      </c>
      <c r="K2950" t="s">
        <v>743</v>
      </c>
      <c r="O2950">
        <v>0</v>
      </c>
      <c r="U2950" t="s">
        <v>81</v>
      </c>
    </row>
    <row r="2951" spans="1:21" x14ac:dyDescent="0.25">
      <c r="A2951" s="33">
        <v>2966</v>
      </c>
      <c r="B2951" s="24">
        <v>44265</v>
      </c>
      <c r="C2951" t="s">
        <v>181</v>
      </c>
      <c r="D2951" t="s">
        <v>51</v>
      </c>
      <c r="E2951">
        <v>2000717297</v>
      </c>
      <c r="F2951">
        <v>540</v>
      </c>
      <c r="G2951">
        <v>192</v>
      </c>
      <c r="H2951">
        <v>0</v>
      </c>
      <c r="I2951" t="s">
        <v>706</v>
      </c>
      <c r="J2951" t="s">
        <v>709</v>
      </c>
      <c r="K2951" t="s">
        <v>710</v>
      </c>
      <c r="O2951">
        <v>0</v>
      </c>
      <c r="U2951" t="s">
        <v>81</v>
      </c>
    </row>
    <row r="2952" spans="1:21" x14ac:dyDescent="0.25">
      <c r="A2952" s="33">
        <v>2967</v>
      </c>
      <c r="B2952" s="24">
        <v>44265</v>
      </c>
      <c r="C2952" t="s">
        <v>181</v>
      </c>
      <c r="D2952" t="s">
        <v>51</v>
      </c>
      <c r="E2952">
        <v>2000716586</v>
      </c>
      <c r="F2952">
        <v>270</v>
      </c>
      <c r="G2952">
        <v>270</v>
      </c>
      <c r="H2952">
        <v>0</v>
      </c>
      <c r="I2952" t="s">
        <v>706</v>
      </c>
      <c r="J2952" t="s">
        <v>770</v>
      </c>
      <c r="K2952" t="s">
        <v>777</v>
      </c>
      <c r="O2952">
        <v>0</v>
      </c>
      <c r="U2952" t="s">
        <v>81</v>
      </c>
    </row>
    <row r="2953" spans="1:21" x14ac:dyDescent="0.25">
      <c r="A2953" s="33">
        <v>2968</v>
      </c>
      <c r="B2953" s="24">
        <v>44265</v>
      </c>
      <c r="C2953" t="s">
        <v>181</v>
      </c>
      <c r="D2953" t="s">
        <v>51</v>
      </c>
      <c r="E2953">
        <v>2000717313</v>
      </c>
      <c r="F2953">
        <v>500</v>
      </c>
      <c r="G2953">
        <v>80</v>
      </c>
      <c r="H2953">
        <v>0</v>
      </c>
      <c r="I2953" t="s">
        <v>706</v>
      </c>
      <c r="J2953" t="s">
        <v>673</v>
      </c>
      <c r="K2953" t="s">
        <v>672</v>
      </c>
      <c r="O2953">
        <v>0</v>
      </c>
      <c r="U2953" t="s">
        <v>81</v>
      </c>
    </row>
    <row r="2954" spans="1:21" x14ac:dyDescent="0.25">
      <c r="A2954" s="33">
        <v>2969</v>
      </c>
      <c r="B2954" s="24">
        <v>44265</v>
      </c>
      <c r="C2954" t="s">
        <v>181</v>
      </c>
      <c r="D2954" t="s">
        <v>51</v>
      </c>
      <c r="E2954">
        <v>2000717032</v>
      </c>
      <c r="F2954">
        <v>630</v>
      </c>
      <c r="G2954">
        <v>360</v>
      </c>
      <c r="H2954">
        <v>0</v>
      </c>
      <c r="I2954" t="s">
        <v>706</v>
      </c>
      <c r="J2954" t="s">
        <v>770</v>
      </c>
      <c r="K2954" t="s">
        <v>771</v>
      </c>
      <c r="O2954">
        <v>0</v>
      </c>
      <c r="U2954" t="s">
        <v>81</v>
      </c>
    </row>
    <row r="2955" spans="1:21" x14ac:dyDescent="0.25">
      <c r="A2955" s="33">
        <v>2970</v>
      </c>
      <c r="B2955" s="24">
        <v>44266</v>
      </c>
      <c r="C2955" t="s">
        <v>39</v>
      </c>
      <c r="D2955" t="s">
        <v>41</v>
      </c>
      <c r="E2955">
        <v>2000717453</v>
      </c>
      <c r="F2955">
        <v>1072</v>
      </c>
      <c r="G2955">
        <v>320</v>
      </c>
      <c r="H2955">
        <v>0</v>
      </c>
      <c r="I2955" t="s">
        <v>1050</v>
      </c>
      <c r="J2955" t="s">
        <v>174</v>
      </c>
      <c r="K2955" t="s">
        <v>662</v>
      </c>
      <c r="O2955">
        <v>0</v>
      </c>
      <c r="U2955" t="s">
        <v>81</v>
      </c>
    </row>
    <row r="2956" spans="1:21" x14ac:dyDescent="0.25">
      <c r="A2956" s="33">
        <v>2971</v>
      </c>
      <c r="B2956" s="24">
        <v>44266</v>
      </c>
      <c r="C2956" t="s">
        <v>39</v>
      </c>
      <c r="D2956" t="s">
        <v>41</v>
      </c>
      <c r="E2956">
        <v>2000717451</v>
      </c>
      <c r="F2956">
        <v>747</v>
      </c>
      <c r="G2956">
        <v>277</v>
      </c>
      <c r="H2956">
        <v>0</v>
      </c>
      <c r="I2956" t="s">
        <v>1050</v>
      </c>
      <c r="J2956" t="s">
        <v>174</v>
      </c>
      <c r="K2956" t="s">
        <v>695</v>
      </c>
      <c r="O2956">
        <v>0</v>
      </c>
      <c r="U2956" t="s">
        <v>81</v>
      </c>
    </row>
    <row r="2957" spans="1:21" x14ac:dyDescent="0.25">
      <c r="A2957" s="33">
        <v>2972</v>
      </c>
      <c r="B2957" s="24">
        <v>44266</v>
      </c>
      <c r="C2957" t="s">
        <v>39</v>
      </c>
      <c r="D2957" t="s">
        <v>41</v>
      </c>
      <c r="E2957">
        <v>2000717477</v>
      </c>
      <c r="F2957">
        <v>280</v>
      </c>
      <c r="G2957">
        <v>40</v>
      </c>
      <c r="H2957">
        <v>0</v>
      </c>
      <c r="I2957" t="s">
        <v>1050</v>
      </c>
      <c r="J2957" t="s">
        <v>174</v>
      </c>
      <c r="K2957" t="s">
        <v>735</v>
      </c>
      <c r="O2957">
        <v>0</v>
      </c>
      <c r="U2957" t="s">
        <v>81</v>
      </c>
    </row>
    <row r="2958" spans="1:21" x14ac:dyDescent="0.25">
      <c r="A2958" s="33">
        <v>2973</v>
      </c>
      <c r="B2958" s="24">
        <v>44266</v>
      </c>
      <c r="C2958" t="s">
        <v>39</v>
      </c>
      <c r="D2958" t="s">
        <v>41</v>
      </c>
      <c r="E2958">
        <v>2000717144</v>
      </c>
      <c r="F2958">
        <v>800</v>
      </c>
      <c r="G2958">
        <v>40</v>
      </c>
      <c r="H2958">
        <v>0</v>
      </c>
      <c r="I2958" t="s">
        <v>185</v>
      </c>
      <c r="J2958" t="s">
        <v>645</v>
      </c>
      <c r="K2958" t="s">
        <v>721</v>
      </c>
      <c r="O2958">
        <v>0</v>
      </c>
      <c r="U2958" t="s">
        <v>81</v>
      </c>
    </row>
    <row r="2959" spans="1:21" x14ac:dyDescent="0.25">
      <c r="A2959" s="33">
        <v>2974</v>
      </c>
      <c r="B2959" s="24">
        <v>44266</v>
      </c>
      <c r="C2959" t="s">
        <v>39</v>
      </c>
      <c r="D2959" t="s">
        <v>41</v>
      </c>
      <c r="E2959">
        <v>2000716810</v>
      </c>
      <c r="F2959">
        <v>200</v>
      </c>
      <c r="G2959">
        <v>20</v>
      </c>
      <c r="H2959">
        <v>0</v>
      </c>
      <c r="I2959" t="s">
        <v>185</v>
      </c>
      <c r="J2959" t="s">
        <v>172</v>
      </c>
      <c r="K2959" t="s">
        <v>173</v>
      </c>
      <c r="O2959">
        <v>0</v>
      </c>
      <c r="U2959" t="s">
        <v>81</v>
      </c>
    </row>
    <row r="2960" spans="1:21" x14ac:dyDescent="0.25">
      <c r="A2960" s="33">
        <v>2975</v>
      </c>
      <c r="B2960" s="24">
        <v>44266</v>
      </c>
      <c r="C2960" t="s">
        <v>39</v>
      </c>
      <c r="D2960" t="s">
        <v>41</v>
      </c>
      <c r="E2960">
        <v>2000717057</v>
      </c>
      <c r="F2960">
        <v>640</v>
      </c>
      <c r="G2960">
        <v>80</v>
      </c>
      <c r="H2960">
        <v>0</v>
      </c>
      <c r="I2960" t="s">
        <v>185</v>
      </c>
      <c r="J2960" t="s">
        <v>645</v>
      </c>
      <c r="K2960" t="s">
        <v>719</v>
      </c>
      <c r="O2960">
        <v>0</v>
      </c>
      <c r="U2960" t="s">
        <v>81</v>
      </c>
    </row>
    <row r="2961" spans="1:21" x14ac:dyDescent="0.25">
      <c r="A2961" s="33">
        <v>2976</v>
      </c>
      <c r="B2961" s="24">
        <v>44266</v>
      </c>
      <c r="C2961" t="s">
        <v>39</v>
      </c>
      <c r="D2961" t="s">
        <v>41</v>
      </c>
      <c r="E2961">
        <v>2000716742</v>
      </c>
      <c r="F2961">
        <v>1200</v>
      </c>
      <c r="G2961">
        <v>80</v>
      </c>
      <c r="H2961">
        <v>0</v>
      </c>
      <c r="I2961" t="s">
        <v>185</v>
      </c>
      <c r="J2961" t="s">
        <v>687</v>
      </c>
      <c r="K2961" t="s">
        <v>705</v>
      </c>
      <c r="O2961">
        <v>0</v>
      </c>
      <c r="U2961" t="s">
        <v>81</v>
      </c>
    </row>
    <row r="2962" spans="1:21" x14ac:dyDescent="0.25">
      <c r="A2962" s="33">
        <v>2977</v>
      </c>
      <c r="B2962" s="24">
        <v>44266</v>
      </c>
      <c r="C2962" t="s">
        <v>39</v>
      </c>
      <c r="D2962" t="s">
        <v>41</v>
      </c>
      <c r="E2962">
        <v>2000717192</v>
      </c>
      <c r="F2962">
        <v>510</v>
      </c>
      <c r="G2962">
        <v>90</v>
      </c>
      <c r="H2962">
        <v>0</v>
      </c>
      <c r="I2962" t="s">
        <v>185</v>
      </c>
      <c r="J2962" t="s">
        <v>169</v>
      </c>
      <c r="K2962" t="s">
        <v>664</v>
      </c>
      <c r="O2962">
        <v>0</v>
      </c>
      <c r="U2962" t="s">
        <v>81</v>
      </c>
    </row>
    <row r="2963" spans="1:21" x14ac:dyDescent="0.25">
      <c r="A2963" s="33">
        <v>2978</v>
      </c>
      <c r="B2963" s="24">
        <v>44266</v>
      </c>
      <c r="C2963" t="s">
        <v>39</v>
      </c>
      <c r="D2963" t="s">
        <v>41</v>
      </c>
      <c r="E2963">
        <v>2000717140</v>
      </c>
      <c r="F2963">
        <v>1050</v>
      </c>
      <c r="G2963">
        <v>80</v>
      </c>
      <c r="H2963">
        <v>0</v>
      </c>
      <c r="I2963" t="s">
        <v>185</v>
      </c>
      <c r="J2963" t="s">
        <v>196</v>
      </c>
      <c r="K2963" t="s">
        <v>648</v>
      </c>
      <c r="O2963">
        <v>0</v>
      </c>
      <c r="U2963" t="s">
        <v>81</v>
      </c>
    </row>
    <row r="2964" spans="1:21" x14ac:dyDescent="0.25">
      <c r="A2964" s="33">
        <v>2979</v>
      </c>
      <c r="B2964" s="24">
        <v>44266</v>
      </c>
      <c r="C2964" t="s">
        <v>39</v>
      </c>
      <c r="D2964" t="s">
        <v>41</v>
      </c>
      <c r="E2964">
        <v>2000717058</v>
      </c>
      <c r="F2964">
        <v>500</v>
      </c>
      <c r="G2964">
        <v>80</v>
      </c>
      <c r="H2964">
        <v>0</v>
      </c>
      <c r="I2964" t="s">
        <v>185</v>
      </c>
      <c r="J2964" t="s">
        <v>645</v>
      </c>
      <c r="K2964" t="s">
        <v>734</v>
      </c>
      <c r="O2964">
        <v>0</v>
      </c>
      <c r="U2964" t="s">
        <v>81</v>
      </c>
    </row>
    <row r="2965" spans="1:21" x14ac:dyDescent="0.25">
      <c r="A2965" s="33">
        <v>2980</v>
      </c>
      <c r="B2965" s="24">
        <v>44266</v>
      </c>
      <c r="C2965" t="s">
        <v>39</v>
      </c>
      <c r="D2965" t="s">
        <v>41</v>
      </c>
      <c r="E2965">
        <v>2000717051</v>
      </c>
      <c r="F2965">
        <v>980</v>
      </c>
      <c r="G2965">
        <v>100</v>
      </c>
      <c r="H2965">
        <v>0</v>
      </c>
      <c r="I2965" t="s">
        <v>185</v>
      </c>
      <c r="J2965" t="s">
        <v>645</v>
      </c>
      <c r="K2965" t="s">
        <v>765</v>
      </c>
      <c r="O2965">
        <v>0</v>
      </c>
      <c r="U2965" t="s">
        <v>81</v>
      </c>
    </row>
    <row r="2966" spans="1:21" x14ac:dyDescent="0.25">
      <c r="A2966" s="33">
        <v>2981</v>
      </c>
      <c r="B2966" s="24">
        <v>44266</v>
      </c>
      <c r="C2966" t="s">
        <v>39</v>
      </c>
      <c r="D2966" t="s">
        <v>41</v>
      </c>
      <c r="E2966">
        <v>2000717269</v>
      </c>
      <c r="F2966">
        <v>2800</v>
      </c>
      <c r="G2966">
        <v>80</v>
      </c>
      <c r="H2966">
        <v>0</v>
      </c>
      <c r="I2966" t="s">
        <v>185</v>
      </c>
      <c r="J2966" t="s">
        <v>172</v>
      </c>
      <c r="K2966" t="s">
        <v>173</v>
      </c>
      <c r="O2966">
        <v>0</v>
      </c>
      <c r="U2966" t="s">
        <v>81</v>
      </c>
    </row>
    <row r="2967" spans="1:21" x14ac:dyDescent="0.25">
      <c r="A2967" s="33">
        <v>2982</v>
      </c>
      <c r="B2967" s="24">
        <v>44266</v>
      </c>
      <c r="C2967" t="s">
        <v>39</v>
      </c>
      <c r="D2967" t="s">
        <v>41</v>
      </c>
      <c r="E2967">
        <v>2000717243</v>
      </c>
      <c r="F2967">
        <v>600</v>
      </c>
      <c r="G2967">
        <v>40</v>
      </c>
      <c r="H2967">
        <v>0</v>
      </c>
      <c r="I2967" t="s">
        <v>185</v>
      </c>
      <c r="J2967" t="s">
        <v>687</v>
      </c>
      <c r="K2967" t="s">
        <v>705</v>
      </c>
      <c r="O2967">
        <v>0</v>
      </c>
      <c r="U2967" t="s">
        <v>81</v>
      </c>
    </row>
    <row r="2968" spans="1:21" x14ac:dyDescent="0.25">
      <c r="A2968" s="33">
        <v>2983</v>
      </c>
      <c r="B2968" s="24">
        <v>44266</v>
      </c>
      <c r="C2968" t="s">
        <v>39</v>
      </c>
      <c r="D2968" t="s">
        <v>41</v>
      </c>
      <c r="E2968">
        <v>2000716274</v>
      </c>
      <c r="F2968">
        <v>800</v>
      </c>
      <c r="G2968">
        <v>150</v>
      </c>
      <c r="H2968">
        <v>0</v>
      </c>
      <c r="I2968" t="s">
        <v>1021</v>
      </c>
      <c r="J2968" t="s">
        <v>645</v>
      </c>
      <c r="K2968" t="s">
        <v>658</v>
      </c>
      <c r="O2968">
        <v>0</v>
      </c>
      <c r="U2968" t="s">
        <v>81</v>
      </c>
    </row>
    <row r="2969" spans="1:21" x14ac:dyDescent="0.25">
      <c r="A2969" s="33">
        <v>2984</v>
      </c>
      <c r="B2969" s="24">
        <v>44266</v>
      </c>
      <c r="C2969" t="s">
        <v>39</v>
      </c>
      <c r="D2969" t="s">
        <v>41</v>
      </c>
      <c r="E2969">
        <v>2000716272</v>
      </c>
      <c r="F2969">
        <v>800</v>
      </c>
      <c r="G2969">
        <v>100</v>
      </c>
      <c r="H2969">
        <v>0</v>
      </c>
      <c r="I2969" t="s">
        <v>1021</v>
      </c>
      <c r="J2969" t="s">
        <v>645</v>
      </c>
      <c r="K2969" t="s">
        <v>756</v>
      </c>
      <c r="O2969">
        <v>0</v>
      </c>
      <c r="U2969" t="s">
        <v>81</v>
      </c>
    </row>
    <row r="2970" spans="1:21" x14ac:dyDescent="0.25">
      <c r="A2970" s="33">
        <v>2985</v>
      </c>
      <c r="B2970" s="24">
        <v>44266</v>
      </c>
      <c r="C2970" t="s">
        <v>39</v>
      </c>
      <c r="D2970" t="s">
        <v>41</v>
      </c>
      <c r="E2970">
        <v>2000716728</v>
      </c>
      <c r="F2970">
        <v>3200</v>
      </c>
      <c r="G2970">
        <v>400</v>
      </c>
      <c r="H2970">
        <v>0</v>
      </c>
      <c r="I2970" t="s">
        <v>1021</v>
      </c>
      <c r="J2970" t="s">
        <v>203</v>
      </c>
      <c r="K2970" t="s">
        <v>788</v>
      </c>
      <c r="O2970">
        <v>0</v>
      </c>
      <c r="U2970" t="s">
        <v>81</v>
      </c>
    </row>
    <row r="2971" spans="1:21" x14ac:dyDescent="0.25">
      <c r="A2971" s="33">
        <v>2986</v>
      </c>
      <c r="B2971" s="24">
        <v>44266</v>
      </c>
      <c r="C2971" t="s">
        <v>39</v>
      </c>
      <c r="D2971" t="s">
        <v>41</v>
      </c>
      <c r="E2971">
        <v>2000716334</v>
      </c>
      <c r="F2971">
        <v>600</v>
      </c>
      <c r="G2971">
        <v>100</v>
      </c>
      <c r="H2971">
        <v>0</v>
      </c>
      <c r="I2971" t="s">
        <v>1021</v>
      </c>
      <c r="J2971" t="s">
        <v>195</v>
      </c>
      <c r="K2971" t="s">
        <v>210</v>
      </c>
      <c r="O2971">
        <v>0</v>
      </c>
      <c r="U2971" t="s">
        <v>81</v>
      </c>
    </row>
    <row r="2972" spans="1:21" x14ac:dyDescent="0.25">
      <c r="A2972" s="33">
        <v>2987</v>
      </c>
      <c r="B2972" s="24">
        <v>44266</v>
      </c>
      <c r="C2972" t="s">
        <v>39</v>
      </c>
      <c r="D2972" t="s">
        <v>41</v>
      </c>
      <c r="E2972">
        <v>2000716454</v>
      </c>
      <c r="F2972">
        <v>760</v>
      </c>
      <c r="G2972">
        <v>100</v>
      </c>
      <c r="H2972">
        <v>0</v>
      </c>
      <c r="I2972" t="s">
        <v>1021</v>
      </c>
      <c r="J2972" t="s">
        <v>195</v>
      </c>
      <c r="K2972" t="s">
        <v>210</v>
      </c>
      <c r="O2972">
        <v>0</v>
      </c>
      <c r="U2972" t="s">
        <v>81</v>
      </c>
    </row>
    <row r="2973" spans="1:21" x14ac:dyDescent="0.25">
      <c r="A2973" s="33">
        <v>2988</v>
      </c>
      <c r="B2973" s="24">
        <v>44266</v>
      </c>
      <c r="C2973" t="s">
        <v>39</v>
      </c>
      <c r="D2973" t="s">
        <v>41</v>
      </c>
      <c r="E2973">
        <v>2000715193</v>
      </c>
      <c r="F2973">
        <v>1680</v>
      </c>
      <c r="G2973">
        <v>380</v>
      </c>
      <c r="H2973">
        <v>0</v>
      </c>
      <c r="I2973" t="s">
        <v>1021</v>
      </c>
      <c r="J2973" t="s">
        <v>203</v>
      </c>
      <c r="K2973" t="s">
        <v>640</v>
      </c>
      <c r="O2973">
        <v>0</v>
      </c>
      <c r="U2973" t="s">
        <v>81</v>
      </c>
    </row>
    <row r="2974" spans="1:21" x14ac:dyDescent="0.25">
      <c r="A2974" s="33">
        <v>2989</v>
      </c>
      <c r="B2974" s="24">
        <v>44266</v>
      </c>
      <c r="C2974" t="s">
        <v>39</v>
      </c>
      <c r="D2974" t="s">
        <v>41</v>
      </c>
      <c r="E2974">
        <v>2000716732</v>
      </c>
      <c r="F2974">
        <v>3000</v>
      </c>
      <c r="G2974">
        <v>200</v>
      </c>
      <c r="H2974">
        <v>0</v>
      </c>
      <c r="I2974" t="s">
        <v>201</v>
      </c>
      <c r="J2974" t="s">
        <v>172</v>
      </c>
      <c r="K2974" t="s">
        <v>729</v>
      </c>
      <c r="O2974">
        <v>0</v>
      </c>
      <c r="U2974" t="s">
        <v>81</v>
      </c>
    </row>
    <row r="2975" spans="1:21" x14ac:dyDescent="0.25">
      <c r="A2975" s="33">
        <v>2990</v>
      </c>
      <c r="B2975" s="24">
        <v>44266</v>
      </c>
      <c r="C2975" t="s">
        <v>39</v>
      </c>
      <c r="D2975" t="s">
        <v>41</v>
      </c>
      <c r="E2975">
        <v>2000716277</v>
      </c>
      <c r="F2975">
        <v>1200</v>
      </c>
      <c r="G2975">
        <v>200</v>
      </c>
      <c r="H2975">
        <v>0</v>
      </c>
      <c r="I2975" t="s">
        <v>201</v>
      </c>
      <c r="J2975" t="s">
        <v>645</v>
      </c>
      <c r="K2975" t="s">
        <v>756</v>
      </c>
      <c r="O2975">
        <v>0</v>
      </c>
      <c r="U2975" t="s">
        <v>81</v>
      </c>
    </row>
    <row r="2976" spans="1:21" x14ac:dyDescent="0.25">
      <c r="A2976" s="33">
        <v>2991</v>
      </c>
      <c r="B2976" s="24">
        <v>44266</v>
      </c>
      <c r="C2976" t="s">
        <v>39</v>
      </c>
      <c r="D2976" t="s">
        <v>41</v>
      </c>
      <c r="E2976">
        <v>2000716255</v>
      </c>
      <c r="F2976">
        <v>1050</v>
      </c>
      <c r="G2976">
        <v>120</v>
      </c>
      <c r="H2976">
        <v>0</v>
      </c>
      <c r="I2976" t="s">
        <v>201</v>
      </c>
      <c r="J2976" t="s">
        <v>193</v>
      </c>
      <c r="K2976" t="s">
        <v>650</v>
      </c>
      <c r="O2976">
        <v>0</v>
      </c>
      <c r="U2976" t="s">
        <v>81</v>
      </c>
    </row>
    <row r="2977" spans="1:21" x14ac:dyDescent="0.25">
      <c r="A2977" s="33">
        <v>2992</v>
      </c>
      <c r="B2977" s="24">
        <v>44266</v>
      </c>
      <c r="C2977" t="s">
        <v>39</v>
      </c>
      <c r="D2977" t="s">
        <v>41</v>
      </c>
      <c r="E2977">
        <v>2000716197</v>
      </c>
      <c r="F2977">
        <v>300</v>
      </c>
      <c r="G2977">
        <v>80</v>
      </c>
      <c r="H2977">
        <v>0</v>
      </c>
      <c r="I2977" t="s">
        <v>201</v>
      </c>
      <c r="J2977" t="s">
        <v>193</v>
      </c>
      <c r="K2977" t="s">
        <v>650</v>
      </c>
      <c r="O2977">
        <v>0</v>
      </c>
      <c r="U2977" t="s">
        <v>81</v>
      </c>
    </row>
    <row r="2978" spans="1:21" x14ac:dyDescent="0.25">
      <c r="A2978" s="33">
        <v>2993</v>
      </c>
      <c r="B2978" s="24">
        <v>44266</v>
      </c>
      <c r="C2978" t="s">
        <v>39</v>
      </c>
      <c r="D2978" t="s">
        <v>41</v>
      </c>
      <c r="E2978">
        <v>2000716729</v>
      </c>
      <c r="F2978">
        <v>4200</v>
      </c>
      <c r="G2978">
        <v>240</v>
      </c>
      <c r="H2978">
        <v>0</v>
      </c>
      <c r="I2978" t="s">
        <v>201</v>
      </c>
      <c r="J2978" t="s">
        <v>199</v>
      </c>
      <c r="K2978" t="s">
        <v>660</v>
      </c>
      <c r="O2978">
        <v>0</v>
      </c>
      <c r="U2978" t="s">
        <v>81</v>
      </c>
    </row>
    <row r="2979" spans="1:21" x14ac:dyDescent="0.25">
      <c r="A2979" s="33">
        <v>2994</v>
      </c>
      <c r="B2979" s="24">
        <v>44266</v>
      </c>
      <c r="C2979" t="s">
        <v>39</v>
      </c>
      <c r="D2979" t="s">
        <v>41</v>
      </c>
      <c r="E2979">
        <v>2000716726</v>
      </c>
      <c r="F2979">
        <v>1660</v>
      </c>
      <c r="G2979">
        <v>720</v>
      </c>
      <c r="H2979">
        <v>0</v>
      </c>
      <c r="I2979" t="s">
        <v>201</v>
      </c>
      <c r="J2979" t="s">
        <v>745</v>
      </c>
      <c r="K2979" t="s">
        <v>879</v>
      </c>
      <c r="O2979">
        <v>0</v>
      </c>
      <c r="U2979" t="s">
        <v>81</v>
      </c>
    </row>
    <row r="2980" spans="1:21" x14ac:dyDescent="0.25">
      <c r="A2980" s="33">
        <v>2995</v>
      </c>
      <c r="B2980" s="24">
        <v>44266</v>
      </c>
      <c r="C2980" t="s">
        <v>39</v>
      </c>
      <c r="D2980" t="s">
        <v>41</v>
      </c>
      <c r="E2980">
        <v>2000716825</v>
      </c>
      <c r="F2980">
        <v>800</v>
      </c>
      <c r="G2980">
        <v>200</v>
      </c>
      <c r="H2980">
        <v>0</v>
      </c>
      <c r="I2980" t="s">
        <v>201</v>
      </c>
      <c r="J2980" t="s">
        <v>645</v>
      </c>
      <c r="K2980" t="s">
        <v>756</v>
      </c>
      <c r="O2980">
        <v>0</v>
      </c>
      <c r="U2980" t="s">
        <v>81</v>
      </c>
    </row>
    <row r="2981" spans="1:21" x14ac:dyDescent="0.25">
      <c r="A2981" s="33">
        <v>2996</v>
      </c>
      <c r="B2981" s="24">
        <v>44266</v>
      </c>
      <c r="C2981" t="s">
        <v>39</v>
      </c>
      <c r="D2981" t="s">
        <v>41</v>
      </c>
      <c r="E2981">
        <v>2000716279</v>
      </c>
      <c r="F2981">
        <v>1200</v>
      </c>
      <c r="G2981">
        <v>150</v>
      </c>
      <c r="H2981">
        <v>0</v>
      </c>
      <c r="I2981" t="s">
        <v>201</v>
      </c>
      <c r="J2981" t="s">
        <v>645</v>
      </c>
      <c r="K2981" t="s">
        <v>658</v>
      </c>
      <c r="O2981">
        <v>0</v>
      </c>
      <c r="U2981" t="s">
        <v>81</v>
      </c>
    </row>
    <row r="2982" spans="1:21" x14ac:dyDescent="0.25">
      <c r="A2982" s="33">
        <v>2997</v>
      </c>
      <c r="B2982" s="24">
        <v>44266</v>
      </c>
      <c r="C2982" t="s">
        <v>39</v>
      </c>
      <c r="D2982" t="s">
        <v>41</v>
      </c>
      <c r="E2982">
        <v>2000717451</v>
      </c>
      <c r="F2982">
        <v>747</v>
      </c>
      <c r="G2982">
        <v>187</v>
      </c>
      <c r="H2982">
        <v>0</v>
      </c>
      <c r="I2982" t="s">
        <v>180</v>
      </c>
      <c r="J2982" t="s">
        <v>174</v>
      </c>
      <c r="K2982" t="s">
        <v>695</v>
      </c>
      <c r="O2982">
        <v>0</v>
      </c>
      <c r="U2982" t="s">
        <v>81</v>
      </c>
    </row>
    <row r="2983" spans="1:21" x14ac:dyDescent="0.25">
      <c r="A2983" s="33">
        <v>2998</v>
      </c>
      <c r="B2983" s="24">
        <v>44266</v>
      </c>
      <c r="C2983" t="s">
        <v>39</v>
      </c>
      <c r="D2983" t="s">
        <v>41</v>
      </c>
      <c r="E2983">
        <v>2000716313</v>
      </c>
      <c r="F2983">
        <v>310</v>
      </c>
      <c r="G2983">
        <v>15</v>
      </c>
      <c r="H2983">
        <v>0</v>
      </c>
      <c r="I2983" t="s">
        <v>180</v>
      </c>
      <c r="J2983" t="s">
        <v>174</v>
      </c>
      <c r="K2983" t="s">
        <v>722</v>
      </c>
      <c r="O2983">
        <v>0</v>
      </c>
      <c r="U2983" t="s">
        <v>81</v>
      </c>
    </row>
    <row r="2984" spans="1:21" x14ac:dyDescent="0.25">
      <c r="A2984" s="33">
        <v>2999</v>
      </c>
      <c r="B2984" s="24">
        <v>44266</v>
      </c>
      <c r="C2984" t="s">
        <v>39</v>
      </c>
      <c r="D2984" t="s">
        <v>41</v>
      </c>
      <c r="E2984">
        <v>2000717453</v>
      </c>
      <c r="F2984">
        <v>1072</v>
      </c>
      <c r="G2984">
        <v>10</v>
      </c>
      <c r="H2984">
        <v>0</v>
      </c>
      <c r="I2984" t="s">
        <v>180</v>
      </c>
      <c r="J2984" t="s">
        <v>174</v>
      </c>
      <c r="K2984" t="s">
        <v>662</v>
      </c>
      <c r="O2984">
        <v>0</v>
      </c>
      <c r="U2984" t="s">
        <v>81</v>
      </c>
    </row>
    <row r="2985" spans="1:21" x14ac:dyDescent="0.25">
      <c r="A2985" s="33">
        <v>3000</v>
      </c>
      <c r="B2985" s="24">
        <v>44266</v>
      </c>
      <c r="C2985" t="s">
        <v>39</v>
      </c>
      <c r="D2985" t="s">
        <v>41</v>
      </c>
      <c r="E2985">
        <v>2000717453</v>
      </c>
      <c r="F2985">
        <v>1072</v>
      </c>
      <c r="G2985">
        <v>373</v>
      </c>
      <c r="H2985">
        <v>0</v>
      </c>
      <c r="I2985" t="s">
        <v>666</v>
      </c>
      <c r="J2985" t="s">
        <v>174</v>
      </c>
      <c r="K2985" t="s">
        <v>662</v>
      </c>
      <c r="O2985">
        <v>0</v>
      </c>
      <c r="U2985" t="s">
        <v>81</v>
      </c>
    </row>
    <row r="2986" spans="1:21" x14ac:dyDescent="0.25">
      <c r="A2986" s="33">
        <v>3001</v>
      </c>
      <c r="B2986" s="24">
        <v>44266</v>
      </c>
      <c r="C2986" t="s">
        <v>39</v>
      </c>
      <c r="D2986" t="s">
        <v>41</v>
      </c>
      <c r="E2986">
        <v>2000717477</v>
      </c>
      <c r="F2986">
        <v>280</v>
      </c>
      <c r="G2986">
        <v>160</v>
      </c>
      <c r="H2986">
        <v>0</v>
      </c>
      <c r="I2986" t="s">
        <v>666</v>
      </c>
      <c r="J2986" t="s">
        <v>174</v>
      </c>
      <c r="K2986" t="s">
        <v>735</v>
      </c>
      <c r="O2986">
        <v>0</v>
      </c>
      <c r="U2986" t="s">
        <v>81</v>
      </c>
    </row>
    <row r="2987" spans="1:21" x14ac:dyDescent="0.25">
      <c r="A2987" s="33">
        <v>3002</v>
      </c>
      <c r="B2987" s="24">
        <v>44266</v>
      </c>
      <c r="C2987" t="s">
        <v>39</v>
      </c>
      <c r="D2987" t="s">
        <v>41</v>
      </c>
      <c r="E2987">
        <v>2000717477</v>
      </c>
      <c r="F2987">
        <v>280</v>
      </c>
      <c r="G2987">
        <v>79</v>
      </c>
      <c r="H2987">
        <v>0</v>
      </c>
      <c r="I2987" t="s">
        <v>666</v>
      </c>
      <c r="J2987" t="s">
        <v>174</v>
      </c>
      <c r="K2987" t="s">
        <v>735</v>
      </c>
      <c r="O2987">
        <v>0</v>
      </c>
      <c r="U2987" t="s">
        <v>81</v>
      </c>
    </row>
    <row r="2988" spans="1:21" x14ac:dyDescent="0.25">
      <c r="A2988" s="33">
        <v>3003</v>
      </c>
      <c r="B2988" s="24">
        <v>44266</v>
      </c>
      <c r="C2988" t="s">
        <v>39</v>
      </c>
      <c r="D2988" t="s">
        <v>41</v>
      </c>
      <c r="E2988">
        <v>2000717478</v>
      </c>
      <c r="F2988">
        <v>40</v>
      </c>
      <c r="G2988">
        <v>40</v>
      </c>
      <c r="H2988">
        <v>0</v>
      </c>
      <c r="I2988" t="s">
        <v>666</v>
      </c>
      <c r="J2988" t="s">
        <v>174</v>
      </c>
      <c r="K2988" t="s">
        <v>722</v>
      </c>
      <c r="O2988">
        <v>0</v>
      </c>
      <c r="U2988" t="s">
        <v>81</v>
      </c>
    </row>
    <row r="2989" spans="1:21" x14ac:dyDescent="0.25">
      <c r="A2989" s="33">
        <v>3004</v>
      </c>
      <c r="B2989" s="24">
        <v>44266</v>
      </c>
      <c r="C2989" t="s">
        <v>39</v>
      </c>
      <c r="D2989" t="s">
        <v>41</v>
      </c>
      <c r="E2989">
        <v>2000712666</v>
      </c>
      <c r="F2989">
        <v>280</v>
      </c>
      <c r="G2989">
        <v>6</v>
      </c>
      <c r="H2989">
        <v>0</v>
      </c>
      <c r="I2989" t="s">
        <v>666</v>
      </c>
      <c r="J2989" t="s">
        <v>174</v>
      </c>
      <c r="K2989" t="s">
        <v>177</v>
      </c>
      <c r="O2989">
        <v>0</v>
      </c>
      <c r="U2989" t="s">
        <v>81</v>
      </c>
    </row>
    <row r="2990" spans="1:21" x14ac:dyDescent="0.25">
      <c r="A2990" s="33">
        <v>3005</v>
      </c>
      <c r="B2990" s="24">
        <v>44266</v>
      </c>
      <c r="C2990" t="s">
        <v>39</v>
      </c>
      <c r="D2990" t="s">
        <v>41</v>
      </c>
      <c r="E2990">
        <v>2000717140</v>
      </c>
      <c r="F2990">
        <v>1050</v>
      </c>
      <c r="G2990">
        <v>40</v>
      </c>
      <c r="H2990">
        <v>0</v>
      </c>
      <c r="I2990" t="s">
        <v>666</v>
      </c>
      <c r="J2990" t="s">
        <v>196</v>
      </c>
      <c r="K2990" t="s">
        <v>648</v>
      </c>
      <c r="O2990">
        <v>0</v>
      </c>
      <c r="U2990" t="s">
        <v>81</v>
      </c>
    </row>
    <row r="2991" spans="1:21" x14ac:dyDescent="0.25">
      <c r="A2991" s="33">
        <v>3006</v>
      </c>
      <c r="B2991" s="24">
        <v>44266</v>
      </c>
      <c r="C2991" t="s">
        <v>39</v>
      </c>
      <c r="D2991" t="s">
        <v>41</v>
      </c>
      <c r="E2991">
        <v>2000717453</v>
      </c>
      <c r="F2991">
        <v>1072</v>
      </c>
      <c r="G2991">
        <v>160</v>
      </c>
      <c r="H2991">
        <v>0</v>
      </c>
      <c r="I2991" t="s">
        <v>194</v>
      </c>
      <c r="J2991" t="s">
        <v>174</v>
      </c>
      <c r="K2991" t="s">
        <v>662</v>
      </c>
      <c r="O2991">
        <v>0</v>
      </c>
      <c r="U2991" t="s">
        <v>81</v>
      </c>
    </row>
    <row r="2992" spans="1:21" x14ac:dyDescent="0.25">
      <c r="A2992" s="33">
        <v>3007</v>
      </c>
      <c r="B2992" s="24">
        <v>44266</v>
      </c>
      <c r="C2992" t="s">
        <v>39</v>
      </c>
      <c r="D2992" t="s">
        <v>41</v>
      </c>
      <c r="E2992">
        <v>2000716749</v>
      </c>
      <c r="F2992">
        <v>400</v>
      </c>
      <c r="G2992">
        <v>400</v>
      </c>
      <c r="H2992">
        <v>0</v>
      </c>
      <c r="I2992" t="s">
        <v>194</v>
      </c>
      <c r="J2992" t="s">
        <v>169</v>
      </c>
      <c r="K2992" t="s">
        <v>1051</v>
      </c>
      <c r="O2992">
        <v>0</v>
      </c>
      <c r="U2992" t="s">
        <v>81</v>
      </c>
    </row>
    <row r="2993" spans="1:21" x14ac:dyDescent="0.25">
      <c r="A2993" s="33">
        <v>3008</v>
      </c>
      <c r="B2993" s="24">
        <v>44266</v>
      </c>
      <c r="C2993" t="s">
        <v>39</v>
      </c>
      <c r="D2993" t="s">
        <v>41</v>
      </c>
      <c r="E2993">
        <v>2000716761</v>
      </c>
      <c r="F2993">
        <v>180</v>
      </c>
      <c r="G2993">
        <v>176</v>
      </c>
      <c r="H2993">
        <v>0</v>
      </c>
      <c r="I2993" t="s">
        <v>168</v>
      </c>
      <c r="J2993" t="s">
        <v>203</v>
      </c>
      <c r="K2993" t="s">
        <v>638</v>
      </c>
      <c r="O2993">
        <v>0</v>
      </c>
      <c r="U2993" t="s">
        <v>81</v>
      </c>
    </row>
    <row r="2994" spans="1:21" x14ac:dyDescent="0.25">
      <c r="A2994" s="33">
        <v>3009</v>
      </c>
      <c r="B2994" s="24">
        <v>44266</v>
      </c>
      <c r="C2994" t="s">
        <v>39</v>
      </c>
      <c r="D2994" t="s">
        <v>41</v>
      </c>
      <c r="E2994">
        <v>2000715189</v>
      </c>
      <c r="F2994">
        <v>1300</v>
      </c>
      <c r="G2994">
        <v>144</v>
      </c>
      <c r="H2994">
        <v>1</v>
      </c>
      <c r="I2994" t="s">
        <v>168</v>
      </c>
      <c r="J2994" t="s">
        <v>203</v>
      </c>
      <c r="K2994" t="s">
        <v>639</v>
      </c>
      <c r="L2994" t="s">
        <v>106</v>
      </c>
      <c r="N2994" t="s">
        <v>1052</v>
      </c>
      <c r="O2994">
        <v>1</v>
      </c>
      <c r="P2994" t="s">
        <v>1053</v>
      </c>
      <c r="Q2994" t="s">
        <v>1054</v>
      </c>
      <c r="R2994">
        <v>3120005592</v>
      </c>
      <c r="S2994" s="36">
        <v>0.54166666666666663</v>
      </c>
      <c r="U2994" t="s">
        <v>81</v>
      </c>
    </row>
    <row r="2995" spans="1:21" x14ac:dyDescent="0.25">
      <c r="A2995" s="33">
        <v>3010</v>
      </c>
      <c r="B2995" s="24">
        <v>44266</v>
      </c>
      <c r="C2995" t="s">
        <v>39</v>
      </c>
      <c r="D2995" t="s">
        <v>41</v>
      </c>
      <c r="E2995">
        <v>2000715552</v>
      </c>
      <c r="F2995">
        <v>1010</v>
      </c>
      <c r="G2995">
        <v>150</v>
      </c>
      <c r="H2995">
        <v>0</v>
      </c>
      <c r="I2995" t="s">
        <v>168</v>
      </c>
      <c r="J2995" t="s">
        <v>203</v>
      </c>
      <c r="K2995" t="s">
        <v>768</v>
      </c>
      <c r="O2995">
        <v>0</v>
      </c>
      <c r="U2995" t="s">
        <v>81</v>
      </c>
    </row>
    <row r="2996" spans="1:21" x14ac:dyDescent="0.25">
      <c r="A2996" s="33">
        <v>3011</v>
      </c>
      <c r="B2996" s="24">
        <v>44266</v>
      </c>
      <c r="C2996" t="s">
        <v>39</v>
      </c>
      <c r="D2996" t="s">
        <v>41</v>
      </c>
      <c r="E2996">
        <v>2000716763</v>
      </c>
      <c r="F2996">
        <v>720</v>
      </c>
      <c r="G2996">
        <v>50</v>
      </c>
      <c r="H2996">
        <v>0</v>
      </c>
      <c r="I2996" t="s">
        <v>168</v>
      </c>
      <c r="J2996" t="s">
        <v>203</v>
      </c>
      <c r="K2996" t="s">
        <v>891</v>
      </c>
      <c r="O2996">
        <v>0</v>
      </c>
      <c r="U2996" t="s">
        <v>81</v>
      </c>
    </row>
    <row r="2997" spans="1:21" x14ac:dyDescent="0.25">
      <c r="A2997" s="33">
        <v>3012</v>
      </c>
      <c r="B2997" s="24">
        <v>44266</v>
      </c>
      <c r="C2997" t="s">
        <v>39</v>
      </c>
      <c r="D2997" t="s">
        <v>41</v>
      </c>
      <c r="E2997">
        <v>2000714533</v>
      </c>
      <c r="F2997">
        <v>139</v>
      </c>
      <c r="G2997">
        <v>3</v>
      </c>
      <c r="H2997">
        <v>0</v>
      </c>
      <c r="I2997" t="s">
        <v>178</v>
      </c>
      <c r="J2997" t="s">
        <v>170</v>
      </c>
      <c r="K2997" t="s">
        <v>206</v>
      </c>
      <c r="O2997">
        <v>0</v>
      </c>
      <c r="U2997" t="s">
        <v>81</v>
      </c>
    </row>
    <row r="2998" spans="1:21" x14ac:dyDescent="0.25">
      <c r="A2998" s="33">
        <v>3013</v>
      </c>
      <c r="B2998" s="24">
        <v>44266</v>
      </c>
      <c r="C2998" t="s">
        <v>39</v>
      </c>
      <c r="D2998" t="s">
        <v>41</v>
      </c>
      <c r="E2998">
        <v>2000716714</v>
      </c>
      <c r="F2998">
        <v>2000</v>
      </c>
      <c r="G2998">
        <v>101</v>
      </c>
      <c r="H2998">
        <v>0</v>
      </c>
      <c r="I2998" t="s">
        <v>178</v>
      </c>
      <c r="J2998" t="s">
        <v>174</v>
      </c>
      <c r="K2998" t="s">
        <v>774</v>
      </c>
      <c r="O2998">
        <v>0</v>
      </c>
      <c r="U2998" t="s">
        <v>81</v>
      </c>
    </row>
    <row r="2999" spans="1:21" x14ac:dyDescent="0.25">
      <c r="A2999" s="33">
        <v>3014</v>
      </c>
      <c r="B2999" s="24">
        <v>44266</v>
      </c>
      <c r="C2999" t="s">
        <v>39</v>
      </c>
      <c r="D2999" t="s">
        <v>41</v>
      </c>
      <c r="E2999">
        <v>2000717258</v>
      </c>
      <c r="F2999">
        <v>580</v>
      </c>
      <c r="G2999">
        <v>330</v>
      </c>
      <c r="H2999">
        <v>0</v>
      </c>
      <c r="I2999" t="s">
        <v>178</v>
      </c>
      <c r="J2999" t="s">
        <v>203</v>
      </c>
      <c r="K2999" t="s">
        <v>785</v>
      </c>
      <c r="O2999">
        <v>0</v>
      </c>
      <c r="U2999" t="s">
        <v>81</v>
      </c>
    </row>
    <row r="3000" spans="1:21" x14ac:dyDescent="0.25">
      <c r="A3000" s="33">
        <v>3015</v>
      </c>
      <c r="B3000" s="24">
        <v>44266</v>
      </c>
      <c r="C3000" t="s">
        <v>39</v>
      </c>
      <c r="D3000" t="s">
        <v>41</v>
      </c>
      <c r="E3000">
        <v>2000715552</v>
      </c>
      <c r="F3000">
        <v>1010</v>
      </c>
      <c r="G3000">
        <v>120</v>
      </c>
      <c r="H3000">
        <v>0</v>
      </c>
      <c r="I3000" t="s">
        <v>178</v>
      </c>
      <c r="J3000" t="s">
        <v>203</v>
      </c>
      <c r="K3000" t="s">
        <v>768</v>
      </c>
      <c r="O3000">
        <v>0</v>
      </c>
      <c r="U3000" t="s">
        <v>81</v>
      </c>
    </row>
    <row r="3001" spans="1:21" x14ac:dyDescent="0.25">
      <c r="A3001" s="33">
        <v>3016</v>
      </c>
      <c r="B3001" s="24">
        <v>44266</v>
      </c>
      <c r="C3001" t="s">
        <v>39</v>
      </c>
      <c r="D3001" t="s">
        <v>51</v>
      </c>
      <c r="E3001">
        <v>2000712455</v>
      </c>
      <c r="F3001">
        <v>330</v>
      </c>
      <c r="G3001">
        <v>2</v>
      </c>
      <c r="H3001">
        <v>0</v>
      </c>
      <c r="I3001" t="s">
        <v>191</v>
      </c>
      <c r="J3001" t="s">
        <v>669</v>
      </c>
      <c r="K3001" t="s">
        <v>801</v>
      </c>
      <c r="O3001">
        <v>0</v>
      </c>
      <c r="U3001" t="s">
        <v>81</v>
      </c>
    </row>
    <row r="3002" spans="1:21" x14ac:dyDescent="0.25">
      <c r="A3002" s="33">
        <v>3017</v>
      </c>
      <c r="B3002" s="24">
        <v>44266</v>
      </c>
      <c r="C3002" t="s">
        <v>39</v>
      </c>
      <c r="D3002" t="s">
        <v>51</v>
      </c>
      <c r="E3002">
        <v>2000717700</v>
      </c>
      <c r="F3002">
        <v>800</v>
      </c>
      <c r="G3002">
        <v>180</v>
      </c>
      <c r="H3002">
        <v>0</v>
      </c>
      <c r="I3002" t="s">
        <v>191</v>
      </c>
      <c r="J3002" t="s">
        <v>667</v>
      </c>
      <c r="K3002" t="s">
        <v>730</v>
      </c>
      <c r="O3002">
        <v>0</v>
      </c>
      <c r="U3002" t="s">
        <v>81</v>
      </c>
    </row>
    <row r="3003" spans="1:21" x14ac:dyDescent="0.25">
      <c r="A3003" s="33">
        <v>3018</v>
      </c>
      <c r="B3003" s="24">
        <v>44266</v>
      </c>
      <c r="C3003" t="s">
        <v>39</v>
      </c>
      <c r="D3003" t="s">
        <v>51</v>
      </c>
      <c r="E3003">
        <v>2000717322</v>
      </c>
      <c r="F3003">
        <v>710</v>
      </c>
      <c r="G3003">
        <v>140</v>
      </c>
      <c r="H3003">
        <v>0</v>
      </c>
      <c r="I3003" t="s">
        <v>191</v>
      </c>
      <c r="J3003" t="s">
        <v>667</v>
      </c>
      <c r="K3003" t="s">
        <v>882</v>
      </c>
      <c r="O3003">
        <v>0</v>
      </c>
      <c r="U3003" t="s">
        <v>81</v>
      </c>
    </row>
    <row r="3004" spans="1:21" x14ac:dyDescent="0.25">
      <c r="A3004" s="33">
        <v>3019</v>
      </c>
      <c r="B3004" s="24">
        <v>44266</v>
      </c>
      <c r="C3004" t="s">
        <v>39</v>
      </c>
      <c r="D3004" t="s">
        <v>51</v>
      </c>
      <c r="E3004">
        <v>2000717698</v>
      </c>
      <c r="F3004">
        <v>500</v>
      </c>
      <c r="G3004">
        <v>10</v>
      </c>
      <c r="H3004">
        <v>0</v>
      </c>
      <c r="I3004" t="s">
        <v>191</v>
      </c>
      <c r="J3004" t="s">
        <v>673</v>
      </c>
      <c r="K3004" t="s">
        <v>672</v>
      </c>
      <c r="O3004">
        <v>0</v>
      </c>
      <c r="U3004" t="s">
        <v>81</v>
      </c>
    </row>
    <row r="3005" spans="1:21" x14ac:dyDescent="0.25">
      <c r="A3005" s="33">
        <v>3020</v>
      </c>
      <c r="B3005" s="24">
        <v>44266</v>
      </c>
      <c r="C3005" t="s">
        <v>39</v>
      </c>
      <c r="D3005" t="s">
        <v>51</v>
      </c>
      <c r="E3005">
        <v>2000717315</v>
      </c>
      <c r="F3005">
        <v>326</v>
      </c>
      <c r="G3005">
        <v>50</v>
      </c>
      <c r="H3005">
        <v>0</v>
      </c>
      <c r="I3005" t="s">
        <v>191</v>
      </c>
      <c r="J3005" t="s">
        <v>669</v>
      </c>
      <c r="K3005" t="s">
        <v>755</v>
      </c>
      <c r="O3005">
        <v>0</v>
      </c>
      <c r="U3005" t="s">
        <v>81</v>
      </c>
    </row>
    <row r="3006" spans="1:21" x14ac:dyDescent="0.25">
      <c r="A3006" s="33">
        <v>3021</v>
      </c>
      <c r="B3006" s="24">
        <v>44266</v>
      </c>
      <c r="C3006" t="s">
        <v>39</v>
      </c>
      <c r="D3006" t="s">
        <v>51</v>
      </c>
      <c r="E3006">
        <v>2000717032</v>
      </c>
      <c r="F3006">
        <v>630</v>
      </c>
      <c r="G3006">
        <v>90</v>
      </c>
      <c r="H3006">
        <v>0</v>
      </c>
      <c r="I3006" t="s">
        <v>191</v>
      </c>
      <c r="J3006" t="s">
        <v>770</v>
      </c>
      <c r="K3006" t="s">
        <v>771</v>
      </c>
      <c r="O3006">
        <v>0</v>
      </c>
      <c r="U3006" t="s">
        <v>81</v>
      </c>
    </row>
    <row r="3007" spans="1:21" x14ac:dyDescent="0.25">
      <c r="A3007" s="33">
        <v>3022</v>
      </c>
      <c r="B3007" s="24">
        <v>44266</v>
      </c>
      <c r="C3007" t="s">
        <v>39</v>
      </c>
      <c r="D3007" t="s">
        <v>51</v>
      </c>
      <c r="E3007">
        <v>2000716583</v>
      </c>
      <c r="F3007">
        <v>370</v>
      </c>
      <c r="G3007">
        <v>210</v>
      </c>
      <c r="H3007">
        <v>0</v>
      </c>
      <c r="I3007" t="s">
        <v>191</v>
      </c>
      <c r="J3007" t="s">
        <v>673</v>
      </c>
      <c r="K3007" t="s">
        <v>708</v>
      </c>
      <c r="O3007">
        <v>0</v>
      </c>
      <c r="U3007" t="s">
        <v>81</v>
      </c>
    </row>
    <row r="3008" spans="1:21" x14ac:dyDescent="0.25">
      <c r="A3008" s="33">
        <v>3023</v>
      </c>
      <c r="B3008" s="24">
        <v>44266</v>
      </c>
      <c r="C3008" t="s">
        <v>39</v>
      </c>
      <c r="D3008" t="s">
        <v>51</v>
      </c>
      <c r="E3008">
        <v>2000717030</v>
      </c>
      <c r="F3008">
        <v>380</v>
      </c>
      <c r="G3008">
        <v>190</v>
      </c>
      <c r="H3008">
        <v>0</v>
      </c>
      <c r="I3008" t="s">
        <v>191</v>
      </c>
      <c r="J3008" t="s">
        <v>673</v>
      </c>
      <c r="K3008" t="s">
        <v>708</v>
      </c>
      <c r="O3008">
        <v>0</v>
      </c>
      <c r="U3008" t="s">
        <v>81</v>
      </c>
    </row>
    <row r="3009" spans="1:21" x14ac:dyDescent="0.25">
      <c r="A3009" s="33">
        <v>3024</v>
      </c>
      <c r="B3009" s="24">
        <v>44266</v>
      </c>
      <c r="C3009" t="s">
        <v>39</v>
      </c>
      <c r="D3009" t="s">
        <v>51</v>
      </c>
      <c r="E3009">
        <v>2000717297</v>
      </c>
      <c r="F3009">
        <v>540</v>
      </c>
      <c r="G3009">
        <v>96</v>
      </c>
      <c r="H3009">
        <v>0</v>
      </c>
      <c r="I3009" t="s">
        <v>191</v>
      </c>
      <c r="J3009" t="s">
        <v>709</v>
      </c>
      <c r="K3009" t="s">
        <v>710</v>
      </c>
      <c r="O3009">
        <v>0</v>
      </c>
      <c r="U3009" t="s">
        <v>81</v>
      </c>
    </row>
    <row r="3010" spans="1:21" x14ac:dyDescent="0.25">
      <c r="A3010" s="33">
        <v>3025</v>
      </c>
      <c r="B3010" s="24">
        <v>44266</v>
      </c>
      <c r="C3010" t="s">
        <v>39</v>
      </c>
      <c r="D3010" t="s">
        <v>51</v>
      </c>
      <c r="E3010">
        <v>2000715373</v>
      </c>
      <c r="F3010">
        <v>700</v>
      </c>
      <c r="G3010">
        <v>105</v>
      </c>
      <c r="H3010">
        <v>0</v>
      </c>
      <c r="I3010" t="s">
        <v>191</v>
      </c>
      <c r="J3010" t="s">
        <v>709</v>
      </c>
      <c r="K3010" t="s">
        <v>743</v>
      </c>
      <c r="O3010">
        <v>0</v>
      </c>
      <c r="U3010" t="s">
        <v>81</v>
      </c>
    </row>
    <row r="3011" spans="1:21" x14ac:dyDescent="0.25">
      <c r="A3011" s="33">
        <v>3026</v>
      </c>
      <c r="B3011" s="24">
        <v>44266</v>
      </c>
      <c r="C3011" t="s">
        <v>39</v>
      </c>
      <c r="D3011" t="s">
        <v>51</v>
      </c>
      <c r="E3011">
        <v>2000716870</v>
      </c>
      <c r="F3011">
        <v>400</v>
      </c>
      <c r="G3011">
        <v>390</v>
      </c>
      <c r="H3011">
        <v>0</v>
      </c>
      <c r="I3011" t="s">
        <v>191</v>
      </c>
      <c r="J3011" t="s">
        <v>669</v>
      </c>
      <c r="K3011" t="s">
        <v>679</v>
      </c>
      <c r="O3011">
        <v>0</v>
      </c>
      <c r="U3011" t="s">
        <v>81</v>
      </c>
    </row>
    <row r="3012" spans="1:21" x14ac:dyDescent="0.25">
      <c r="A3012" s="33">
        <v>3027</v>
      </c>
      <c r="B3012" s="24">
        <v>44266</v>
      </c>
      <c r="C3012" t="s">
        <v>181</v>
      </c>
      <c r="D3012" t="s">
        <v>51</v>
      </c>
      <c r="E3012">
        <v>2000717315</v>
      </c>
      <c r="F3012">
        <v>326</v>
      </c>
      <c r="G3012">
        <v>270</v>
      </c>
      <c r="H3012">
        <v>0</v>
      </c>
      <c r="I3012" t="s">
        <v>706</v>
      </c>
      <c r="J3012" t="s">
        <v>669</v>
      </c>
      <c r="K3012" t="s">
        <v>755</v>
      </c>
      <c r="O3012">
        <v>0</v>
      </c>
      <c r="U3012" t="s">
        <v>81</v>
      </c>
    </row>
    <row r="3013" spans="1:21" x14ac:dyDescent="0.25">
      <c r="A3013" s="33">
        <v>3028</v>
      </c>
      <c r="B3013" s="24">
        <v>44266</v>
      </c>
      <c r="C3013" t="s">
        <v>181</v>
      </c>
      <c r="D3013" t="s">
        <v>51</v>
      </c>
      <c r="E3013">
        <v>2000717696</v>
      </c>
      <c r="F3013">
        <v>180</v>
      </c>
      <c r="G3013">
        <v>90</v>
      </c>
      <c r="H3013">
        <v>0</v>
      </c>
      <c r="I3013" t="s">
        <v>706</v>
      </c>
      <c r="J3013" t="s">
        <v>667</v>
      </c>
      <c r="K3013" t="s">
        <v>827</v>
      </c>
      <c r="O3013">
        <v>0</v>
      </c>
      <c r="U3013" t="s">
        <v>81</v>
      </c>
    </row>
    <row r="3014" spans="1:21" x14ac:dyDescent="0.25">
      <c r="A3014" s="33">
        <v>3029</v>
      </c>
      <c r="B3014" s="24">
        <v>44266</v>
      </c>
      <c r="C3014" t="s">
        <v>181</v>
      </c>
      <c r="D3014" t="s">
        <v>51</v>
      </c>
      <c r="E3014">
        <v>2000717032</v>
      </c>
      <c r="F3014">
        <v>630</v>
      </c>
      <c r="G3014">
        <v>180</v>
      </c>
      <c r="H3014">
        <v>0</v>
      </c>
      <c r="I3014" t="s">
        <v>706</v>
      </c>
      <c r="J3014" t="s">
        <v>770</v>
      </c>
      <c r="K3014" t="s">
        <v>771</v>
      </c>
      <c r="O3014">
        <v>0</v>
      </c>
      <c r="U3014" t="s">
        <v>81</v>
      </c>
    </row>
    <row r="3015" spans="1:21" x14ac:dyDescent="0.25">
      <c r="A3015" s="33">
        <v>3030</v>
      </c>
      <c r="B3015" s="24">
        <v>44266</v>
      </c>
      <c r="C3015" t="s">
        <v>181</v>
      </c>
      <c r="D3015" t="s">
        <v>51</v>
      </c>
      <c r="E3015">
        <v>2000717314</v>
      </c>
      <c r="F3015">
        <v>190</v>
      </c>
      <c r="G3015">
        <v>60</v>
      </c>
      <c r="H3015">
        <v>0</v>
      </c>
      <c r="I3015" t="s">
        <v>706</v>
      </c>
      <c r="J3015" t="s">
        <v>669</v>
      </c>
      <c r="K3015" t="s">
        <v>881</v>
      </c>
      <c r="O3015">
        <v>0</v>
      </c>
      <c r="U3015" t="s">
        <v>81</v>
      </c>
    </row>
    <row r="3016" spans="1:21" x14ac:dyDescent="0.25">
      <c r="A3016" s="33">
        <v>3031</v>
      </c>
      <c r="B3016" s="24">
        <v>44266</v>
      </c>
      <c r="C3016" t="s">
        <v>181</v>
      </c>
      <c r="D3016" t="s">
        <v>51</v>
      </c>
      <c r="E3016">
        <v>2000717030</v>
      </c>
      <c r="F3016">
        <v>380</v>
      </c>
      <c r="G3016">
        <v>190</v>
      </c>
      <c r="H3016">
        <v>0</v>
      </c>
      <c r="I3016" t="s">
        <v>706</v>
      </c>
      <c r="J3016" t="s">
        <v>673</v>
      </c>
      <c r="K3016" t="s">
        <v>708</v>
      </c>
      <c r="O3016">
        <v>0</v>
      </c>
      <c r="U3016" t="s">
        <v>81</v>
      </c>
    </row>
    <row r="3017" spans="1:21" x14ac:dyDescent="0.25">
      <c r="A3017" s="33">
        <v>3032</v>
      </c>
      <c r="B3017" s="24">
        <v>44266</v>
      </c>
      <c r="C3017" t="s">
        <v>181</v>
      </c>
      <c r="D3017" t="s">
        <v>51</v>
      </c>
      <c r="E3017">
        <v>2000717694</v>
      </c>
      <c r="F3017">
        <v>10</v>
      </c>
      <c r="G3017">
        <v>10</v>
      </c>
      <c r="H3017">
        <v>0</v>
      </c>
      <c r="I3017" t="s">
        <v>706</v>
      </c>
      <c r="J3017" t="s">
        <v>669</v>
      </c>
      <c r="K3017" t="s">
        <v>712</v>
      </c>
      <c r="O3017">
        <v>0</v>
      </c>
      <c r="U3017" t="s">
        <v>81</v>
      </c>
    </row>
    <row r="3018" spans="1:21" x14ac:dyDescent="0.25">
      <c r="A3018" s="33">
        <v>3033</v>
      </c>
      <c r="B3018" s="24">
        <v>44266</v>
      </c>
      <c r="C3018" t="s">
        <v>181</v>
      </c>
      <c r="D3018" t="s">
        <v>51</v>
      </c>
      <c r="E3018">
        <v>2000717700</v>
      </c>
      <c r="F3018">
        <v>800</v>
      </c>
      <c r="G3018">
        <v>150</v>
      </c>
      <c r="H3018">
        <v>0</v>
      </c>
      <c r="I3018" t="s">
        <v>706</v>
      </c>
      <c r="J3018" t="s">
        <v>667</v>
      </c>
      <c r="K3018" t="s">
        <v>730</v>
      </c>
      <c r="O3018">
        <v>0</v>
      </c>
      <c r="U3018" t="s">
        <v>81</v>
      </c>
    </row>
    <row r="3019" spans="1:21" x14ac:dyDescent="0.25">
      <c r="A3019" s="33">
        <v>3034</v>
      </c>
      <c r="B3019" s="24">
        <v>44266</v>
      </c>
      <c r="C3019" t="s">
        <v>181</v>
      </c>
      <c r="D3019" t="s">
        <v>51</v>
      </c>
      <c r="E3019">
        <v>2000717699</v>
      </c>
      <c r="F3019">
        <v>300</v>
      </c>
      <c r="G3019">
        <v>100</v>
      </c>
      <c r="H3019">
        <v>0</v>
      </c>
      <c r="I3019" t="s">
        <v>706</v>
      </c>
      <c r="J3019" t="s">
        <v>669</v>
      </c>
      <c r="K3019" t="s">
        <v>848</v>
      </c>
      <c r="O3019">
        <v>0</v>
      </c>
      <c r="U3019" t="s">
        <v>81</v>
      </c>
    </row>
    <row r="3020" spans="1:21" x14ac:dyDescent="0.25">
      <c r="A3020" s="33">
        <v>3035</v>
      </c>
      <c r="B3020" s="24">
        <v>44266</v>
      </c>
      <c r="C3020" t="s">
        <v>181</v>
      </c>
      <c r="D3020" t="s">
        <v>51</v>
      </c>
      <c r="E3020">
        <v>2000717321</v>
      </c>
      <c r="F3020">
        <v>250</v>
      </c>
      <c r="G3020">
        <v>60</v>
      </c>
      <c r="H3020">
        <v>0</v>
      </c>
      <c r="I3020" t="s">
        <v>706</v>
      </c>
      <c r="J3020" t="s">
        <v>669</v>
      </c>
      <c r="K3020" t="s">
        <v>801</v>
      </c>
      <c r="O3020">
        <v>0</v>
      </c>
      <c r="U3020" t="s">
        <v>81</v>
      </c>
    </row>
    <row r="3021" spans="1:21" x14ac:dyDescent="0.25">
      <c r="A3021" s="33">
        <v>3036</v>
      </c>
      <c r="B3021" s="24">
        <v>44266</v>
      </c>
      <c r="C3021" t="s">
        <v>181</v>
      </c>
      <c r="D3021" t="s">
        <v>51</v>
      </c>
      <c r="E3021">
        <v>2000717322</v>
      </c>
      <c r="F3021">
        <v>710</v>
      </c>
      <c r="G3021">
        <v>140</v>
      </c>
      <c r="H3021">
        <v>0</v>
      </c>
      <c r="I3021" t="s">
        <v>706</v>
      </c>
      <c r="J3021" t="s">
        <v>667</v>
      </c>
      <c r="K3021" t="s">
        <v>882</v>
      </c>
      <c r="O3021">
        <v>0</v>
      </c>
      <c r="U3021" t="s">
        <v>81</v>
      </c>
    </row>
    <row r="3022" spans="1:21" x14ac:dyDescent="0.25">
      <c r="A3022" s="33">
        <v>3037</v>
      </c>
      <c r="B3022" s="24">
        <v>44266</v>
      </c>
      <c r="C3022" t="s">
        <v>181</v>
      </c>
      <c r="D3022" t="s">
        <v>41</v>
      </c>
      <c r="E3022">
        <v>2000717486</v>
      </c>
      <c r="F3022">
        <v>360</v>
      </c>
      <c r="G3022">
        <v>45</v>
      </c>
      <c r="H3022">
        <v>0</v>
      </c>
      <c r="I3022" t="s">
        <v>693</v>
      </c>
      <c r="J3022" t="s">
        <v>170</v>
      </c>
      <c r="K3022" t="s">
        <v>1055</v>
      </c>
      <c r="O3022">
        <v>0</v>
      </c>
      <c r="U3022" t="s">
        <v>81</v>
      </c>
    </row>
    <row r="3023" spans="1:21" x14ac:dyDescent="0.25">
      <c r="A3023" s="33">
        <v>3038</v>
      </c>
      <c r="B3023" s="24">
        <v>44266</v>
      </c>
      <c r="C3023" t="s">
        <v>181</v>
      </c>
      <c r="D3023" t="s">
        <v>41</v>
      </c>
      <c r="E3023">
        <v>2000717434</v>
      </c>
      <c r="F3023">
        <v>990</v>
      </c>
      <c r="G3023">
        <v>60</v>
      </c>
      <c r="H3023">
        <v>0</v>
      </c>
      <c r="I3023" t="s">
        <v>693</v>
      </c>
      <c r="J3023" t="s">
        <v>169</v>
      </c>
      <c r="K3023" t="s">
        <v>637</v>
      </c>
      <c r="O3023">
        <v>0</v>
      </c>
      <c r="U3023" t="s">
        <v>81</v>
      </c>
    </row>
    <row r="3024" spans="1:21" x14ac:dyDescent="0.25">
      <c r="A3024" s="33">
        <v>3039</v>
      </c>
      <c r="B3024" s="24">
        <v>44266</v>
      </c>
      <c r="C3024" t="s">
        <v>181</v>
      </c>
      <c r="D3024" t="s">
        <v>41</v>
      </c>
      <c r="E3024">
        <v>2000717252</v>
      </c>
      <c r="F3024">
        <v>130</v>
      </c>
      <c r="G3024">
        <v>20</v>
      </c>
      <c r="H3024">
        <v>0</v>
      </c>
      <c r="I3024" t="s">
        <v>693</v>
      </c>
      <c r="J3024" t="s">
        <v>202</v>
      </c>
      <c r="K3024" t="s">
        <v>797</v>
      </c>
      <c r="O3024">
        <v>0</v>
      </c>
      <c r="U3024" t="s">
        <v>81</v>
      </c>
    </row>
    <row r="3025" spans="1:21" x14ac:dyDescent="0.25">
      <c r="A3025" s="33">
        <v>3040</v>
      </c>
      <c r="B3025" s="24">
        <v>44266</v>
      </c>
      <c r="C3025" t="s">
        <v>181</v>
      </c>
      <c r="D3025" t="s">
        <v>41</v>
      </c>
      <c r="E3025">
        <v>2000717505</v>
      </c>
      <c r="F3025">
        <v>1300</v>
      </c>
      <c r="G3025">
        <v>120</v>
      </c>
      <c r="H3025">
        <v>0</v>
      </c>
      <c r="I3025" t="s">
        <v>693</v>
      </c>
      <c r="J3025" t="s">
        <v>645</v>
      </c>
      <c r="K3025" t="s">
        <v>721</v>
      </c>
      <c r="O3025">
        <v>0</v>
      </c>
      <c r="U3025" t="s">
        <v>81</v>
      </c>
    </row>
    <row r="3026" spans="1:21" x14ac:dyDescent="0.25">
      <c r="A3026" s="33">
        <v>3041</v>
      </c>
      <c r="B3026" s="24">
        <v>44266</v>
      </c>
      <c r="C3026" t="s">
        <v>181</v>
      </c>
      <c r="D3026" t="s">
        <v>41</v>
      </c>
      <c r="E3026">
        <v>2000717144</v>
      </c>
      <c r="F3026">
        <v>800</v>
      </c>
      <c r="G3026">
        <v>20</v>
      </c>
      <c r="H3026">
        <v>0</v>
      </c>
      <c r="I3026" t="s">
        <v>693</v>
      </c>
      <c r="J3026" t="s">
        <v>645</v>
      </c>
      <c r="K3026" t="s">
        <v>721</v>
      </c>
      <c r="O3026">
        <v>0</v>
      </c>
      <c r="U3026" t="s">
        <v>81</v>
      </c>
    </row>
    <row r="3027" spans="1:21" x14ac:dyDescent="0.25">
      <c r="A3027" s="33">
        <v>3042</v>
      </c>
      <c r="B3027" s="24">
        <v>44266</v>
      </c>
      <c r="C3027" t="s">
        <v>181</v>
      </c>
      <c r="D3027" t="s">
        <v>41</v>
      </c>
      <c r="E3027">
        <v>2000717243</v>
      </c>
      <c r="F3027">
        <v>600</v>
      </c>
      <c r="G3027">
        <v>40</v>
      </c>
      <c r="H3027">
        <v>0</v>
      </c>
      <c r="I3027" t="s">
        <v>693</v>
      </c>
      <c r="J3027" t="s">
        <v>687</v>
      </c>
      <c r="K3027" t="s">
        <v>705</v>
      </c>
      <c r="O3027">
        <v>0</v>
      </c>
      <c r="U3027" t="s">
        <v>81</v>
      </c>
    </row>
    <row r="3028" spans="1:21" x14ac:dyDescent="0.25">
      <c r="A3028" s="33">
        <v>3043</v>
      </c>
      <c r="B3028" s="24">
        <v>44266</v>
      </c>
      <c r="C3028" t="s">
        <v>181</v>
      </c>
      <c r="D3028" t="s">
        <v>41</v>
      </c>
      <c r="E3028">
        <v>2000716743</v>
      </c>
      <c r="F3028">
        <v>3996</v>
      </c>
      <c r="G3028">
        <v>210</v>
      </c>
      <c r="H3028">
        <v>0</v>
      </c>
      <c r="I3028" t="s">
        <v>693</v>
      </c>
      <c r="J3028" t="s">
        <v>687</v>
      </c>
      <c r="K3028" t="s">
        <v>688</v>
      </c>
      <c r="O3028">
        <v>0</v>
      </c>
      <c r="U3028" t="s">
        <v>81</v>
      </c>
    </row>
    <row r="3029" spans="1:21" x14ac:dyDescent="0.25">
      <c r="A3029" s="33">
        <v>3044</v>
      </c>
      <c r="B3029" s="24">
        <v>44266</v>
      </c>
      <c r="C3029" t="s">
        <v>181</v>
      </c>
      <c r="D3029" t="s">
        <v>41</v>
      </c>
      <c r="E3029">
        <v>2000716749</v>
      </c>
      <c r="F3029">
        <v>400</v>
      </c>
      <c r="G3029">
        <v>3</v>
      </c>
      <c r="H3029">
        <v>0</v>
      </c>
      <c r="I3029" t="s">
        <v>183</v>
      </c>
      <c r="J3029" t="s">
        <v>169</v>
      </c>
      <c r="K3029" t="s">
        <v>767</v>
      </c>
      <c r="O3029">
        <v>0</v>
      </c>
      <c r="T3029" s="62"/>
      <c r="U3029" t="s">
        <v>81</v>
      </c>
    </row>
    <row r="3030" spans="1:21" x14ac:dyDescent="0.25">
      <c r="A3030" s="33">
        <v>3045</v>
      </c>
      <c r="B3030" s="24">
        <v>44266</v>
      </c>
      <c r="C3030" t="s">
        <v>181</v>
      </c>
      <c r="D3030" t="s">
        <v>41</v>
      </c>
      <c r="E3030">
        <v>2000717138</v>
      </c>
      <c r="F3030">
        <v>1050</v>
      </c>
      <c r="G3030">
        <v>100</v>
      </c>
      <c r="H3030">
        <v>0</v>
      </c>
      <c r="I3030" t="s">
        <v>183</v>
      </c>
      <c r="J3030" t="s">
        <v>196</v>
      </c>
      <c r="K3030" t="s">
        <v>682</v>
      </c>
      <c r="O3030">
        <v>0</v>
      </c>
      <c r="U3030" t="s">
        <v>81</v>
      </c>
    </row>
    <row r="3031" spans="1:21" x14ac:dyDescent="0.25">
      <c r="A3031" s="33">
        <v>3046</v>
      </c>
      <c r="B3031" s="24">
        <v>44266</v>
      </c>
      <c r="C3031" t="s">
        <v>181</v>
      </c>
      <c r="D3031" t="s">
        <v>41</v>
      </c>
      <c r="E3031">
        <v>2000717256</v>
      </c>
      <c r="F3031">
        <v>1600</v>
      </c>
      <c r="G3031">
        <v>1200</v>
      </c>
      <c r="H3031">
        <v>0</v>
      </c>
      <c r="I3031" t="s">
        <v>183</v>
      </c>
      <c r="J3031" t="s">
        <v>203</v>
      </c>
      <c r="K3031" t="s">
        <v>788</v>
      </c>
      <c r="O3031">
        <v>0</v>
      </c>
      <c r="T3031" s="62"/>
      <c r="U3031" t="s">
        <v>81</v>
      </c>
    </row>
    <row r="3032" spans="1:21" x14ac:dyDescent="0.25">
      <c r="A3032" s="33">
        <v>3047</v>
      </c>
      <c r="B3032" s="24">
        <v>44266</v>
      </c>
      <c r="C3032" t="s">
        <v>181</v>
      </c>
      <c r="D3032" t="s">
        <v>41</v>
      </c>
      <c r="E3032">
        <v>2000713138</v>
      </c>
      <c r="F3032">
        <v>446</v>
      </c>
      <c r="G3032">
        <v>5</v>
      </c>
      <c r="H3032">
        <v>0</v>
      </c>
      <c r="I3032" t="s">
        <v>183</v>
      </c>
      <c r="J3032" t="s">
        <v>174</v>
      </c>
      <c r="K3032" t="s">
        <v>644</v>
      </c>
      <c r="O3032">
        <v>0</v>
      </c>
      <c r="U3032" t="s">
        <v>81</v>
      </c>
    </row>
    <row r="3033" spans="1:21" x14ac:dyDescent="0.25">
      <c r="A3033" s="33">
        <v>3048</v>
      </c>
      <c r="B3033" s="24">
        <v>44266</v>
      </c>
      <c r="C3033" t="s">
        <v>181</v>
      </c>
      <c r="D3033" t="s">
        <v>41</v>
      </c>
      <c r="E3033">
        <v>2000716664</v>
      </c>
      <c r="F3033">
        <v>30</v>
      </c>
      <c r="G3033">
        <v>3</v>
      </c>
      <c r="H3033">
        <v>0</v>
      </c>
      <c r="I3033" t="s">
        <v>183</v>
      </c>
      <c r="J3033" t="s">
        <v>174</v>
      </c>
      <c r="K3033" t="s">
        <v>695</v>
      </c>
      <c r="O3033">
        <v>0</v>
      </c>
      <c r="U3033" t="s">
        <v>81</v>
      </c>
    </row>
    <row r="3034" spans="1:21" x14ac:dyDescent="0.25">
      <c r="A3034" s="33">
        <v>3049</v>
      </c>
      <c r="B3034" s="24">
        <v>44266</v>
      </c>
      <c r="C3034" t="s">
        <v>181</v>
      </c>
      <c r="D3034" t="s">
        <v>41</v>
      </c>
      <c r="E3034">
        <v>2000696787</v>
      </c>
      <c r="F3034">
        <v>440</v>
      </c>
      <c r="G3034">
        <v>6</v>
      </c>
      <c r="H3034">
        <v>0</v>
      </c>
      <c r="I3034" t="s">
        <v>183</v>
      </c>
      <c r="J3034" t="s">
        <v>174</v>
      </c>
      <c r="K3034" t="s">
        <v>811</v>
      </c>
      <c r="O3034">
        <v>0</v>
      </c>
      <c r="U3034" t="s">
        <v>81</v>
      </c>
    </row>
    <row r="3035" spans="1:21" x14ac:dyDescent="0.25">
      <c r="A3035" s="33">
        <v>3050</v>
      </c>
      <c r="B3035" s="24">
        <v>44266</v>
      </c>
      <c r="C3035" t="s">
        <v>181</v>
      </c>
      <c r="D3035" t="s">
        <v>41</v>
      </c>
      <c r="E3035">
        <v>2000714543</v>
      </c>
      <c r="F3035">
        <v>240</v>
      </c>
      <c r="G3035">
        <v>2</v>
      </c>
      <c r="H3035">
        <v>0</v>
      </c>
      <c r="I3035" t="s">
        <v>183</v>
      </c>
      <c r="J3035" t="s">
        <v>174</v>
      </c>
      <c r="K3035" t="s">
        <v>792</v>
      </c>
      <c r="O3035">
        <v>0</v>
      </c>
      <c r="U3035" t="s">
        <v>81</v>
      </c>
    </row>
    <row r="3036" spans="1:21" x14ac:dyDescent="0.25">
      <c r="A3036" s="33">
        <v>3051</v>
      </c>
      <c r="B3036" s="24">
        <v>44266</v>
      </c>
      <c r="C3036" t="s">
        <v>181</v>
      </c>
      <c r="D3036" t="s">
        <v>41</v>
      </c>
      <c r="E3036">
        <v>2000717644</v>
      </c>
      <c r="F3036">
        <v>793</v>
      </c>
      <c r="G3036">
        <v>240</v>
      </c>
      <c r="H3036">
        <v>0</v>
      </c>
      <c r="I3036" t="s">
        <v>183</v>
      </c>
      <c r="J3036" t="s">
        <v>174</v>
      </c>
      <c r="K3036" t="s">
        <v>177</v>
      </c>
      <c r="O3036">
        <v>0</v>
      </c>
      <c r="U3036" t="s">
        <v>81</v>
      </c>
    </row>
    <row r="3037" spans="1:21" x14ac:dyDescent="0.25">
      <c r="A3037" s="33">
        <v>3052</v>
      </c>
      <c r="B3037" s="24">
        <v>44266</v>
      </c>
      <c r="C3037" t="s">
        <v>181</v>
      </c>
      <c r="D3037" t="s">
        <v>41</v>
      </c>
      <c r="E3037">
        <v>2000717242</v>
      </c>
      <c r="F3037">
        <v>636</v>
      </c>
      <c r="G3037">
        <v>80</v>
      </c>
      <c r="H3037">
        <v>0</v>
      </c>
      <c r="I3037" t="s">
        <v>183</v>
      </c>
      <c r="J3037" t="s">
        <v>687</v>
      </c>
      <c r="K3037" t="s">
        <v>757</v>
      </c>
      <c r="O3037">
        <v>0</v>
      </c>
      <c r="U3037" t="s">
        <v>81</v>
      </c>
    </row>
    <row r="3038" spans="1:21" x14ac:dyDescent="0.25">
      <c r="A3038" s="33">
        <v>3053</v>
      </c>
      <c r="B3038" s="24">
        <v>44266</v>
      </c>
      <c r="C3038" t="s">
        <v>181</v>
      </c>
      <c r="D3038" t="s">
        <v>41</v>
      </c>
      <c r="E3038">
        <v>2000717052</v>
      </c>
      <c r="F3038">
        <v>700</v>
      </c>
      <c r="G3038">
        <v>80</v>
      </c>
      <c r="H3038">
        <v>0</v>
      </c>
      <c r="I3038" t="s">
        <v>183</v>
      </c>
      <c r="J3038" t="s">
        <v>645</v>
      </c>
      <c r="K3038" t="s">
        <v>790</v>
      </c>
      <c r="O3038">
        <v>0</v>
      </c>
      <c r="U3038" t="s">
        <v>81</v>
      </c>
    </row>
    <row r="3039" spans="1:21" x14ac:dyDescent="0.25">
      <c r="A3039" s="33">
        <v>3054</v>
      </c>
      <c r="B3039" s="24">
        <v>44266</v>
      </c>
      <c r="C3039" t="s">
        <v>181</v>
      </c>
      <c r="D3039" t="s">
        <v>41</v>
      </c>
      <c r="E3039">
        <v>2000717434</v>
      </c>
      <c r="F3039">
        <v>990</v>
      </c>
      <c r="G3039">
        <v>30</v>
      </c>
      <c r="H3039">
        <v>0</v>
      </c>
      <c r="I3039" t="s">
        <v>183</v>
      </c>
      <c r="J3039" t="s">
        <v>169</v>
      </c>
      <c r="K3039" t="s">
        <v>637</v>
      </c>
      <c r="O3039">
        <v>0</v>
      </c>
      <c r="U3039" t="s">
        <v>81</v>
      </c>
    </row>
    <row r="3040" spans="1:21" x14ac:dyDescent="0.25">
      <c r="A3040" s="33">
        <v>3055</v>
      </c>
      <c r="B3040" s="24">
        <v>44266</v>
      </c>
      <c r="C3040" t="s">
        <v>181</v>
      </c>
      <c r="D3040" t="s">
        <v>41</v>
      </c>
      <c r="E3040">
        <v>2000717453</v>
      </c>
      <c r="F3040">
        <v>1072</v>
      </c>
      <c r="G3040">
        <v>15</v>
      </c>
      <c r="H3040">
        <v>0</v>
      </c>
      <c r="I3040" t="s">
        <v>696</v>
      </c>
      <c r="J3040" t="s">
        <v>174</v>
      </c>
      <c r="K3040" t="s">
        <v>662</v>
      </c>
      <c r="O3040">
        <v>0</v>
      </c>
      <c r="U3040" t="s">
        <v>81</v>
      </c>
    </row>
    <row r="3041" spans="1:21" x14ac:dyDescent="0.25">
      <c r="A3041" s="33">
        <v>3056</v>
      </c>
      <c r="B3041" s="24">
        <v>44266</v>
      </c>
      <c r="C3041" t="s">
        <v>181</v>
      </c>
      <c r="D3041" t="s">
        <v>41</v>
      </c>
      <c r="E3041">
        <v>2000717644</v>
      </c>
      <c r="F3041">
        <v>793</v>
      </c>
      <c r="G3041">
        <v>80</v>
      </c>
      <c r="H3041">
        <v>0</v>
      </c>
      <c r="I3041" t="s">
        <v>696</v>
      </c>
      <c r="J3041" t="s">
        <v>174</v>
      </c>
      <c r="K3041" t="s">
        <v>177</v>
      </c>
      <c r="O3041">
        <v>0</v>
      </c>
      <c r="U3041" t="s">
        <v>81</v>
      </c>
    </row>
    <row r="3042" spans="1:21" x14ac:dyDescent="0.25">
      <c r="A3042" s="33">
        <v>3057</v>
      </c>
      <c r="B3042" s="24">
        <v>44266</v>
      </c>
      <c r="C3042" t="s">
        <v>181</v>
      </c>
      <c r="D3042" t="s">
        <v>41</v>
      </c>
      <c r="E3042">
        <v>2000717476</v>
      </c>
      <c r="F3042">
        <v>360</v>
      </c>
      <c r="G3042">
        <v>360</v>
      </c>
      <c r="H3042">
        <v>0</v>
      </c>
      <c r="I3042" t="s">
        <v>696</v>
      </c>
      <c r="J3042" t="s">
        <v>174</v>
      </c>
      <c r="K3042" t="s">
        <v>805</v>
      </c>
      <c r="O3042">
        <v>0</v>
      </c>
      <c r="U3042" t="s">
        <v>81</v>
      </c>
    </row>
    <row r="3043" spans="1:21" x14ac:dyDescent="0.25">
      <c r="A3043" s="33">
        <v>3058</v>
      </c>
      <c r="B3043" s="24">
        <v>44266</v>
      </c>
      <c r="C3043" t="s">
        <v>181</v>
      </c>
      <c r="D3043" t="s">
        <v>41</v>
      </c>
      <c r="E3043">
        <v>2000717479</v>
      </c>
      <c r="F3043">
        <v>200</v>
      </c>
      <c r="G3043">
        <v>80</v>
      </c>
      <c r="H3043">
        <v>0</v>
      </c>
      <c r="I3043" t="s">
        <v>696</v>
      </c>
      <c r="J3043" t="s">
        <v>174</v>
      </c>
      <c r="K3043" t="s">
        <v>188</v>
      </c>
      <c r="O3043">
        <v>0</v>
      </c>
      <c r="U3043" t="s">
        <v>81</v>
      </c>
    </row>
    <row r="3044" spans="1:21" x14ac:dyDescent="0.25">
      <c r="A3044" s="33">
        <v>3059</v>
      </c>
      <c r="B3044" s="24">
        <v>44266</v>
      </c>
      <c r="C3044" t="s">
        <v>181</v>
      </c>
      <c r="D3044" t="s">
        <v>41</v>
      </c>
      <c r="E3044">
        <v>2000716258</v>
      </c>
      <c r="F3044">
        <v>1050</v>
      </c>
      <c r="G3044">
        <v>100</v>
      </c>
      <c r="H3044">
        <v>0</v>
      </c>
      <c r="I3044" t="s">
        <v>759</v>
      </c>
      <c r="J3044" t="s">
        <v>193</v>
      </c>
      <c r="K3044" t="s">
        <v>176</v>
      </c>
      <c r="O3044">
        <v>0</v>
      </c>
      <c r="U3044" t="s">
        <v>81</v>
      </c>
    </row>
    <row r="3045" spans="1:21" x14ac:dyDescent="0.25">
      <c r="A3045" s="33">
        <v>3060</v>
      </c>
      <c r="B3045" s="24">
        <v>44266</v>
      </c>
      <c r="C3045" t="s">
        <v>181</v>
      </c>
      <c r="D3045" t="s">
        <v>41</v>
      </c>
      <c r="E3045">
        <v>2000717250</v>
      </c>
      <c r="F3045">
        <v>130</v>
      </c>
      <c r="G3045">
        <v>50</v>
      </c>
      <c r="H3045">
        <v>0</v>
      </c>
      <c r="I3045" t="s">
        <v>759</v>
      </c>
      <c r="J3045" t="s">
        <v>202</v>
      </c>
      <c r="K3045" t="s">
        <v>831</v>
      </c>
      <c r="O3045">
        <v>0</v>
      </c>
      <c r="U3045" t="s">
        <v>81</v>
      </c>
    </row>
    <row r="3046" spans="1:21" x14ac:dyDescent="0.25">
      <c r="A3046" s="33">
        <v>3061</v>
      </c>
      <c r="B3046" s="24">
        <v>44266</v>
      </c>
      <c r="C3046" t="s">
        <v>181</v>
      </c>
      <c r="D3046" t="s">
        <v>41</v>
      </c>
      <c r="E3046">
        <v>2000716829</v>
      </c>
      <c r="F3046">
        <v>1200</v>
      </c>
      <c r="G3046">
        <v>200</v>
      </c>
      <c r="H3046">
        <v>0</v>
      </c>
      <c r="I3046" t="s">
        <v>759</v>
      </c>
      <c r="J3046" t="s">
        <v>645</v>
      </c>
      <c r="K3046" t="s">
        <v>756</v>
      </c>
      <c r="O3046">
        <v>0</v>
      </c>
      <c r="U3046" t="s">
        <v>81</v>
      </c>
    </row>
    <row r="3047" spans="1:21" x14ac:dyDescent="0.25">
      <c r="A3047" s="33">
        <v>3062</v>
      </c>
      <c r="B3047" s="24">
        <v>44266</v>
      </c>
      <c r="C3047" t="s">
        <v>181</v>
      </c>
      <c r="D3047" t="s">
        <v>41</v>
      </c>
      <c r="E3047">
        <v>2000716763</v>
      </c>
      <c r="F3047">
        <v>720</v>
      </c>
      <c r="G3047">
        <v>10</v>
      </c>
      <c r="H3047">
        <v>0</v>
      </c>
      <c r="I3047" t="s">
        <v>184</v>
      </c>
      <c r="J3047" t="s">
        <v>203</v>
      </c>
      <c r="K3047" t="s">
        <v>891</v>
      </c>
      <c r="O3047">
        <v>0</v>
      </c>
      <c r="U3047" t="s">
        <v>81</v>
      </c>
    </row>
    <row r="3048" spans="1:21" x14ac:dyDescent="0.25">
      <c r="A3048" s="33">
        <v>3063</v>
      </c>
      <c r="B3048" s="24">
        <v>44266</v>
      </c>
      <c r="C3048" t="s">
        <v>181</v>
      </c>
      <c r="D3048" t="s">
        <v>41</v>
      </c>
      <c r="E3048">
        <v>2000717258</v>
      </c>
      <c r="F3048">
        <v>580</v>
      </c>
      <c r="G3048">
        <v>247</v>
      </c>
      <c r="H3048">
        <v>0</v>
      </c>
      <c r="I3048" t="s">
        <v>184</v>
      </c>
      <c r="J3048" t="s">
        <v>203</v>
      </c>
      <c r="K3048" t="s">
        <v>785</v>
      </c>
      <c r="O3048">
        <v>0</v>
      </c>
      <c r="U3048" t="s">
        <v>81</v>
      </c>
    </row>
    <row r="3049" spans="1:21" x14ac:dyDescent="0.25">
      <c r="A3049" s="33">
        <v>3064</v>
      </c>
      <c r="B3049" s="24">
        <v>44266</v>
      </c>
      <c r="C3049" t="s">
        <v>181</v>
      </c>
      <c r="D3049" t="s">
        <v>41</v>
      </c>
      <c r="E3049">
        <v>2000717257</v>
      </c>
      <c r="F3049">
        <v>800</v>
      </c>
      <c r="G3049">
        <v>150</v>
      </c>
      <c r="H3049">
        <v>0</v>
      </c>
      <c r="I3049" t="s">
        <v>184</v>
      </c>
      <c r="J3049" t="s">
        <v>203</v>
      </c>
      <c r="K3049" t="s">
        <v>768</v>
      </c>
      <c r="O3049">
        <v>0</v>
      </c>
      <c r="U3049" t="s">
        <v>81</v>
      </c>
    </row>
    <row r="3050" spans="1:21" x14ac:dyDescent="0.25">
      <c r="A3050" s="33">
        <v>3065</v>
      </c>
      <c r="B3050" s="24">
        <v>44266</v>
      </c>
      <c r="C3050" t="s">
        <v>181</v>
      </c>
      <c r="D3050" t="s">
        <v>41</v>
      </c>
      <c r="E3050">
        <v>2000713551</v>
      </c>
      <c r="F3050">
        <v>206</v>
      </c>
      <c r="G3050">
        <v>5</v>
      </c>
      <c r="H3050">
        <v>0</v>
      </c>
      <c r="I3050" t="s">
        <v>184</v>
      </c>
      <c r="J3050" t="s">
        <v>745</v>
      </c>
      <c r="K3050" t="s">
        <v>836</v>
      </c>
      <c r="O3050">
        <v>0</v>
      </c>
      <c r="U3050" t="s">
        <v>81</v>
      </c>
    </row>
    <row r="3051" spans="1:21" x14ac:dyDescent="0.25">
      <c r="A3051" s="33">
        <v>3066</v>
      </c>
      <c r="B3051" s="24">
        <v>44266</v>
      </c>
      <c r="C3051" t="s">
        <v>181</v>
      </c>
      <c r="D3051" t="s">
        <v>41</v>
      </c>
      <c r="E3051">
        <v>2000717489</v>
      </c>
      <c r="F3051">
        <v>70</v>
      </c>
      <c r="G3051">
        <v>45</v>
      </c>
      <c r="H3051">
        <v>0</v>
      </c>
      <c r="I3051" t="s">
        <v>184</v>
      </c>
      <c r="J3051" t="s">
        <v>745</v>
      </c>
      <c r="K3051" t="s">
        <v>836</v>
      </c>
      <c r="O3051">
        <v>0</v>
      </c>
      <c r="U3051" t="s">
        <v>81</v>
      </c>
    </row>
    <row r="3052" spans="1:21" x14ac:dyDescent="0.25">
      <c r="A3052" s="33">
        <v>3067</v>
      </c>
      <c r="B3052" s="24">
        <v>44266</v>
      </c>
      <c r="C3052" t="s">
        <v>181</v>
      </c>
      <c r="D3052" t="s">
        <v>41</v>
      </c>
      <c r="E3052">
        <v>2000717269</v>
      </c>
      <c r="F3052">
        <v>2800</v>
      </c>
      <c r="G3052">
        <v>40</v>
      </c>
      <c r="H3052">
        <v>0</v>
      </c>
      <c r="I3052" t="s">
        <v>198</v>
      </c>
      <c r="J3052" t="s">
        <v>172</v>
      </c>
      <c r="K3052" t="s">
        <v>173</v>
      </c>
      <c r="O3052">
        <v>0</v>
      </c>
      <c r="U3052" t="s">
        <v>81</v>
      </c>
    </row>
    <row r="3053" spans="1:21" x14ac:dyDescent="0.25">
      <c r="A3053" s="33">
        <v>3068</v>
      </c>
      <c r="B3053" s="24">
        <v>44266</v>
      </c>
      <c r="C3053" t="s">
        <v>181</v>
      </c>
      <c r="D3053" t="s">
        <v>41</v>
      </c>
      <c r="E3053">
        <v>2000717257</v>
      </c>
      <c r="F3053">
        <v>800</v>
      </c>
      <c r="G3053">
        <v>165</v>
      </c>
      <c r="H3053">
        <v>1</v>
      </c>
      <c r="I3053" t="s">
        <v>198</v>
      </c>
      <c r="J3053" t="s">
        <v>203</v>
      </c>
      <c r="K3053" t="s">
        <v>768</v>
      </c>
      <c r="L3053" t="s">
        <v>110</v>
      </c>
      <c r="N3053" t="s">
        <v>1056</v>
      </c>
      <c r="O3053">
        <v>1</v>
      </c>
      <c r="P3053" t="s">
        <v>1057</v>
      </c>
      <c r="Q3053" t="s">
        <v>1058</v>
      </c>
      <c r="R3053">
        <v>4110019915</v>
      </c>
      <c r="S3053" s="36">
        <v>0.19097222222222221</v>
      </c>
      <c r="U3053" t="s">
        <v>81</v>
      </c>
    </row>
    <row r="3054" spans="1:21" x14ac:dyDescent="0.25">
      <c r="A3054" s="33">
        <v>3069</v>
      </c>
      <c r="B3054" s="24">
        <v>44266</v>
      </c>
      <c r="C3054" t="s">
        <v>181</v>
      </c>
      <c r="D3054" t="s">
        <v>41</v>
      </c>
      <c r="E3054">
        <v>2000715551</v>
      </c>
      <c r="F3054">
        <v>90</v>
      </c>
      <c r="G3054">
        <v>8</v>
      </c>
      <c r="H3054">
        <v>0</v>
      </c>
      <c r="I3054" t="s">
        <v>198</v>
      </c>
      <c r="J3054" t="s">
        <v>203</v>
      </c>
      <c r="K3054" t="s">
        <v>793</v>
      </c>
      <c r="O3054">
        <v>0</v>
      </c>
      <c r="U3054" t="s">
        <v>81</v>
      </c>
    </row>
    <row r="3055" spans="1:21" x14ac:dyDescent="0.25">
      <c r="A3055" s="33">
        <v>3070</v>
      </c>
      <c r="B3055" s="24">
        <v>44266</v>
      </c>
      <c r="C3055" t="s">
        <v>181</v>
      </c>
      <c r="D3055" t="s">
        <v>41</v>
      </c>
      <c r="E3055">
        <v>2000716657</v>
      </c>
      <c r="F3055">
        <v>600</v>
      </c>
      <c r="G3055">
        <v>200</v>
      </c>
      <c r="H3055">
        <v>0</v>
      </c>
      <c r="I3055" t="s">
        <v>680</v>
      </c>
      <c r="J3055" t="s">
        <v>193</v>
      </c>
      <c r="K3055" t="s">
        <v>683</v>
      </c>
      <c r="O3055">
        <v>0</v>
      </c>
      <c r="U3055" t="s">
        <v>81</v>
      </c>
    </row>
    <row r="3056" spans="1:21" x14ac:dyDescent="0.25">
      <c r="A3056" s="33">
        <v>3071</v>
      </c>
      <c r="B3056" s="24">
        <v>44266</v>
      </c>
      <c r="C3056" t="s">
        <v>181</v>
      </c>
      <c r="D3056" t="s">
        <v>41</v>
      </c>
      <c r="E3056">
        <v>2000717487</v>
      </c>
      <c r="F3056">
        <v>7830</v>
      </c>
      <c r="G3056">
        <v>300</v>
      </c>
      <c r="H3056">
        <v>0</v>
      </c>
      <c r="I3056" t="s">
        <v>680</v>
      </c>
      <c r="J3056" t="s">
        <v>200</v>
      </c>
      <c r="K3056" t="s">
        <v>737</v>
      </c>
      <c r="O3056">
        <v>0</v>
      </c>
      <c r="U3056" t="s">
        <v>81</v>
      </c>
    </row>
    <row r="3057" spans="1:21" x14ac:dyDescent="0.25">
      <c r="A3057" s="33">
        <v>3072</v>
      </c>
      <c r="B3057" s="24">
        <v>44266</v>
      </c>
      <c r="C3057" t="s">
        <v>181</v>
      </c>
      <c r="D3057" t="s">
        <v>41</v>
      </c>
      <c r="E3057">
        <v>2000717255</v>
      </c>
      <c r="F3057">
        <v>3609</v>
      </c>
      <c r="G3057">
        <v>300</v>
      </c>
      <c r="H3057">
        <v>0</v>
      </c>
      <c r="I3057" t="s">
        <v>680</v>
      </c>
      <c r="J3057" t="s">
        <v>169</v>
      </c>
      <c r="K3057" t="s">
        <v>652</v>
      </c>
      <c r="O3057">
        <v>0</v>
      </c>
      <c r="U3057" t="s">
        <v>81</v>
      </c>
    </row>
    <row r="3058" spans="1:21" x14ac:dyDescent="0.25">
      <c r="A3058" s="33">
        <v>3073</v>
      </c>
      <c r="B3058" s="24">
        <v>44266</v>
      </c>
      <c r="C3058" t="s">
        <v>181</v>
      </c>
      <c r="D3058" t="s">
        <v>41</v>
      </c>
      <c r="E3058">
        <v>2000717137</v>
      </c>
      <c r="F3058">
        <v>1050</v>
      </c>
      <c r="G3058">
        <v>200</v>
      </c>
      <c r="H3058">
        <v>0</v>
      </c>
      <c r="I3058" t="s">
        <v>680</v>
      </c>
      <c r="J3058" t="s">
        <v>196</v>
      </c>
      <c r="K3058" t="s">
        <v>684</v>
      </c>
      <c r="O3058">
        <v>0</v>
      </c>
      <c r="T3058" s="62"/>
      <c r="U3058" t="s">
        <v>81</v>
      </c>
    </row>
    <row r="3059" spans="1:21" x14ac:dyDescent="0.25">
      <c r="A3059" s="33">
        <v>3074</v>
      </c>
      <c r="B3059" s="24">
        <v>44266</v>
      </c>
      <c r="C3059" t="s">
        <v>181</v>
      </c>
      <c r="D3059" t="s">
        <v>41</v>
      </c>
      <c r="E3059">
        <v>2000716668</v>
      </c>
      <c r="F3059">
        <v>500</v>
      </c>
      <c r="G3059">
        <v>160</v>
      </c>
      <c r="H3059">
        <v>0</v>
      </c>
      <c r="I3059" t="s">
        <v>680</v>
      </c>
      <c r="J3059" t="s">
        <v>193</v>
      </c>
      <c r="K3059" t="s">
        <v>686</v>
      </c>
      <c r="O3059">
        <v>0</v>
      </c>
      <c r="T3059" s="62"/>
      <c r="U3059" t="s">
        <v>81</v>
      </c>
    </row>
    <row r="3060" spans="1:21" x14ac:dyDescent="0.25">
      <c r="A3060" s="33">
        <v>3075</v>
      </c>
      <c r="B3060" s="24">
        <v>44266</v>
      </c>
      <c r="C3060" t="s">
        <v>181</v>
      </c>
      <c r="D3060" t="s">
        <v>41</v>
      </c>
      <c r="E3060">
        <v>2000716659</v>
      </c>
      <c r="F3060">
        <v>600</v>
      </c>
      <c r="G3060">
        <v>160</v>
      </c>
      <c r="H3060">
        <v>0</v>
      </c>
      <c r="I3060" t="s">
        <v>680</v>
      </c>
      <c r="J3060" t="s">
        <v>193</v>
      </c>
      <c r="K3060" t="s">
        <v>686</v>
      </c>
      <c r="O3060">
        <v>0</v>
      </c>
      <c r="U3060" t="s">
        <v>81</v>
      </c>
    </row>
    <row r="3061" spans="1:21" x14ac:dyDescent="0.25">
      <c r="A3061" s="33">
        <v>3076</v>
      </c>
      <c r="B3061" s="24">
        <v>44266</v>
      </c>
      <c r="C3061" t="s">
        <v>181</v>
      </c>
      <c r="D3061" t="s">
        <v>41</v>
      </c>
      <c r="E3061">
        <v>2000717267</v>
      </c>
      <c r="F3061">
        <v>2800</v>
      </c>
      <c r="G3061">
        <v>200</v>
      </c>
      <c r="H3061">
        <v>0</v>
      </c>
      <c r="I3061" t="s">
        <v>680</v>
      </c>
      <c r="J3061" t="s">
        <v>172</v>
      </c>
      <c r="K3061" t="s">
        <v>725</v>
      </c>
      <c r="O3061">
        <v>0</v>
      </c>
      <c r="U3061" t="s">
        <v>81</v>
      </c>
    </row>
    <row r="3062" spans="1:21" x14ac:dyDescent="0.25">
      <c r="A3062" s="33">
        <v>3077</v>
      </c>
      <c r="B3062" s="24">
        <v>44266</v>
      </c>
      <c r="C3062" t="s">
        <v>181</v>
      </c>
      <c r="D3062" t="s">
        <v>41</v>
      </c>
      <c r="E3062">
        <v>2000716671</v>
      </c>
      <c r="F3062">
        <v>1500</v>
      </c>
      <c r="G3062">
        <v>200</v>
      </c>
      <c r="H3062">
        <v>0</v>
      </c>
      <c r="I3062" t="s">
        <v>680</v>
      </c>
      <c r="J3062" t="s">
        <v>172</v>
      </c>
      <c r="K3062" t="s">
        <v>725</v>
      </c>
      <c r="O3062">
        <v>0</v>
      </c>
      <c r="U3062" t="s">
        <v>81</v>
      </c>
    </row>
    <row r="3063" spans="1:21" x14ac:dyDescent="0.25">
      <c r="A3063" s="33">
        <v>3078</v>
      </c>
      <c r="B3063" s="24">
        <v>44266</v>
      </c>
      <c r="C3063" t="s">
        <v>181</v>
      </c>
      <c r="D3063" t="s">
        <v>41</v>
      </c>
      <c r="E3063">
        <v>2000717139</v>
      </c>
      <c r="F3063">
        <v>1050</v>
      </c>
      <c r="G3063">
        <v>150</v>
      </c>
      <c r="H3063">
        <v>0</v>
      </c>
      <c r="I3063" t="s">
        <v>680</v>
      </c>
      <c r="J3063" t="s">
        <v>196</v>
      </c>
      <c r="K3063" t="s">
        <v>685</v>
      </c>
      <c r="O3063">
        <v>0</v>
      </c>
      <c r="U3063" t="s">
        <v>81</v>
      </c>
    </row>
    <row r="3064" spans="1:21" x14ac:dyDescent="0.25">
      <c r="A3064" s="33">
        <v>3079</v>
      </c>
      <c r="B3064" s="24">
        <v>44266</v>
      </c>
      <c r="C3064" t="s">
        <v>181</v>
      </c>
      <c r="D3064" t="s">
        <v>41</v>
      </c>
      <c r="E3064">
        <v>2000717251</v>
      </c>
      <c r="F3064">
        <v>130</v>
      </c>
      <c r="G3064">
        <v>60</v>
      </c>
      <c r="H3064">
        <v>0</v>
      </c>
      <c r="I3064" t="s">
        <v>680</v>
      </c>
      <c r="J3064" t="s">
        <v>202</v>
      </c>
      <c r="K3064" t="s">
        <v>832</v>
      </c>
      <c r="O3064">
        <v>0</v>
      </c>
      <c r="U3064" t="s">
        <v>81</v>
      </c>
    </row>
    <row r="3065" spans="1:21" x14ac:dyDescent="0.25">
      <c r="A3065" s="33">
        <v>3080</v>
      </c>
      <c r="B3065" s="24">
        <v>44266</v>
      </c>
      <c r="C3065" t="s">
        <v>181</v>
      </c>
      <c r="D3065" t="s">
        <v>41</v>
      </c>
      <c r="E3065">
        <v>2000717249</v>
      </c>
      <c r="F3065">
        <v>130</v>
      </c>
      <c r="G3065">
        <v>40</v>
      </c>
      <c r="H3065">
        <v>0</v>
      </c>
      <c r="I3065" t="s">
        <v>680</v>
      </c>
      <c r="J3065" t="s">
        <v>202</v>
      </c>
      <c r="K3065" t="s">
        <v>830</v>
      </c>
      <c r="O3065">
        <v>0</v>
      </c>
      <c r="U3065" t="s">
        <v>81</v>
      </c>
    </row>
    <row r="3066" spans="1:21" x14ac:dyDescent="0.25">
      <c r="A3066" s="33">
        <v>3081</v>
      </c>
      <c r="B3066" s="24">
        <v>44266</v>
      </c>
      <c r="C3066" t="s">
        <v>181</v>
      </c>
      <c r="D3066" t="s">
        <v>41</v>
      </c>
      <c r="E3066">
        <v>2000717253</v>
      </c>
      <c r="F3066">
        <v>1224</v>
      </c>
      <c r="G3066">
        <v>660</v>
      </c>
      <c r="H3066">
        <v>0</v>
      </c>
      <c r="I3066" t="s">
        <v>680</v>
      </c>
      <c r="J3066" t="s">
        <v>745</v>
      </c>
      <c r="K3066" t="s">
        <v>849</v>
      </c>
      <c r="O3066">
        <v>0</v>
      </c>
      <c r="U3066" t="s">
        <v>81</v>
      </c>
    </row>
    <row r="3067" spans="1:21" x14ac:dyDescent="0.25">
      <c r="A3067" s="33">
        <v>3082</v>
      </c>
      <c r="B3067" s="24">
        <v>44266</v>
      </c>
      <c r="C3067" t="s">
        <v>181</v>
      </c>
      <c r="D3067" t="s">
        <v>41</v>
      </c>
      <c r="E3067">
        <v>2000716666</v>
      </c>
      <c r="F3067">
        <v>500</v>
      </c>
      <c r="G3067">
        <v>1</v>
      </c>
      <c r="H3067">
        <v>1</v>
      </c>
      <c r="I3067" t="s">
        <v>680</v>
      </c>
      <c r="J3067" t="s">
        <v>193</v>
      </c>
      <c r="K3067" t="s">
        <v>683</v>
      </c>
      <c r="L3067" t="s">
        <v>134</v>
      </c>
      <c r="O3067">
        <v>1</v>
      </c>
      <c r="P3067" t="s">
        <v>1059</v>
      </c>
      <c r="S3067" s="36">
        <v>0.8847222222222223</v>
      </c>
      <c r="U3067" t="s">
        <v>81</v>
      </c>
    </row>
    <row r="3068" spans="1:21" x14ac:dyDescent="0.25">
      <c r="A3068" s="33">
        <v>3083</v>
      </c>
      <c r="B3068" s="24">
        <v>44267</v>
      </c>
      <c r="C3068" t="s">
        <v>39</v>
      </c>
      <c r="D3068" t="s">
        <v>41</v>
      </c>
      <c r="E3068">
        <v>2000717751</v>
      </c>
      <c r="F3068">
        <v>700</v>
      </c>
      <c r="G3068">
        <v>80</v>
      </c>
      <c r="H3068">
        <v>0</v>
      </c>
      <c r="I3068" t="s">
        <v>185</v>
      </c>
      <c r="J3068" t="s">
        <v>645</v>
      </c>
      <c r="K3068" t="s">
        <v>1060</v>
      </c>
      <c r="O3068">
        <v>0</v>
      </c>
      <c r="U3068" t="s">
        <v>81</v>
      </c>
    </row>
    <row r="3069" spans="1:21" x14ac:dyDescent="0.25">
      <c r="A3069" s="33">
        <v>3084</v>
      </c>
      <c r="B3069" s="24">
        <v>44267</v>
      </c>
      <c r="C3069" t="s">
        <v>39</v>
      </c>
      <c r="D3069" t="s">
        <v>41</v>
      </c>
      <c r="E3069">
        <v>2000717611</v>
      </c>
      <c r="F3069">
        <v>280</v>
      </c>
      <c r="G3069">
        <v>20</v>
      </c>
      <c r="H3069">
        <v>0</v>
      </c>
      <c r="I3069" t="s">
        <v>185</v>
      </c>
      <c r="J3069" t="s">
        <v>645</v>
      </c>
      <c r="K3069" t="s">
        <v>734</v>
      </c>
      <c r="O3069">
        <v>0</v>
      </c>
      <c r="U3069" t="s">
        <v>81</v>
      </c>
    </row>
    <row r="3070" spans="1:21" x14ac:dyDescent="0.25">
      <c r="A3070" s="33">
        <v>3085</v>
      </c>
      <c r="B3070" s="24">
        <v>44267</v>
      </c>
      <c r="C3070" t="s">
        <v>39</v>
      </c>
      <c r="D3070" t="s">
        <v>41</v>
      </c>
      <c r="E3070">
        <v>2000717488</v>
      </c>
      <c r="F3070">
        <v>1290</v>
      </c>
      <c r="G3070">
        <v>90</v>
      </c>
      <c r="H3070">
        <v>0</v>
      </c>
      <c r="I3070" t="s">
        <v>185</v>
      </c>
      <c r="J3070" t="s">
        <v>174</v>
      </c>
      <c r="K3070" t="s">
        <v>776</v>
      </c>
      <c r="O3070">
        <v>0</v>
      </c>
      <c r="U3070" t="s">
        <v>81</v>
      </c>
    </row>
    <row r="3071" spans="1:21" x14ac:dyDescent="0.25">
      <c r="A3071" s="33">
        <v>3086</v>
      </c>
      <c r="B3071" s="24">
        <v>44267</v>
      </c>
      <c r="C3071" t="s">
        <v>39</v>
      </c>
      <c r="D3071" t="s">
        <v>41</v>
      </c>
      <c r="E3071">
        <v>2000717128</v>
      </c>
      <c r="F3071">
        <v>600</v>
      </c>
      <c r="G3071">
        <v>80</v>
      </c>
      <c r="H3071">
        <v>0</v>
      </c>
      <c r="I3071" t="s">
        <v>185</v>
      </c>
      <c r="J3071" t="s">
        <v>200</v>
      </c>
      <c r="K3071" t="s">
        <v>653</v>
      </c>
      <c r="O3071">
        <v>0</v>
      </c>
      <c r="U3071" t="s">
        <v>81</v>
      </c>
    </row>
    <row r="3072" spans="1:21" x14ac:dyDescent="0.25">
      <c r="A3072" s="33">
        <v>3087</v>
      </c>
      <c r="B3072" s="24">
        <v>44267</v>
      </c>
      <c r="C3072" t="s">
        <v>39</v>
      </c>
      <c r="D3072" t="s">
        <v>41</v>
      </c>
      <c r="E3072">
        <v>2000717612</v>
      </c>
      <c r="F3072">
        <v>900</v>
      </c>
      <c r="G3072">
        <v>80</v>
      </c>
      <c r="H3072">
        <v>0</v>
      </c>
      <c r="I3072" t="s">
        <v>185</v>
      </c>
      <c r="J3072" t="s">
        <v>645</v>
      </c>
      <c r="K3072" t="s">
        <v>752</v>
      </c>
      <c r="O3072">
        <v>0</v>
      </c>
      <c r="U3072" t="s">
        <v>81</v>
      </c>
    </row>
    <row r="3073" spans="1:21" x14ac:dyDescent="0.25">
      <c r="A3073" s="33">
        <v>3088</v>
      </c>
      <c r="B3073" s="24">
        <v>44267</v>
      </c>
      <c r="C3073" t="s">
        <v>39</v>
      </c>
      <c r="D3073" t="s">
        <v>41</v>
      </c>
      <c r="E3073">
        <v>2000717649</v>
      </c>
      <c r="F3073">
        <v>1200</v>
      </c>
      <c r="G3073">
        <v>80</v>
      </c>
      <c r="H3073">
        <v>0</v>
      </c>
      <c r="I3073" t="s">
        <v>185</v>
      </c>
      <c r="J3073" t="s">
        <v>687</v>
      </c>
      <c r="K3073" t="s">
        <v>757</v>
      </c>
      <c r="O3073">
        <v>0</v>
      </c>
      <c r="U3073" t="s">
        <v>81</v>
      </c>
    </row>
    <row r="3074" spans="1:21" x14ac:dyDescent="0.25">
      <c r="A3074" s="33">
        <v>3089</v>
      </c>
      <c r="B3074" s="24">
        <v>44267</v>
      </c>
      <c r="C3074" t="s">
        <v>39</v>
      </c>
      <c r="D3074" t="s">
        <v>41</v>
      </c>
      <c r="E3074">
        <v>2000717618</v>
      </c>
      <c r="F3074">
        <v>460</v>
      </c>
      <c r="G3074">
        <v>80</v>
      </c>
      <c r="H3074">
        <v>0</v>
      </c>
      <c r="I3074" t="s">
        <v>185</v>
      </c>
      <c r="J3074" t="s">
        <v>645</v>
      </c>
      <c r="K3074" t="s">
        <v>753</v>
      </c>
      <c r="O3074">
        <v>0</v>
      </c>
      <c r="U3074" t="s">
        <v>81</v>
      </c>
    </row>
    <row r="3075" spans="1:21" x14ac:dyDescent="0.25">
      <c r="A3075" s="33">
        <v>3090</v>
      </c>
      <c r="B3075" s="24">
        <v>44267</v>
      </c>
      <c r="C3075" t="s">
        <v>39</v>
      </c>
      <c r="D3075" t="s">
        <v>41</v>
      </c>
      <c r="E3075">
        <v>2000717603</v>
      </c>
      <c r="F3075">
        <v>550</v>
      </c>
      <c r="G3075">
        <v>80</v>
      </c>
      <c r="H3075">
        <v>0</v>
      </c>
      <c r="I3075" t="s">
        <v>185</v>
      </c>
      <c r="J3075" t="s">
        <v>169</v>
      </c>
      <c r="K3075" t="s">
        <v>768</v>
      </c>
      <c r="O3075">
        <v>0</v>
      </c>
      <c r="U3075" t="s">
        <v>81</v>
      </c>
    </row>
    <row r="3076" spans="1:21" x14ac:dyDescent="0.25">
      <c r="A3076" s="33">
        <v>3091</v>
      </c>
      <c r="B3076" s="24">
        <v>44267</v>
      </c>
      <c r="C3076" t="s">
        <v>39</v>
      </c>
      <c r="D3076" t="s">
        <v>41</v>
      </c>
      <c r="E3076">
        <v>2000717628</v>
      </c>
      <c r="F3076">
        <v>2400</v>
      </c>
      <c r="G3076">
        <v>120</v>
      </c>
      <c r="H3076">
        <v>0</v>
      </c>
      <c r="I3076" t="s">
        <v>185</v>
      </c>
      <c r="J3076" t="s">
        <v>645</v>
      </c>
      <c r="K3076" t="s">
        <v>721</v>
      </c>
      <c r="O3076">
        <v>0</v>
      </c>
      <c r="U3076" t="s">
        <v>81</v>
      </c>
    </row>
    <row r="3077" spans="1:21" x14ac:dyDescent="0.25">
      <c r="A3077" s="33">
        <v>3092</v>
      </c>
      <c r="B3077" s="24">
        <v>44267</v>
      </c>
      <c r="C3077" t="s">
        <v>39</v>
      </c>
      <c r="D3077" t="s">
        <v>41</v>
      </c>
      <c r="E3077">
        <v>2000716763</v>
      </c>
      <c r="F3077">
        <v>720</v>
      </c>
      <c r="G3077">
        <v>30</v>
      </c>
      <c r="H3077">
        <v>0</v>
      </c>
      <c r="I3077" t="s">
        <v>178</v>
      </c>
      <c r="J3077" t="s">
        <v>203</v>
      </c>
      <c r="K3077" t="s">
        <v>891</v>
      </c>
      <c r="O3077">
        <v>0</v>
      </c>
      <c r="U3077" t="s">
        <v>81</v>
      </c>
    </row>
    <row r="3078" spans="1:21" x14ac:dyDescent="0.25">
      <c r="A3078" s="33">
        <v>3093</v>
      </c>
      <c r="B3078" s="24">
        <v>44267</v>
      </c>
      <c r="C3078" t="s">
        <v>39</v>
      </c>
      <c r="D3078" t="s">
        <v>41</v>
      </c>
      <c r="E3078">
        <v>2000717257</v>
      </c>
      <c r="F3078">
        <v>800</v>
      </c>
      <c r="G3078">
        <v>465</v>
      </c>
      <c r="H3078">
        <v>0</v>
      </c>
      <c r="I3078" t="s">
        <v>178</v>
      </c>
      <c r="J3078" t="s">
        <v>203</v>
      </c>
      <c r="K3078" t="s">
        <v>768</v>
      </c>
      <c r="O3078">
        <v>0</v>
      </c>
      <c r="U3078" t="s">
        <v>81</v>
      </c>
    </row>
    <row r="3079" spans="1:21" x14ac:dyDescent="0.25">
      <c r="A3079" s="33">
        <v>3094</v>
      </c>
      <c r="B3079" s="24">
        <v>44267</v>
      </c>
      <c r="C3079" t="s">
        <v>39</v>
      </c>
      <c r="D3079" t="s">
        <v>41</v>
      </c>
      <c r="E3079">
        <v>2000717644</v>
      </c>
      <c r="F3079">
        <v>793</v>
      </c>
      <c r="G3079">
        <v>200</v>
      </c>
      <c r="H3079">
        <v>0</v>
      </c>
      <c r="I3079" t="s">
        <v>194</v>
      </c>
      <c r="J3079" t="s">
        <v>174</v>
      </c>
      <c r="K3079" t="s">
        <v>177</v>
      </c>
      <c r="O3079">
        <v>0</v>
      </c>
      <c r="U3079" t="s">
        <v>81</v>
      </c>
    </row>
    <row r="3080" spans="1:21" x14ac:dyDescent="0.25">
      <c r="A3080" s="33">
        <v>3095</v>
      </c>
      <c r="B3080" s="24">
        <v>44267</v>
      </c>
      <c r="C3080" t="s">
        <v>39</v>
      </c>
      <c r="D3080" t="s">
        <v>41</v>
      </c>
      <c r="E3080">
        <v>2000716763</v>
      </c>
      <c r="F3080">
        <v>720</v>
      </c>
      <c r="G3080">
        <v>60</v>
      </c>
      <c r="H3080">
        <v>0</v>
      </c>
      <c r="I3080" t="s">
        <v>194</v>
      </c>
      <c r="J3080" t="s">
        <v>203</v>
      </c>
      <c r="K3080" t="s">
        <v>891</v>
      </c>
      <c r="O3080">
        <v>0</v>
      </c>
      <c r="U3080" t="s">
        <v>81</v>
      </c>
    </row>
    <row r="3081" spans="1:21" x14ac:dyDescent="0.25">
      <c r="A3081" s="33">
        <v>3096</v>
      </c>
      <c r="B3081" s="24">
        <v>44267</v>
      </c>
      <c r="C3081" t="s">
        <v>39</v>
      </c>
      <c r="D3081" t="s">
        <v>41</v>
      </c>
      <c r="E3081">
        <v>2000717433</v>
      </c>
      <c r="F3081">
        <v>582</v>
      </c>
      <c r="G3081">
        <v>225</v>
      </c>
      <c r="H3081">
        <v>0</v>
      </c>
      <c r="I3081" t="s">
        <v>194</v>
      </c>
      <c r="J3081" t="s">
        <v>698</v>
      </c>
      <c r="K3081" t="s">
        <v>786</v>
      </c>
      <c r="O3081">
        <v>0</v>
      </c>
      <c r="U3081" t="s">
        <v>81</v>
      </c>
    </row>
    <row r="3082" spans="1:21" x14ac:dyDescent="0.25">
      <c r="A3082" s="33">
        <v>3097</v>
      </c>
      <c r="B3082" s="24">
        <v>44267</v>
      </c>
      <c r="C3082" t="s">
        <v>39</v>
      </c>
      <c r="D3082" t="s">
        <v>41</v>
      </c>
      <c r="E3082">
        <v>2000717433</v>
      </c>
      <c r="F3082">
        <v>582</v>
      </c>
      <c r="G3082">
        <v>90</v>
      </c>
      <c r="H3082">
        <v>0</v>
      </c>
      <c r="I3082" t="s">
        <v>194</v>
      </c>
      <c r="J3082" t="s">
        <v>698</v>
      </c>
      <c r="K3082" t="s">
        <v>786</v>
      </c>
      <c r="O3082">
        <v>0</v>
      </c>
      <c r="U3082" t="s">
        <v>81</v>
      </c>
    </row>
    <row r="3083" spans="1:21" x14ac:dyDescent="0.25">
      <c r="A3083" s="33">
        <v>3098</v>
      </c>
      <c r="B3083" s="24">
        <v>44267</v>
      </c>
      <c r="C3083" t="s">
        <v>39</v>
      </c>
      <c r="D3083" t="s">
        <v>41</v>
      </c>
      <c r="E3083">
        <v>2000717657</v>
      </c>
      <c r="F3083">
        <v>136</v>
      </c>
      <c r="G3083">
        <v>91</v>
      </c>
      <c r="H3083">
        <v>0</v>
      </c>
      <c r="I3083" t="s">
        <v>194</v>
      </c>
      <c r="J3083" t="s">
        <v>170</v>
      </c>
      <c r="K3083" t="s">
        <v>182</v>
      </c>
      <c r="O3083">
        <v>0</v>
      </c>
      <c r="U3083" t="s">
        <v>81</v>
      </c>
    </row>
    <row r="3084" spans="1:21" x14ac:dyDescent="0.25">
      <c r="A3084" s="33">
        <v>3099</v>
      </c>
      <c r="B3084" s="24">
        <v>44267</v>
      </c>
      <c r="C3084" t="s">
        <v>39</v>
      </c>
      <c r="D3084" t="s">
        <v>41</v>
      </c>
      <c r="E3084">
        <v>2000717479</v>
      </c>
      <c r="F3084">
        <v>200</v>
      </c>
      <c r="G3084">
        <v>119</v>
      </c>
      <c r="H3084">
        <v>0</v>
      </c>
      <c r="I3084" t="s">
        <v>661</v>
      </c>
      <c r="J3084" t="s">
        <v>174</v>
      </c>
      <c r="K3084" t="s">
        <v>188</v>
      </c>
      <c r="O3084">
        <v>0</v>
      </c>
      <c r="U3084" t="s">
        <v>81</v>
      </c>
    </row>
    <row r="3085" spans="1:21" x14ac:dyDescent="0.25">
      <c r="A3085" s="33">
        <v>3100</v>
      </c>
      <c r="B3085" s="24">
        <v>44267</v>
      </c>
      <c r="C3085" t="s">
        <v>39</v>
      </c>
      <c r="D3085" t="s">
        <v>41</v>
      </c>
      <c r="E3085">
        <v>2000717486</v>
      </c>
      <c r="F3085">
        <v>360</v>
      </c>
      <c r="G3085">
        <v>315</v>
      </c>
      <c r="H3085">
        <v>0</v>
      </c>
      <c r="I3085" t="s">
        <v>661</v>
      </c>
      <c r="J3085" t="s">
        <v>170</v>
      </c>
      <c r="K3085" t="s">
        <v>1061</v>
      </c>
      <c r="O3085">
        <v>0</v>
      </c>
      <c r="U3085" t="s">
        <v>81</v>
      </c>
    </row>
    <row r="3086" spans="1:21" x14ac:dyDescent="0.25">
      <c r="A3086" s="33">
        <v>3101</v>
      </c>
      <c r="B3086" s="24">
        <v>44267</v>
      </c>
      <c r="C3086" t="s">
        <v>39</v>
      </c>
      <c r="D3086" t="s">
        <v>41</v>
      </c>
      <c r="E3086">
        <v>2000717433</v>
      </c>
      <c r="F3086">
        <v>582</v>
      </c>
      <c r="G3086">
        <v>269</v>
      </c>
      <c r="H3086">
        <v>0</v>
      </c>
      <c r="I3086" t="s">
        <v>661</v>
      </c>
      <c r="J3086" t="s">
        <v>698</v>
      </c>
      <c r="K3086" t="s">
        <v>786</v>
      </c>
      <c r="O3086">
        <v>0</v>
      </c>
      <c r="U3086" t="s">
        <v>81</v>
      </c>
    </row>
    <row r="3087" spans="1:21" x14ac:dyDescent="0.25">
      <c r="A3087" s="33">
        <v>3102</v>
      </c>
      <c r="B3087" s="24">
        <v>44267</v>
      </c>
      <c r="C3087" t="s">
        <v>39</v>
      </c>
      <c r="D3087" t="s">
        <v>41</v>
      </c>
      <c r="E3087">
        <v>2000717481</v>
      </c>
      <c r="F3087">
        <v>120</v>
      </c>
      <c r="G3087">
        <v>119</v>
      </c>
      <c r="H3087">
        <v>0</v>
      </c>
      <c r="I3087" t="s">
        <v>666</v>
      </c>
      <c r="J3087" t="s">
        <v>174</v>
      </c>
      <c r="K3087" t="s">
        <v>811</v>
      </c>
      <c r="O3087">
        <v>0</v>
      </c>
      <c r="U3087" t="s">
        <v>81</v>
      </c>
    </row>
    <row r="3088" spans="1:21" x14ac:dyDescent="0.25">
      <c r="A3088" s="33">
        <v>3103</v>
      </c>
      <c r="B3088" s="24">
        <v>44267</v>
      </c>
      <c r="C3088" t="s">
        <v>39</v>
      </c>
      <c r="D3088" t="s">
        <v>41</v>
      </c>
      <c r="E3088">
        <v>2000715331</v>
      </c>
      <c r="F3088">
        <v>200</v>
      </c>
      <c r="G3088">
        <v>2</v>
      </c>
      <c r="H3088">
        <v>0</v>
      </c>
      <c r="I3088" t="s">
        <v>666</v>
      </c>
      <c r="J3088" t="s">
        <v>174</v>
      </c>
      <c r="K3088" t="s">
        <v>931</v>
      </c>
      <c r="O3088">
        <v>0</v>
      </c>
      <c r="U3088" t="s">
        <v>81</v>
      </c>
    </row>
    <row r="3089" spans="1:21" x14ac:dyDescent="0.25">
      <c r="A3089" s="33">
        <v>3104</v>
      </c>
      <c r="B3089" s="24">
        <v>44267</v>
      </c>
      <c r="C3089" t="s">
        <v>39</v>
      </c>
      <c r="D3089" t="s">
        <v>41</v>
      </c>
      <c r="E3089">
        <v>2000717480</v>
      </c>
      <c r="F3089">
        <v>20</v>
      </c>
      <c r="G3089">
        <v>20</v>
      </c>
      <c r="H3089">
        <v>0</v>
      </c>
      <c r="I3089" t="s">
        <v>666</v>
      </c>
      <c r="J3089" t="s">
        <v>174</v>
      </c>
      <c r="K3089" t="s">
        <v>931</v>
      </c>
      <c r="O3089">
        <v>0</v>
      </c>
      <c r="U3089" t="s">
        <v>81</v>
      </c>
    </row>
    <row r="3090" spans="1:21" x14ac:dyDescent="0.25">
      <c r="A3090" s="33">
        <v>3105</v>
      </c>
      <c r="B3090" s="24">
        <v>44267</v>
      </c>
      <c r="C3090" t="s">
        <v>39</v>
      </c>
      <c r="D3090" t="s">
        <v>41</v>
      </c>
      <c r="E3090">
        <v>2000716655</v>
      </c>
      <c r="F3090">
        <v>1000</v>
      </c>
      <c r="G3090">
        <v>2</v>
      </c>
      <c r="H3090">
        <v>0</v>
      </c>
      <c r="I3090" t="s">
        <v>666</v>
      </c>
      <c r="J3090" t="s">
        <v>174</v>
      </c>
      <c r="K3090" t="s">
        <v>186</v>
      </c>
      <c r="O3090">
        <v>0</v>
      </c>
      <c r="U3090" t="s">
        <v>81</v>
      </c>
    </row>
    <row r="3091" spans="1:21" x14ac:dyDescent="0.25">
      <c r="A3091" s="33">
        <v>3106</v>
      </c>
      <c r="B3091" s="24">
        <v>44267</v>
      </c>
      <c r="C3091" t="s">
        <v>39</v>
      </c>
      <c r="D3091" t="s">
        <v>41</v>
      </c>
      <c r="E3091">
        <v>2000717186</v>
      </c>
      <c r="F3091">
        <v>400</v>
      </c>
      <c r="G3091">
        <v>3</v>
      </c>
      <c r="H3091">
        <v>0</v>
      </c>
      <c r="I3091" t="s">
        <v>666</v>
      </c>
      <c r="J3091" t="s">
        <v>174</v>
      </c>
      <c r="K3091" t="s">
        <v>805</v>
      </c>
      <c r="O3091">
        <v>0</v>
      </c>
      <c r="U3091" t="s">
        <v>81</v>
      </c>
    </row>
    <row r="3092" spans="1:21" x14ac:dyDescent="0.25">
      <c r="A3092" s="33">
        <v>3107</v>
      </c>
      <c r="B3092" s="24">
        <v>44267</v>
      </c>
      <c r="C3092" t="s">
        <v>39</v>
      </c>
      <c r="D3092" t="s">
        <v>41</v>
      </c>
      <c r="E3092">
        <v>2000714543</v>
      </c>
      <c r="F3092">
        <v>240</v>
      </c>
      <c r="G3092">
        <v>1</v>
      </c>
      <c r="H3092">
        <v>0</v>
      </c>
      <c r="I3092" t="s">
        <v>666</v>
      </c>
      <c r="J3092" t="s">
        <v>174</v>
      </c>
      <c r="K3092" t="s">
        <v>792</v>
      </c>
      <c r="O3092">
        <v>0</v>
      </c>
      <c r="U3092" t="s">
        <v>81</v>
      </c>
    </row>
    <row r="3093" spans="1:21" x14ac:dyDescent="0.25">
      <c r="A3093" s="33">
        <v>3108</v>
      </c>
      <c r="B3093" s="24">
        <v>44267</v>
      </c>
      <c r="C3093" t="s">
        <v>39</v>
      </c>
      <c r="D3093" t="s">
        <v>41</v>
      </c>
      <c r="E3093">
        <v>2000713141</v>
      </c>
      <c r="F3093">
        <v>200</v>
      </c>
      <c r="G3093">
        <v>1</v>
      </c>
      <c r="H3093">
        <v>0</v>
      </c>
      <c r="I3093" t="s">
        <v>666</v>
      </c>
      <c r="J3093" t="s">
        <v>174</v>
      </c>
      <c r="K3093" t="s">
        <v>188</v>
      </c>
      <c r="O3093">
        <v>0</v>
      </c>
      <c r="U3093" t="s">
        <v>81</v>
      </c>
    </row>
    <row r="3094" spans="1:21" x14ac:dyDescent="0.25">
      <c r="A3094" s="33">
        <v>3109</v>
      </c>
      <c r="B3094" s="24">
        <v>44267</v>
      </c>
      <c r="C3094" t="s">
        <v>39</v>
      </c>
      <c r="D3094" t="s">
        <v>41</v>
      </c>
      <c r="E3094">
        <v>2000716318</v>
      </c>
      <c r="F3094">
        <v>240</v>
      </c>
      <c r="G3094">
        <v>1</v>
      </c>
      <c r="H3094">
        <v>0</v>
      </c>
      <c r="I3094" t="s">
        <v>666</v>
      </c>
      <c r="J3094" t="s">
        <v>174</v>
      </c>
      <c r="K3094" t="s">
        <v>877</v>
      </c>
      <c r="O3094">
        <v>0</v>
      </c>
      <c r="U3094" t="s">
        <v>81</v>
      </c>
    </row>
    <row r="3095" spans="1:21" x14ac:dyDescent="0.25">
      <c r="A3095" s="33">
        <v>3110</v>
      </c>
      <c r="B3095" s="24">
        <v>44267</v>
      </c>
      <c r="C3095" t="s">
        <v>39</v>
      </c>
      <c r="D3095" t="s">
        <v>41</v>
      </c>
      <c r="E3095">
        <v>2000712280</v>
      </c>
      <c r="F3095">
        <v>400</v>
      </c>
      <c r="G3095">
        <v>1</v>
      </c>
      <c r="H3095">
        <v>0</v>
      </c>
      <c r="I3095" t="s">
        <v>666</v>
      </c>
      <c r="J3095" t="s">
        <v>174</v>
      </c>
      <c r="K3095" t="s">
        <v>204</v>
      </c>
      <c r="O3095">
        <v>0</v>
      </c>
      <c r="U3095" t="s">
        <v>81</v>
      </c>
    </row>
    <row r="3096" spans="1:21" x14ac:dyDescent="0.25">
      <c r="A3096" s="33">
        <v>3111</v>
      </c>
      <c r="B3096" s="24">
        <v>44267</v>
      </c>
      <c r="C3096" t="s">
        <v>39</v>
      </c>
      <c r="D3096" t="s">
        <v>41</v>
      </c>
      <c r="E3096">
        <v>2000715577</v>
      </c>
      <c r="F3096">
        <v>160</v>
      </c>
      <c r="G3096">
        <v>3</v>
      </c>
      <c r="H3096">
        <v>0</v>
      </c>
      <c r="I3096" t="s">
        <v>666</v>
      </c>
      <c r="J3096" t="s">
        <v>174</v>
      </c>
      <c r="K3096" t="s">
        <v>792</v>
      </c>
      <c r="O3096">
        <v>0</v>
      </c>
      <c r="U3096" t="s">
        <v>81</v>
      </c>
    </row>
    <row r="3097" spans="1:21" x14ac:dyDescent="0.25">
      <c r="A3097" s="33">
        <v>3112</v>
      </c>
      <c r="B3097" s="24">
        <v>44267</v>
      </c>
      <c r="C3097" t="s">
        <v>39</v>
      </c>
      <c r="D3097" t="s">
        <v>41</v>
      </c>
      <c r="E3097">
        <v>2000708984</v>
      </c>
      <c r="F3097">
        <v>120</v>
      </c>
      <c r="G3097">
        <v>3</v>
      </c>
      <c r="H3097">
        <v>0</v>
      </c>
      <c r="I3097" t="s">
        <v>666</v>
      </c>
      <c r="J3097" t="s">
        <v>174</v>
      </c>
      <c r="K3097" t="s">
        <v>717</v>
      </c>
      <c r="O3097">
        <v>0</v>
      </c>
      <c r="U3097" t="s">
        <v>81</v>
      </c>
    </row>
    <row r="3098" spans="1:21" x14ac:dyDescent="0.25">
      <c r="A3098" s="33">
        <v>3113</v>
      </c>
      <c r="B3098" s="24">
        <v>44267</v>
      </c>
      <c r="C3098" t="s">
        <v>39</v>
      </c>
      <c r="D3098" t="s">
        <v>41</v>
      </c>
      <c r="E3098">
        <v>2000717644</v>
      </c>
      <c r="F3098">
        <v>793</v>
      </c>
      <c r="G3098">
        <v>273</v>
      </c>
      <c r="H3098">
        <v>0</v>
      </c>
      <c r="I3098" t="s">
        <v>666</v>
      </c>
      <c r="J3098" t="s">
        <v>174</v>
      </c>
      <c r="K3098" t="s">
        <v>177</v>
      </c>
      <c r="O3098">
        <v>0</v>
      </c>
      <c r="U3098" t="s">
        <v>81</v>
      </c>
    </row>
    <row r="3099" spans="1:21" x14ac:dyDescent="0.25">
      <c r="A3099" s="33">
        <v>3114</v>
      </c>
      <c r="B3099" s="24">
        <v>44267</v>
      </c>
      <c r="C3099" t="s">
        <v>39</v>
      </c>
      <c r="D3099" t="s">
        <v>41</v>
      </c>
      <c r="E3099">
        <v>2000717645</v>
      </c>
      <c r="F3099">
        <v>540</v>
      </c>
      <c r="G3099">
        <v>60</v>
      </c>
      <c r="H3099">
        <v>0</v>
      </c>
      <c r="I3099" t="s">
        <v>666</v>
      </c>
      <c r="J3099" t="s">
        <v>174</v>
      </c>
      <c r="K3099" t="s">
        <v>177</v>
      </c>
      <c r="O3099">
        <v>0</v>
      </c>
      <c r="U3099" t="s">
        <v>81</v>
      </c>
    </row>
    <row r="3100" spans="1:21" x14ac:dyDescent="0.25">
      <c r="A3100" s="33">
        <v>3115</v>
      </c>
      <c r="B3100" s="24">
        <v>44267</v>
      </c>
      <c r="C3100" t="s">
        <v>39</v>
      </c>
      <c r="D3100" t="s">
        <v>41</v>
      </c>
      <c r="E3100">
        <v>2000717257</v>
      </c>
      <c r="F3100">
        <v>800</v>
      </c>
      <c r="G3100">
        <v>15</v>
      </c>
      <c r="H3100">
        <v>0</v>
      </c>
      <c r="I3100" t="s">
        <v>168</v>
      </c>
      <c r="J3100" t="s">
        <v>203</v>
      </c>
      <c r="K3100" t="s">
        <v>768</v>
      </c>
      <c r="O3100">
        <v>0</v>
      </c>
      <c r="U3100" t="s">
        <v>81</v>
      </c>
    </row>
    <row r="3101" spans="1:21" x14ac:dyDescent="0.25">
      <c r="A3101" s="33">
        <v>3116</v>
      </c>
      <c r="B3101" s="24">
        <v>44267</v>
      </c>
      <c r="C3101" t="s">
        <v>39</v>
      </c>
      <c r="D3101" t="s">
        <v>41</v>
      </c>
      <c r="E3101">
        <v>2000716763</v>
      </c>
      <c r="F3101">
        <v>720</v>
      </c>
      <c r="G3101">
        <v>60</v>
      </c>
      <c r="H3101">
        <v>0</v>
      </c>
      <c r="I3101" t="s">
        <v>168</v>
      </c>
      <c r="J3101" t="s">
        <v>203</v>
      </c>
      <c r="K3101" t="s">
        <v>891</v>
      </c>
      <c r="O3101">
        <v>0</v>
      </c>
      <c r="U3101" t="s">
        <v>81</v>
      </c>
    </row>
    <row r="3102" spans="1:21" x14ac:dyDescent="0.25">
      <c r="A3102" s="33">
        <v>3117</v>
      </c>
      <c r="B3102" s="24">
        <v>44267</v>
      </c>
      <c r="C3102" t="s">
        <v>39</v>
      </c>
      <c r="D3102" t="s">
        <v>41</v>
      </c>
      <c r="E3102">
        <v>2000717489</v>
      </c>
      <c r="F3102">
        <v>70</v>
      </c>
      <c r="G3102">
        <v>25</v>
      </c>
      <c r="H3102">
        <v>0</v>
      </c>
      <c r="I3102" t="s">
        <v>168</v>
      </c>
      <c r="J3102" t="s">
        <v>745</v>
      </c>
      <c r="K3102" t="s">
        <v>836</v>
      </c>
      <c r="O3102">
        <v>0</v>
      </c>
      <c r="U3102" t="s">
        <v>81</v>
      </c>
    </row>
    <row r="3103" spans="1:21" x14ac:dyDescent="0.25">
      <c r="A3103" s="33">
        <v>3118</v>
      </c>
      <c r="B3103" s="24">
        <v>44267</v>
      </c>
      <c r="C3103" t="s">
        <v>39</v>
      </c>
      <c r="D3103" t="s">
        <v>41</v>
      </c>
      <c r="E3103">
        <v>2000717492</v>
      </c>
      <c r="F3103">
        <v>320</v>
      </c>
      <c r="G3103">
        <v>130</v>
      </c>
      <c r="H3103">
        <v>0</v>
      </c>
      <c r="I3103" t="s">
        <v>168</v>
      </c>
      <c r="J3103" t="s">
        <v>745</v>
      </c>
      <c r="K3103" t="s">
        <v>836</v>
      </c>
      <c r="O3103">
        <v>0</v>
      </c>
      <c r="U3103" t="s">
        <v>81</v>
      </c>
    </row>
    <row r="3104" spans="1:21" x14ac:dyDescent="0.25">
      <c r="A3104" s="33">
        <v>3119</v>
      </c>
      <c r="B3104" s="24">
        <v>44267</v>
      </c>
      <c r="C3104" t="s">
        <v>39</v>
      </c>
      <c r="D3104" t="s">
        <v>41</v>
      </c>
      <c r="E3104">
        <v>2000717253</v>
      </c>
      <c r="F3104">
        <v>1224</v>
      </c>
      <c r="G3104">
        <v>330</v>
      </c>
      <c r="H3104">
        <v>0</v>
      </c>
      <c r="I3104" t="s">
        <v>789</v>
      </c>
      <c r="J3104" t="s">
        <v>745</v>
      </c>
      <c r="K3104" t="s">
        <v>849</v>
      </c>
      <c r="O3104">
        <v>0</v>
      </c>
      <c r="U3104" t="s">
        <v>81</v>
      </c>
    </row>
    <row r="3105" spans="1:21" x14ac:dyDescent="0.25">
      <c r="A3105" s="33">
        <v>3120</v>
      </c>
      <c r="B3105" s="24">
        <v>44267</v>
      </c>
      <c r="C3105" t="s">
        <v>39</v>
      </c>
      <c r="D3105" t="s">
        <v>41</v>
      </c>
      <c r="E3105">
        <v>2000715193</v>
      </c>
      <c r="F3105">
        <v>1680</v>
      </c>
      <c r="G3105">
        <v>240</v>
      </c>
      <c r="H3105">
        <v>0</v>
      </c>
      <c r="I3105" t="s">
        <v>789</v>
      </c>
      <c r="J3105" t="s">
        <v>203</v>
      </c>
      <c r="K3105" t="s">
        <v>640</v>
      </c>
      <c r="O3105">
        <v>0</v>
      </c>
      <c r="U3105" t="s">
        <v>81</v>
      </c>
    </row>
    <row r="3106" spans="1:21" x14ac:dyDescent="0.25">
      <c r="A3106" s="33">
        <v>3121</v>
      </c>
      <c r="B3106" s="24">
        <v>44267</v>
      </c>
      <c r="C3106" t="s">
        <v>39</v>
      </c>
      <c r="D3106" t="s">
        <v>41</v>
      </c>
      <c r="E3106">
        <v>2000716658</v>
      </c>
      <c r="F3106">
        <v>600</v>
      </c>
      <c r="G3106">
        <v>80</v>
      </c>
      <c r="H3106">
        <v>0</v>
      </c>
      <c r="I3106" t="s">
        <v>789</v>
      </c>
      <c r="J3106" t="s">
        <v>193</v>
      </c>
      <c r="K3106" t="s">
        <v>650</v>
      </c>
      <c r="O3106">
        <v>0</v>
      </c>
      <c r="U3106" t="s">
        <v>81</v>
      </c>
    </row>
    <row r="3107" spans="1:21" x14ac:dyDescent="0.25">
      <c r="A3107" s="33">
        <v>3122</v>
      </c>
      <c r="B3107" s="24">
        <v>44267</v>
      </c>
      <c r="C3107" t="s">
        <v>39</v>
      </c>
      <c r="D3107" t="s">
        <v>41</v>
      </c>
      <c r="E3107">
        <v>2000716725</v>
      </c>
      <c r="F3107">
        <v>2808</v>
      </c>
      <c r="G3107">
        <v>1288</v>
      </c>
      <c r="H3107">
        <v>0</v>
      </c>
      <c r="I3107" t="s">
        <v>789</v>
      </c>
      <c r="J3107" t="s">
        <v>513</v>
      </c>
      <c r="K3107" t="s">
        <v>1062</v>
      </c>
      <c r="O3107">
        <v>0</v>
      </c>
      <c r="U3107" t="s">
        <v>81</v>
      </c>
    </row>
    <row r="3108" spans="1:21" x14ac:dyDescent="0.25">
      <c r="A3108" s="33">
        <v>3123</v>
      </c>
      <c r="B3108" s="24">
        <v>44267</v>
      </c>
      <c r="C3108" t="s">
        <v>39</v>
      </c>
      <c r="D3108" t="s">
        <v>41</v>
      </c>
      <c r="E3108">
        <v>2000716656</v>
      </c>
      <c r="F3108">
        <v>600</v>
      </c>
      <c r="G3108">
        <v>150</v>
      </c>
      <c r="H3108">
        <v>0</v>
      </c>
      <c r="I3108" t="s">
        <v>789</v>
      </c>
      <c r="J3108" t="s">
        <v>193</v>
      </c>
      <c r="K3108" t="s">
        <v>176</v>
      </c>
      <c r="O3108">
        <v>0</v>
      </c>
      <c r="U3108" t="s">
        <v>81</v>
      </c>
    </row>
    <row r="3109" spans="1:21" x14ac:dyDescent="0.25">
      <c r="A3109" s="33">
        <v>3124</v>
      </c>
      <c r="B3109" s="24">
        <v>44267</v>
      </c>
      <c r="C3109" t="s">
        <v>39</v>
      </c>
      <c r="D3109" t="s">
        <v>41</v>
      </c>
      <c r="E3109">
        <v>2000716827</v>
      </c>
      <c r="F3109">
        <v>800</v>
      </c>
      <c r="G3109">
        <v>150</v>
      </c>
      <c r="H3109">
        <v>0</v>
      </c>
      <c r="I3109" t="s">
        <v>201</v>
      </c>
      <c r="J3109" t="s">
        <v>645</v>
      </c>
      <c r="K3109" t="s">
        <v>658</v>
      </c>
      <c r="O3109">
        <v>0</v>
      </c>
      <c r="U3109" t="s">
        <v>81</v>
      </c>
    </row>
    <row r="3110" spans="1:21" x14ac:dyDescent="0.25">
      <c r="A3110" s="33">
        <v>3125</v>
      </c>
      <c r="B3110" s="24">
        <v>44267</v>
      </c>
      <c r="C3110" t="s">
        <v>39</v>
      </c>
      <c r="D3110" t="s">
        <v>41</v>
      </c>
      <c r="E3110">
        <v>2000716830</v>
      </c>
      <c r="F3110">
        <v>1200</v>
      </c>
      <c r="G3110">
        <v>150</v>
      </c>
      <c r="H3110">
        <v>0</v>
      </c>
      <c r="I3110" t="s">
        <v>201</v>
      </c>
      <c r="J3110" t="s">
        <v>645</v>
      </c>
      <c r="K3110" t="s">
        <v>739</v>
      </c>
      <c r="O3110">
        <v>0</v>
      </c>
      <c r="U3110" t="s">
        <v>81</v>
      </c>
    </row>
    <row r="3111" spans="1:21" x14ac:dyDescent="0.25">
      <c r="A3111" s="33">
        <v>3126</v>
      </c>
      <c r="B3111" s="24">
        <v>44267</v>
      </c>
      <c r="C3111" t="s">
        <v>39</v>
      </c>
      <c r="D3111" t="s">
        <v>41</v>
      </c>
      <c r="E3111">
        <v>2000716260</v>
      </c>
      <c r="F3111">
        <v>1050</v>
      </c>
      <c r="G3111">
        <v>120</v>
      </c>
      <c r="H3111">
        <v>0</v>
      </c>
      <c r="I3111" t="s">
        <v>201</v>
      </c>
      <c r="J3111" t="s">
        <v>193</v>
      </c>
      <c r="K3111" t="s">
        <v>650</v>
      </c>
      <c r="O3111">
        <v>0</v>
      </c>
      <c r="U3111" t="s">
        <v>81</v>
      </c>
    </row>
    <row r="3112" spans="1:21" x14ac:dyDescent="0.25">
      <c r="A3112" s="33">
        <v>3127</v>
      </c>
      <c r="B3112" s="24">
        <v>44267</v>
      </c>
      <c r="C3112" t="s">
        <v>39</v>
      </c>
      <c r="D3112" t="s">
        <v>41</v>
      </c>
      <c r="E3112">
        <v>2000717256</v>
      </c>
      <c r="F3112">
        <v>1600</v>
      </c>
      <c r="G3112">
        <v>400</v>
      </c>
      <c r="H3112">
        <v>0</v>
      </c>
      <c r="I3112" t="s">
        <v>201</v>
      </c>
      <c r="J3112" t="s">
        <v>203</v>
      </c>
      <c r="K3112" t="s">
        <v>788</v>
      </c>
      <c r="O3112">
        <v>0</v>
      </c>
      <c r="U3112" t="s">
        <v>81</v>
      </c>
    </row>
    <row r="3113" spans="1:21" x14ac:dyDescent="0.25">
      <c r="A3113" s="33">
        <v>3128</v>
      </c>
      <c r="B3113" s="24">
        <v>44267</v>
      </c>
      <c r="C3113" t="s">
        <v>39</v>
      </c>
      <c r="D3113" t="s">
        <v>41</v>
      </c>
      <c r="E3113">
        <v>2000716726</v>
      </c>
      <c r="F3113">
        <v>1660</v>
      </c>
      <c r="G3113">
        <v>600</v>
      </c>
      <c r="H3113">
        <v>0</v>
      </c>
      <c r="I3113" t="s">
        <v>201</v>
      </c>
      <c r="J3113" t="s">
        <v>745</v>
      </c>
      <c r="K3113" t="s">
        <v>879</v>
      </c>
      <c r="O3113">
        <v>0</v>
      </c>
      <c r="U3113" t="s">
        <v>81</v>
      </c>
    </row>
    <row r="3114" spans="1:21" x14ac:dyDescent="0.25">
      <c r="A3114" s="33">
        <v>3129</v>
      </c>
      <c r="B3114" s="24">
        <v>44267</v>
      </c>
      <c r="C3114" t="s">
        <v>39</v>
      </c>
      <c r="D3114" t="s">
        <v>41</v>
      </c>
      <c r="E3114">
        <v>2000716826</v>
      </c>
      <c r="F3114">
        <v>800</v>
      </c>
      <c r="G3114">
        <v>150</v>
      </c>
      <c r="H3114">
        <v>0</v>
      </c>
      <c r="I3114" t="s">
        <v>201</v>
      </c>
      <c r="J3114" t="s">
        <v>645</v>
      </c>
      <c r="K3114" t="s">
        <v>739</v>
      </c>
      <c r="O3114">
        <v>0</v>
      </c>
      <c r="U3114" t="s">
        <v>81</v>
      </c>
    </row>
    <row r="3115" spans="1:21" x14ac:dyDescent="0.25">
      <c r="A3115" s="33">
        <v>3130</v>
      </c>
      <c r="B3115" s="24">
        <v>44267</v>
      </c>
      <c r="C3115" t="s">
        <v>39</v>
      </c>
      <c r="D3115" t="s">
        <v>41</v>
      </c>
      <c r="E3115">
        <v>2000717143</v>
      </c>
      <c r="F3115">
        <v>800</v>
      </c>
      <c r="G3115">
        <v>150</v>
      </c>
      <c r="H3115">
        <v>0</v>
      </c>
      <c r="I3115" t="s">
        <v>201</v>
      </c>
      <c r="J3115" t="s">
        <v>645</v>
      </c>
      <c r="K3115" t="s">
        <v>658</v>
      </c>
      <c r="O3115">
        <v>0</v>
      </c>
      <c r="U3115" t="s">
        <v>81</v>
      </c>
    </row>
    <row r="3116" spans="1:21" x14ac:dyDescent="0.25">
      <c r="A3116" s="33">
        <v>3131</v>
      </c>
      <c r="B3116" s="24">
        <v>44267</v>
      </c>
      <c r="C3116" t="s">
        <v>39</v>
      </c>
      <c r="D3116" t="s">
        <v>41</v>
      </c>
      <c r="E3116">
        <v>2000716665</v>
      </c>
      <c r="F3116">
        <v>500</v>
      </c>
      <c r="G3116">
        <v>150</v>
      </c>
      <c r="H3116">
        <v>0</v>
      </c>
      <c r="I3116" t="s">
        <v>201</v>
      </c>
      <c r="J3116" t="s">
        <v>193</v>
      </c>
      <c r="K3116" t="s">
        <v>176</v>
      </c>
      <c r="O3116">
        <v>0</v>
      </c>
      <c r="U3116" t="s">
        <v>81</v>
      </c>
    </row>
    <row r="3117" spans="1:21" x14ac:dyDescent="0.25">
      <c r="A3117" s="33">
        <v>3132</v>
      </c>
      <c r="B3117" s="24">
        <v>44267</v>
      </c>
      <c r="C3117" t="s">
        <v>39</v>
      </c>
      <c r="D3117" t="s">
        <v>41</v>
      </c>
      <c r="E3117">
        <v>2000717141</v>
      </c>
      <c r="F3117">
        <v>800</v>
      </c>
      <c r="G3117">
        <v>200</v>
      </c>
      <c r="H3117">
        <v>0</v>
      </c>
      <c r="I3117" t="s">
        <v>201</v>
      </c>
      <c r="J3117" t="s">
        <v>645</v>
      </c>
      <c r="K3117" t="s">
        <v>756</v>
      </c>
      <c r="O3117">
        <v>0</v>
      </c>
      <c r="U3117" t="s">
        <v>81</v>
      </c>
    </row>
    <row r="3118" spans="1:21" x14ac:dyDescent="0.25">
      <c r="A3118" s="33">
        <v>3133</v>
      </c>
      <c r="B3118" s="24">
        <v>44267</v>
      </c>
      <c r="C3118" t="s">
        <v>39</v>
      </c>
      <c r="D3118" t="s">
        <v>51</v>
      </c>
      <c r="E3118">
        <v>2000717321</v>
      </c>
      <c r="F3118">
        <v>250</v>
      </c>
      <c r="G3118">
        <v>188</v>
      </c>
      <c r="H3118">
        <v>0</v>
      </c>
      <c r="I3118" t="s">
        <v>191</v>
      </c>
      <c r="J3118" t="s">
        <v>669</v>
      </c>
      <c r="K3118" t="s">
        <v>708</v>
      </c>
      <c r="O3118">
        <v>0</v>
      </c>
      <c r="U3118" t="s">
        <v>81</v>
      </c>
    </row>
    <row r="3119" spans="1:21" x14ac:dyDescent="0.25">
      <c r="A3119" s="33">
        <v>3134</v>
      </c>
      <c r="B3119" s="24">
        <v>44267</v>
      </c>
      <c r="C3119" t="s">
        <v>39</v>
      </c>
      <c r="D3119" t="s">
        <v>51</v>
      </c>
      <c r="E3119">
        <v>2000717697</v>
      </c>
      <c r="F3119">
        <v>300</v>
      </c>
      <c r="G3119">
        <v>140</v>
      </c>
      <c r="H3119">
        <v>0</v>
      </c>
      <c r="I3119" t="s">
        <v>191</v>
      </c>
      <c r="J3119" t="s">
        <v>667</v>
      </c>
      <c r="K3119" t="s">
        <v>671</v>
      </c>
      <c r="O3119">
        <v>0</v>
      </c>
      <c r="U3119" t="s">
        <v>81</v>
      </c>
    </row>
    <row r="3120" spans="1:21" x14ac:dyDescent="0.25">
      <c r="A3120" s="33">
        <v>3135</v>
      </c>
      <c r="B3120" s="24">
        <v>44267</v>
      </c>
      <c r="C3120" t="s">
        <v>39</v>
      </c>
      <c r="D3120" t="s">
        <v>51</v>
      </c>
      <c r="E3120">
        <v>2000717704</v>
      </c>
      <c r="F3120">
        <v>540</v>
      </c>
      <c r="G3120">
        <v>288</v>
      </c>
      <c r="H3120">
        <v>0</v>
      </c>
      <c r="I3120" t="s">
        <v>191</v>
      </c>
      <c r="J3120" t="s">
        <v>709</v>
      </c>
      <c r="K3120" t="s">
        <v>710</v>
      </c>
      <c r="O3120">
        <v>0</v>
      </c>
      <c r="U3120" t="s">
        <v>81</v>
      </c>
    </row>
    <row r="3121" spans="1:21" x14ac:dyDescent="0.25">
      <c r="A3121" s="33">
        <v>3136</v>
      </c>
      <c r="B3121" s="24">
        <v>44267</v>
      </c>
      <c r="C3121" t="s">
        <v>39</v>
      </c>
      <c r="D3121" t="s">
        <v>51</v>
      </c>
      <c r="E3121">
        <v>2000717702</v>
      </c>
      <c r="F3121">
        <v>660</v>
      </c>
      <c r="G3121">
        <v>150</v>
      </c>
      <c r="H3121">
        <v>0</v>
      </c>
      <c r="I3121" t="s">
        <v>191</v>
      </c>
      <c r="J3121" t="s">
        <v>667</v>
      </c>
      <c r="K3121" t="s">
        <v>668</v>
      </c>
      <c r="O3121">
        <v>0</v>
      </c>
      <c r="U3121" t="s">
        <v>81</v>
      </c>
    </row>
    <row r="3122" spans="1:21" x14ac:dyDescent="0.25">
      <c r="A3122" s="33">
        <v>3137</v>
      </c>
      <c r="B3122" s="24">
        <v>44267</v>
      </c>
      <c r="C3122" t="s">
        <v>39</v>
      </c>
      <c r="D3122" t="s">
        <v>51</v>
      </c>
      <c r="E3122">
        <v>2000717698</v>
      </c>
      <c r="F3122">
        <v>500</v>
      </c>
      <c r="G3122">
        <v>130</v>
      </c>
      <c r="H3122">
        <v>0</v>
      </c>
      <c r="I3122" t="s">
        <v>191</v>
      </c>
      <c r="J3122" t="s">
        <v>673</v>
      </c>
      <c r="K3122" t="s">
        <v>672</v>
      </c>
      <c r="O3122">
        <v>0</v>
      </c>
      <c r="U3122" t="s">
        <v>81</v>
      </c>
    </row>
    <row r="3123" spans="1:21" x14ac:dyDescent="0.25">
      <c r="A3123" s="33">
        <v>3138</v>
      </c>
      <c r="B3123" s="24">
        <v>44267</v>
      </c>
      <c r="C3123" t="s">
        <v>39</v>
      </c>
      <c r="D3123" t="s">
        <v>51</v>
      </c>
      <c r="E3123">
        <v>2000717701</v>
      </c>
      <c r="F3123">
        <v>192</v>
      </c>
      <c r="G3123">
        <v>96</v>
      </c>
      <c r="H3123">
        <v>0</v>
      </c>
      <c r="I3123" t="s">
        <v>191</v>
      </c>
      <c r="J3123" t="s">
        <v>667</v>
      </c>
      <c r="K3123" t="s">
        <v>711</v>
      </c>
      <c r="O3123">
        <v>0</v>
      </c>
      <c r="U3123" t="s">
        <v>81</v>
      </c>
    </row>
    <row r="3124" spans="1:21" x14ac:dyDescent="0.25">
      <c r="A3124" s="33">
        <v>3139</v>
      </c>
      <c r="B3124" s="24">
        <v>44267</v>
      </c>
      <c r="C3124" t="s">
        <v>181</v>
      </c>
      <c r="D3124" t="s">
        <v>51</v>
      </c>
      <c r="E3124">
        <v>2000717703</v>
      </c>
      <c r="F3124">
        <v>650</v>
      </c>
      <c r="G3124">
        <v>175</v>
      </c>
      <c r="H3124">
        <v>0</v>
      </c>
      <c r="I3124" t="s">
        <v>706</v>
      </c>
      <c r="J3124" t="s">
        <v>667</v>
      </c>
      <c r="K3124" t="s">
        <v>671</v>
      </c>
      <c r="O3124">
        <v>0</v>
      </c>
      <c r="U3124" t="s">
        <v>81</v>
      </c>
    </row>
    <row r="3125" spans="1:21" x14ac:dyDescent="0.25">
      <c r="A3125" s="33">
        <v>3140</v>
      </c>
      <c r="B3125" s="24">
        <v>44267</v>
      </c>
      <c r="C3125" t="s">
        <v>181</v>
      </c>
      <c r="D3125" t="s">
        <v>51</v>
      </c>
      <c r="E3125">
        <v>2000717702</v>
      </c>
      <c r="F3125">
        <v>660</v>
      </c>
      <c r="G3125">
        <v>90</v>
      </c>
      <c r="H3125">
        <v>0</v>
      </c>
      <c r="I3125" t="s">
        <v>706</v>
      </c>
      <c r="J3125" t="s">
        <v>667</v>
      </c>
      <c r="K3125" t="s">
        <v>668</v>
      </c>
      <c r="O3125">
        <v>0</v>
      </c>
      <c r="U3125" t="s">
        <v>81</v>
      </c>
    </row>
    <row r="3126" spans="1:21" x14ac:dyDescent="0.25">
      <c r="A3126" s="33">
        <v>3141</v>
      </c>
      <c r="B3126" s="24">
        <v>44267</v>
      </c>
      <c r="C3126" t="s">
        <v>181</v>
      </c>
      <c r="D3126" t="s">
        <v>51</v>
      </c>
      <c r="E3126">
        <v>2000717695</v>
      </c>
      <c r="F3126">
        <v>240</v>
      </c>
      <c r="G3126">
        <v>60</v>
      </c>
      <c r="H3126">
        <v>0</v>
      </c>
      <c r="I3126" t="s">
        <v>706</v>
      </c>
      <c r="J3126" t="s">
        <v>781</v>
      </c>
      <c r="K3126" t="s">
        <v>782</v>
      </c>
      <c r="O3126">
        <v>0</v>
      </c>
      <c r="U3126" t="s">
        <v>81</v>
      </c>
    </row>
    <row r="3127" spans="1:21" x14ac:dyDescent="0.25">
      <c r="A3127" s="33">
        <v>3142</v>
      </c>
      <c r="B3127" s="24">
        <v>44267</v>
      </c>
      <c r="C3127" t="s">
        <v>181</v>
      </c>
      <c r="D3127" t="s">
        <v>51</v>
      </c>
      <c r="E3127">
        <v>2000717776</v>
      </c>
      <c r="F3127">
        <v>660</v>
      </c>
      <c r="G3127">
        <v>120</v>
      </c>
      <c r="H3127">
        <v>0</v>
      </c>
      <c r="I3127" t="s">
        <v>706</v>
      </c>
      <c r="J3127" t="s">
        <v>667</v>
      </c>
      <c r="K3127" t="s">
        <v>769</v>
      </c>
      <c r="O3127">
        <v>0</v>
      </c>
      <c r="U3127" t="s">
        <v>81</v>
      </c>
    </row>
    <row r="3128" spans="1:21" x14ac:dyDescent="0.25">
      <c r="A3128" s="33">
        <v>3143</v>
      </c>
      <c r="B3128" s="24">
        <v>44267</v>
      </c>
      <c r="C3128" t="s">
        <v>181</v>
      </c>
      <c r="D3128" t="s">
        <v>51</v>
      </c>
      <c r="E3128">
        <v>2000717028</v>
      </c>
      <c r="F3128">
        <v>700</v>
      </c>
      <c r="G3128">
        <v>210</v>
      </c>
      <c r="H3128">
        <v>0</v>
      </c>
      <c r="I3128" t="s">
        <v>706</v>
      </c>
      <c r="J3128" t="s">
        <v>673</v>
      </c>
      <c r="K3128" t="s">
        <v>951</v>
      </c>
      <c r="O3128">
        <v>0</v>
      </c>
      <c r="U3128" t="s">
        <v>81</v>
      </c>
    </row>
    <row r="3129" spans="1:21" x14ac:dyDescent="0.25">
      <c r="A3129" s="33">
        <v>3144</v>
      </c>
      <c r="B3129" s="24">
        <v>44267</v>
      </c>
      <c r="C3129" t="s">
        <v>181</v>
      </c>
      <c r="D3129" t="s">
        <v>51</v>
      </c>
      <c r="E3129">
        <v>2000718012</v>
      </c>
      <c r="F3129">
        <v>360</v>
      </c>
      <c r="G3129">
        <v>360</v>
      </c>
      <c r="H3129">
        <v>0</v>
      </c>
      <c r="I3129" t="s">
        <v>706</v>
      </c>
      <c r="J3129" t="s">
        <v>770</v>
      </c>
      <c r="K3129" t="s">
        <v>777</v>
      </c>
      <c r="O3129">
        <v>0</v>
      </c>
      <c r="U3129" t="s">
        <v>81</v>
      </c>
    </row>
    <row r="3130" spans="1:21" x14ac:dyDescent="0.25">
      <c r="A3130" s="33">
        <v>3145</v>
      </c>
      <c r="B3130" s="24">
        <v>44267</v>
      </c>
      <c r="C3130" t="s">
        <v>181</v>
      </c>
      <c r="D3130" t="s">
        <v>51</v>
      </c>
      <c r="E3130">
        <v>2000718014</v>
      </c>
      <c r="F3130">
        <v>480</v>
      </c>
      <c r="G3130">
        <v>150</v>
      </c>
      <c r="H3130">
        <v>0</v>
      </c>
      <c r="I3130" t="s">
        <v>706</v>
      </c>
      <c r="J3130" t="s">
        <v>676</v>
      </c>
      <c r="K3130" t="s">
        <v>677</v>
      </c>
      <c r="O3130">
        <v>0</v>
      </c>
      <c r="U3130" t="s">
        <v>81</v>
      </c>
    </row>
    <row r="3131" spans="1:21" x14ac:dyDescent="0.25">
      <c r="A3131" s="33">
        <v>3146</v>
      </c>
      <c r="B3131" s="24">
        <v>44267</v>
      </c>
      <c r="C3131" t="s">
        <v>181</v>
      </c>
      <c r="D3131" t="s">
        <v>41</v>
      </c>
      <c r="E3131">
        <v>2000717492</v>
      </c>
      <c r="F3131">
        <v>320</v>
      </c>
      <c r="G3131">
        <v>155</v>
      </c>
      <c r="H3131">
        <v>0</v>
      </c>
      <c r="I3131" t="s">
        <v>184</v>
      </c>
      <c r="J3131" t="s">
        <v>745</v>
      </c>
      <c r="K3131" t="s">
        <v>836</v>
      </c>
      <c r="O3131">
        <v>0</v>
      </c>
      <c r="U3131" t="s">
        <v>81</v>
      </c>
    </row>
    <row r="3132" spans="1:21" x14ac:dyDescent="0.25">
      <c r="A3132" s="33">
        <v>3147</v>
      </c>
      <c r="B3132" s="24">
        <v>44267</v>
      </c>
      <c r="C3132" t="s">
        <v>181</v>
      </c>
      <c r="D3132" t="s">
        <v>41</v>
      </c>
      <c r="E3132">
        <v>2000717622</v>
      </c>
      <c r="F3132">
        <v>700</v>
      </c>
      <c r="G3132">
        <v>90</v>
      </c>
      <c r="H3132">
        <v>0</v>
      </c>
      <c r="I3132" t="s">
        <v>184</v>
      </c>
      <c r="J3132" t="s">
        <v>203</v>
      </c>
      <c r="K3132" t="s">
        <v>785</v>
      </c>
      <c r="O3132">
        <v>0</v>
      </c>
      <c r="U3132" t="s">
        <v>81</v>
      </c>
    </row>
    <row r="3133" spans="1:21" x14ac:dyDescent="0.25">
      <c r="A3133" s="33">
        <v>3148</v>
      </c>
      <c r="B3133" s="24">
        <v>44267</v>
      </c>
      <c r="C3133" t="s">
        <v>181</v>
      </c>
      <c r="D3133" t="s">
        <v>41</v>
      </c>
      <c r="E3133">
        <v>2000717657</v>
      </c>
      <c r="F3133">
        <v>136</v>
      </c>
      <c r="G3133">
        <v>45</v>
      </c>
      <c r="H3133">
        <v>0</v>
      </c>
      <c r="I3133" t="s">
        <v>693</v>
      </c>
      <c r="J3133" t="s">
        <v>170</v>
      </c>
      <c r="K3133" t="s">
        <v>182</v>
      </c>
      <c r="O3133">
        <v>0</v>
      </c>
      <c r="U3133" t="s">
        <v>81</v>
      </c>
    </row>
    <row r="3134" spans="1:21" x14ac:dyDescent="0.25">
      <c r="A3134" s="33">
        <v>3149</v>
      </c>
      <c r="B3134" s="24">
        <v>44267</v>
      </c>
      <c r="C3134" t="s">
        <v>181</v>
      </c>
      <c r="D3134" t="s">
        <v>41</v>
      </c>
      <c r="E3134">
        <v>2000696773</v>
      </c>
      <c r="F3134">
        <v>1124</v>
      </c>
      <c r="G3134">
        <v>2</v>
      </c>
      <c r="H3134">
        <v>0</v>
      </c>
      <c r="I3134" t="s">
        <v>693</v>
      </c>
      <c r="J3134" t="s">
        <v>170</v>
      </c>
      <c r="K3134" t="s">
        <v>182</v>
      </c>
      <c r="O3134">
        <v>0</v>
      </c>
      <c r="U3134" t="s">
        <v>81</v>
      </c>
    </row>
    <row r="3135" spans="1:21" x14ac:dyDescent="0.25">
      <c r="A3135" s="33">
        <v>3150</v>
      </c>
      <c r="B3135" s="24">
        <v>44267</v>
      </c>
      <c r="C3135" t="s">
        <v>181</v>
      </c>
      <c r="D3135" t="s">
        <v>41</v>
      </c>
      <c r="E3135">
        <v>2000715224</v>
      </c>
      <c r="F3135">
        <v>2460</v>
      </c>
      <c r="G3135">
        <v>585</v>
      </c>
      <c r="H3135">
        <v>0</v>
      </c>
      <c r="I3135" t="s">
        <v>693</v>
      </c>
      <c r="J3135" t="s">
        <v>170</v>
      </c>
      <c r="K3135" t="s">
        <v>899</v>
      </c>
      <c r="O3135">
        <v>0</v>
      </c>
      <c r="U3135" t="s">
        <v>81</v>
      </c>
    </row>
    <row r="3136" spans="1:21" x14ac:dyDescent="0.25">
      <c r="A3136" s="33">
        <v>3151</v>
      </c>
      <c r="B3136" s="24">
        <v>44267</v>
      </c>
      <c r="C3136" t="s">
        <v>181</v>
      </c>
      <c r="D3136" t="s">
        <v>41</v>
      </c>
      <c r="E3136">
        <v>2000714570</v>
      </c>
      <c r="F3136">
        <v>4032</v>
      </c>
      <c r="G3136">
        <v>200</v>
      </c>
      <c r="H3136">
        <v>0</v>
      </c>
      <c r="I3136" t="s">
        <v>680</v>
      </c>
      <c r="J3136" t="s">
        <v>645</v>
      </c>
      <c r="K3136" t="s">
        <v>659</v>
      </c>
      <c r="O3136">
        <v>0</v>
      </c>
      <c r="U3136" t="s">
        <v>81</v>
      </c>
    </row>
    <row r="3137" spans="1:21" x14ac:dyDescent="0.25">
      <c r="A3137" s="33">
        <v>3152</v>
      </c>
      <c r="B3137" s="24">
        <v>44267</v>
      </c>
      <c r="C3137" t="s">
        <v>181</v>
      </c>
      <c r="D3137" t="s">
        <v>41</v>
      </c>
      <c r="E3137">
        <v>2000717639</v>
      </c>
      <c r="F3137">
        <v>4220</v>
      </c>
      <c r="G3137">
        <v>300</v>
      </c>
      <c r="H3137">
        <v>0</v>
      </c>
      <c r="I3137" t="s">
        <v>680</v>
      </c>
      <c r="J3137" t="s">
        <v>199</v>
      </c>
      <c r="K3137" t="s">
        <v>660</v>
      </c>
      <c r="O3137">
        <v>0</v>
      </c>
      <c r="U3137" t="s">
        <v>81</v>
      </c>
    </row>
    <row r="3138" spans="1:21" x14ac:dyDescent="0.25">
      <c r="A3138" s="33">
        <v>3153</v>
      </c>
      <c r="B3138" s="24">
        <v>44267</v>
      </c>
      <c r="C3138" t="s">
        <v>181</v>
      </c>
      <c r="D3138" t="s">
        <v>41</v>
      </c>
      <c r="E3138">
        <v>2000717142</v>
      </c>
      <c r="F3138">
        <v>800</v>
      </c>
      <c r="G3138">
        <v>150</v>
      </c>
      <c r="H3138">
        <v>0</v>
      </c>
      <c r="I3138" t="s">
        <v>680</v>
      </c>
      <c r="J3138" t="s">
        <v>645</v>
      </c>
      <c r="K3138" t="s">
        <v>739</v>
      </c>
      <c r="O3138">
        <v>0</v>
      </c>
      <c r="U3138" t="s">
        <v>81</v>
      </c>
    </row>
    <row r="3139" spans="1:21" x14ac:dyDescent="0.25">
      <c r="A3139" s="33">
        <v>3154</v>
      </c>
      <c r="B3139" s="24">
        <v>44267</v>
      </c>
      <c r="C3139" t="s">
        <v>181</v>
      </c>
      <c r="D3139" t="s">
        <v>41</v>
      </c>
      <c r="E3139">
        <v>2000717593</v>
      </c>
      <c r="F3139">
        <v>2800</v>
      </c>
      <c r="G3139">
        <v>200</v>
      </c>
      <c r="H3139">
        <v>0</v>
      </c>
      <c r="I3139" t="s">
        <v>680</v>
      </c>
      <c r="J3139" t="s">
        <v>172</v>
      </c>
      <c r="K3139" t="s">
        <v>725</v>
      </c>
      <c r="O3139">
        <v>0</v>
      </c>
      <c r="U3139" t="s">
        <v>81</v>
      </c>
    </row>
    <row r="3140" spans="1:21" ht="30" x14ac:dyDescent="0.25">
      <c r="A3140" s="33">
        <v>3155</v>
      </c>
      <c r="B3140" s="24">
        <v>44267</v>
      </c>
      <c r="C3140" t="s">
        <v>181</v>
      </c>
      <c r="D3140" t="s">
        <v>41</v>
      </c>
      <c r="E3140">
        <v>2000716831</v>
      </c>
      <c r="F3140">
        <v>1200</v>
      </c>
      <c r="G3140">
        <v>150</v>
      </c>
      <c r="H3140">
        <v>0</v>
      </c>
      <c r="I3140" t="s">
        <v>680</v>
      </c>
      <c r="J3140" t="s">
        <v>645</v>
      </c>
      <c r="K3140" t="s">
        <v>658</v>
      </c>
      <c r="O3140">
        <v>0</v>
      </c>
      <c r="T3140" s="62" t="s">
        <v>723</v>
      </c>
      <c r="U3140" t="s">
        <v>81</v>
      </c>
    </row>
    <row r="3141" spans="1:21" x14ac:dyDescent="0.25">
      <c r="A3141" s="33">
        <v>3156</v>
      </c>
      <c r="B3141" s="24">
        <v>44267</v>
      </c>
      <c r="C3141" t="s">
        <v>181</v>
      </c>
      <c r="D3141" t="s">
        <v>41</v>
      </c>
      <c r="E3141">
        <v>2000716667</v>
      </c>
      <c r="F3141">
        <v>500</v>
      </c>
      <c r="G3141">
        <v>120</v>
      </c>
      <c r="H3141">
        <v>0</v>
      </c>
      <c r="I3141" t="s">
        <v>680</v>
      </c>
      <c r="J3141" t="s">
        <v>193</v>
      </c>
      <c r="K3141" t="s">
        <v>650</v>
      </c>
      <c r="O3141">
        <v>0</v>
      </c>
      <c r="U3141" t="s">
        <v>81</v>
      </c>
    </row>
    <row r="3142" spans="1:21" x14ac:dyDescent="0.25">
      <c r="A3142" s="33">
        <v>3157</v>
      </c>
      <c r="B3142" s="24">
        <v>44267</v>
      </c>
      <c r="C3142" t="s">
        <v>181</v>
      </c>
      <c r="D3142" t="s">
        <v>41</v>
      </c>
      <c r="E3142">
        <v>2000716844</v>
      </c>
      <c r="F3142">
        <v>1040</v>
      </c>
      <c r="G3142">
        <v>120</v>
      </c>
      <c r="H3142">
        <v>0</v>
      </c>
      <c r="I3142" t="s">
        <v>680</v>
      </c>
      <c r="J3142" t="s">
        <v>193</v>
      </c>
      <c r="K3142" t="s">
        <v>650</v>
      </c>
      <c r="O3142">
        <v>0</v>
      </c>
      <c r="U3142" t="s">
        <v>81</v>
      </c>
    </row>
    <row r="3143" spans="1:21" x14ac:dyDescent="0.25">
      <c r="A3143" s="33">
        <v>3158</v>
      </c>
      <c r="B3143" s="24">
        <v>44267</v>
      </c>
      <c r="C3143" t="s">
        <v>181</v>
      </c>
      <c r="D3143" t="s">
        <v>41</v>
      </c>
      <c r="E3143">
        <v>2000717641</v>
      </c>
      <c r="F3143">
        <v>7860</v>
      </c>
      <c r="G3143">
        <v>300</v>
      </c>
      <c r="H3143">
        <v>0</v>
      </c>
      <c r="I3143" t="s">
        <v>680</v>
      </c>
      <c r="J3143" t="s">
        <v>200</v>
      </c>
      <c r="K3143" t="s">
        <v>737</v>
      </c>
      <c r="O3143">
        <v>0</v>
      </c>
      <c r="U3143" t="s">
        <v>81</v>
      </c>
    </row>
    <row r="3144" spans="1:21" x14ac:dyDescent="0.25">
      <c r="A3144" s="33">
        <v>3159</v>
      </c>
      <c r="B3144" s="24">
        <v>44267</v>
      </c>
      <c r="C3144" t="s">
        <v>181</v>
      </c>
      <c r="D3144" t="s">
        <v>41</v>
      </c>
      <c r="E3144">
        <v>2000717503</v>
      </c>
      <c r="F3144">
        <v>1300</v>
      </c>
      <c r="G3144">
        <v>150</v>
      </c>
      <c r="H3144">
        <v>0</v>
      </c>
      <c r="I3144" t="s">
        <v>680</v>
      </c>
      <c r="J3144" t="s">
        <v>645</v>
      </c>
      <c r="K3144" t="s">
        <v>739</v>
      </c>
      <c r="O3144">
        <v>0</v>
      </c>
      <c r="U3144" t="s">
        <v>81</v>
      </c>
    </row>
    <row r="3145" spans="1:21" x14ac:dyDescent="0.25">
      <c r="A3145" s="33">
        <v>3160</v>
      </c>
      <c r="B3145" s="24">
        <v>44267</v>
      </c>
      <c r="C3145" t="s">
        <v>181</v>
      </c>
      <c r="D3145" t="s">
        <v>41</v>
      </c>
      <c r="E3145">
        <v>2000717502</v>
      </c>
      <c r="F3145">
        <v>1300</v>
      </c>
      <c r="G3145">
        <v>200</v>
      </c>
      <c r="H3145">
        <v>0</v>
      </c>
      <c r="I3145" t="s">
        <v>680</v>
      </c>
      <c r="J3145" t="s">
        <v>645</v>
      </c>
      <c r="K3145" t="s">
        <v>756</v>
      </c>
      <c r="O3145">
        <v>0</v>
      </c>
      <c r="U3145" t="s">
        <v>81</v>
      </c>
    </row>
    <row r="3146" spans="1:21" x14ac:dyDescent="0.25">
      <c r="A3146" s="33">
        <v>3161</v>
      </c>
      <c r="B3146" s="24">
        <v>44267</v>
      </c>
      <c r="C3146" t="s">
        <v>181</v>
      </c>
      <c r="D3146" t="s">
        <v>41</v>
      </c>
      <c r="E3146">
        <v>2000716666</v>
      </c>
      <c r="F3146">
        <v>500</v>
      </c>
      <c r="G3146">
        <v>100</v>
      </c>
      <c r="H3146">
        <v>0</v>
      </c>
      <c r="I3146" t="s">
        <v>680</v>
      </c>
      <c r="J3146" t="s">
        <v>193</v>
      </c>
      <c r="K3146" t="s">
        <v>683</v>
      </c>
      <c r="O3146">
        <v>0</v>
      </c>
      <c r="U3146" t="s">
        <v>81</v>
      </c>
    </row>
    <row r="3147" spans="1:21" x14ac:dyDescent="0.25">
      <c r="A3147" s="33">
        <v>3162</v>
      </c>
      <c r="B3147" s="24">
        <v>44267</v>
      </c>
      <c r="C3147" t="s">
        <v>181</v>
      </c>
      <c r="D3147" t="s">
        <v>41</v>
      </c>
      <c r="E3147">
        <v>2000716725</v>
      </c>
      <c r="F3147">
        <v>2808</v>
      </c>
      <c r="G3147">
        <v>720</v>
      </c>
      <c r="H3147">
        <v>0</v>
      </c>
      <c r="I3147" t="s">
        <v>680</v>
      </c>
      <c r="J3147" t="s">
        <v>513</v>
      </c>
      <c r="K3147" t="s">
        <v>1063</v>
      </c>
      <c r="O3147">
        <v>0</v>
      </c>
      <c r="U3147" t="s">
        <v>81</v>
      </c>
    </row>
    <row r="3148" spans="1:21" x14ac:dyDescent="0.25">
      <c r="A3148" s="33">
        <v>3163</v>
      </c>
      <c r="B3148" s="24">
        <v>44267</v>
      </c>
      <c r="C3148" t="s">
        <v>181</v>
      </c>
      <c r="D3148" t="s">
        <v>41</v>
      </c>
      <c r="E3148">
        <v>2000717645</v>
      </c>
      <c r="F3148">
        <v>540</v>
      </c>
      <c r="G3148">
        <v>20</v>
      </c>
      <c r="H3148">
        <v>0</v>
      </c>
      <c r="I3148" t="s">
        <v>198</v>
      </c>
      <c r="J3148" t="s">
        <v>174</v>
      </c>
      <c r="K3148" t="s">
        <v>177</v>
      </c>
      <c r="O3148">
        <v>0</v>
      </c>
      <c r="U3148" t="s">
        <v>81</v>
      </c>
    </row>
    <row r="3149" spans="1:21" x14ac:dyDescent="0.25">
      <c r="A3149" s="33">
        <v>3164</v>
      </c>
      <c r="B3149" s="24">
        <v>44267</v>
      </c>
      <c r="C3149" t="s">
        <v>181</v>
      </c>
      <c r="D3149" t="s">
        <v>41</v>
      </c>
      <c r="E3149">
        <v>2000717622</v>
      </c>
      <c r="F3149">
        <v>700</v>
      </c>
      <c r="G3149">
        <v>150</v>
      </c>
      <c r="H3149">
        <v>0</v>
      </c>
      <c r="I3149" t="s">
        <v>198</v>
      </c>
      <c r="J3149" t="s">
        <v>203</v>
      </c>
      <c r="K3149" t="s">
        <v>785</v>
      </c>
      <c r="O3149">
        <v>0</v>
      </c>
      <c r="U3149" t="s">
        <v>81</v>
      </c>
    </row>
    <row r="3150" spans="1:21" x14ac:dyDescent="0.25">
      <c r="A3150" s="33">
        <v>3165</v>
      </c>
      <c r="B3150" s="24">
        <v>44267</v>
      </c>
      <c r="C3150" t="s">
        <v>181</v>
      </c>
      <c r="D3150" t="s">
        <v>41</v>
      </c>
      <c r="E3150">
        <v>2000717737</v>
      </c>
      <c r="F3150">
        <v>620</v>
      </c>
      <c r="G3150">
        <v>30</v>
      </c>
      <c r="H3150">
        <v>0</v>
      </c>
      <c r="I3150" t="s">
        <v>198</v>
      </c>
      <c r="J3150" t="s">
        <v>203</v>
      </c>
      <c r="K3150" t="s">
        <v>638</v>
      </c>
      <c r="O3150">
        <v>0</v>
      </c>
      <c r="U3150" t="s">
        <v>81</v>
      </c>
    </row>
    <row r="3151" spans="1:21" x14ac:dyDescent="0.25">
      <c r="A3151" s="33">
        <v>3166</v>
      </c>
      <c r="B3151" s="24">
        <v>44267</v>
      </c>
      <c r="C3151" t="s">
        <v>181</v>
      </c>
      <c r="D3151" t="s">
        <v>41</v>
      </c>
      <c r="E3151">
        <v>2000717709</v>
      </c>
      <c r="F3151">
        <v>3200</v>
      </c>
      <c r="G3151">
        <v>160</v>
      </c>
      <c r="H3151">
        <v>0</v>
      </c>
      <c r="I3151" t="s">
        <v>198</v>
      </c>
      <c r="J3151" t="s">
        <v>200</v>
      </c>
      <c r="K3151" t="s">
        <v>653</v>
      </c>
      <c r="O3151">
        <v>0</v>
      </c>
      <c r="U3151" t="s">
        <v>81</v>
      </c>
    </row>
    <row r="3152" spans="1:21" x14ac:dyDescent="0.25">
      <c r="A3152" s="33">
        <v>3167</v>
      </c>
      <c r="B3152" s="24">
        <v>44267</v>
      </c>
      <c r="C3152" t="s">
        <v>181</v>
      </c>
      <c r="D3152" t="s">
        <v>41</v>
      </c>
      <c r="E3152">
        <v>2000717241</v>
      </c>
      <c r="F3152">
        <v>282</v>
      </c>
      <c r="G3152">
        <v>80</v>
      </c>
      <c r="H3152">
        <v>0</v>
      </c>
      <c r="I3152" t="s">
        <v>198</v>
      </c>
      <c r="J3152" t="s">
        <v>687</v>
      </c>
      <c r="K3152" t="s">
        <v>898</v>
      </c>
      <c r="O3152">
        <v>0</v>
      </c>
      <c r="U3152" t="s">
        <v>81</v>
      </c>
    </row>
    <row r="3153" spans="1:21" x14ac:dyDescent="0.25">
      <c r="A3153" s="33">
        <v>3168</v>
      </c>
      <c r="B3153" s="24">
        <v>44267</v>
      </c>
      <c r="C3153" t="s">
        <v>181</v>
      </c>
      <c r="D3153" t="s">
        <v>41</v>
      </c>
      <c r="E3153">
        <v>2000717650</v>
      </c>
      <c r="F3153">
        <v>1200</v>
      </c>
      <c r="G3153">
        <v>80</v>
      </c>
      <c r="H3153">
        <v>0</v>
      </c>
      <c r="I3153" t="s">
        <v>198</v>
      </c>
      <c r="J3153" t="s">
        <v>687</v>
      </c>
      <c r="K3153" t="s">
        <v>705</v>
      </c>
      <c r="O3153">
        <v>0</v>
      </c>
      <c r="U3153" t="s">
        <v>81</v>
      </c>
    </row>
    <row r="3154" spans="1:21" x14ac:dyDescent="0.25">
      <c r="A3154" s="33">
        <v>3169</v>
      </c>
      <c r="B3154" s="24">
        <v>44267</v>
      </c>
      <c r="C3154" t="s">
        <v>181</v>
      </c>
      <c r="D3154" t="s">
        <v>41</v>
      </c>
      <c r="E3154">
        <v>2000717656</v>
      </c>
      <c r="F3154">
        <v>540</v>
      </c>
      <c r="G3154">
        <v>80</v>
      </c>
      <c r="H3154">
        <v>0</v>
      </c>
      <c r="I3154" t="s">
        <v>198</v>
      </c>
      <c r="J3154" t="s">
        <v>169</v>
      </c>
      <c r="K3154" t="s">
        <v>637</v>
      </c>
      <c r="O3154">
        <v>0</v>
      </c>
      <c r="U3154" t="s">
        <v>81</v>
      </c>
    </row>
    <row r="3155" spans="1:21" x14ac:dyDescent="0.25">
      <c r="A3155" s="33">
        <v>3170</v>
      </c>
      <c r="B3155" s="24">
        <v>44267</v>
      </c>
      <c r="C3155" t="s">
        <v>181</v>
      </c>
      <c r="D3155" t="s">
        <v>41</v>
      </c>
      <c r="E3155">
        <v>2000717724</v>
      </c>
      <c r="F3155">
        <v>150</v>
      </c>
      <c r="G3155">
        <v>150</v>
      </c>
      <c r="H3155">
        <v>0</v>
      </c>
      <c r="I3155" t="s">
        <v>198</v>
      </c>
      <c r="J3155" t="s">
        <v>169</v>
      </c>
      <c r="K3155" t="s">
        <v>852</v>
      </c>
      <c r="O3155">
        <v>0</v>
      </c>
      <c r="U3155" t="s">
        <v>81</v>
      </c>
    </row>
    <row r="3156" spans="1:21" x14ac:dyDescent="0.25">
      <c r="A3156" s="33">
        <v>3171</v>
      </c>
      <c r="B3156" s="24">
        <v>44267</v>
      </c>
      <c r="C3156" t="s">
        <v>181</v>
      </c>
      <c r="D3156" t="s">
        <v>41</v>
      </c>
      <c r="E3156">
        <v>2000717268</v>
      </c>
      <c r="F3156">
        <v>650</v>
      </c>
      <c r="G3156">
        <v>80</v>
      </c>
      <c r="H3156">
        <v>0</v>
      </c>
      <c r="I3156" t="s">
        <v>198</v>
      </c>
      <c r="J3156" t="s">
        <v>169</v>
      </c>
      <c r="K3156" t="s">
        <v>663</v>
      </c>
      <c r="O3156">
        <v>0</v>
      </c>
      <c r="U3156" t="s">
        <v>81</v>
      </c>
    </row>
    <row r="3157" spans="1:21" x14ac:dyDescent="0.25">
      <c r="A3157" s="33">
        <v>3172</v>
      </c>
      <c r="B3157" s="24">
        <v>44267</v>
      </c>
      <c r="C3157" t="s">
        <v>181</v>
      </c>
      <c r="D3157" t="s">
        <v>41</v>
      </c>
      <c r="E3157">
        <v>2000717594</v>
      </c>
      <c r="F3157">
        <v>2800</v>
      </c>
      <c r="G3157">
        <v>80</v>
      </c>
      <c r="H3157">
        <v>0</v>
      </c>
      <c r="I3157" t="s">
        <v>198</v>
      </c>
      <c r="J3157" t="s">
        <v>172</v>
      </c>
      <c r="K3157" t="s">
        <v>173</v>
      </c>
      <c r="O3157">
        <v>0</v>
      </c>
      <c r="U3157" t="s">
        <v>81</v>
      </c>
    </row>
    <row r="3158" spans="1:21" x14ac:dyDescent="0.25">
      <c r="A3158" s="33">
        <v>3173</v>
      </c>
      <c r="B3158" s="24">
        <v>44267</v>
      </c>
      <c r="C3158" t="s">
        <v>181</v>
      </c>
      <c r="D3158" t="s">
        <v>41</v>
      </c>
      <c r="E3158">
        <v>2000717619</v>
      </c>
      <c r="F3158">
        <v>580</v>
      </c>
      <c r="G3158">
        <v>80</v>
      </c>
      <c r="H3158">
        <v>0</v>
      </c>
      <c r="I3158" t="s">
        <v>183</v>
      </c>
      <c r="J3158" t="s">
        <v>645</v>
      </c>
      <c r="K3158" t="s">
        <v>718</v>
      </c>
      <c r="O3158">
        <v>0</v>
      </c>
      <c r="U3158" t="s">
        <v>81</v>
      </c>
    </row>
    <row r="3159" spans="1:21" ht="30" x14ac:dyDescent="0.25">
      <c r="A3159" s="33">
        <v>3174</v>
      </c>
      <c r="B3159" s="24">
        <v>44267</v>
      </c>
      <c r="C3159" t="s">
        <v>181</v>
      </c>
      <c r="D3159" t="s">
        <v>41</v>
      </c>
      <c r="E3159">
        <v>2000718322</v>
      </c>
      <c r="F3159">
        <v>400</v>
      </c>
      <c r="G3159">
        <v>393</v>
      </c>
      <c r="H3159">
        <v>0</v>
      </c>
      <c r="I3159" t="s">
        <v>183</v>
      </c>
      <c r="J3159" t="s">
        <v>174</v>
      </c>
      <c r="K3159" t="s">
        <v>187</v>
      </c>
      <c r="O3159">
        <v>0</v>
      </c>
      <c r="T3159" s="62" t="s">
        <v>723</v>
      </c>
      <c r="U3159" t="s">
        <v>81</v>
      </c>
    </row>
    <row r="3160" spans="1:21" x14ac:dyDescent="0.25">
      <c r="A3160" s="33">
        <v>3175</v>
      </c>
      <c r="B3160" s="24">
        <v>44267</v>
      </c>
      <c r="C3160" t="s">
        <v>181</v>
      </c>
      <c r="D3160" t="s">
        <v>41</v>
      </c>
      <c r="E3160">
        <v>2000718235</v>
      </c>
      <c r="F3160">
        <v>20</v>
      </c>
      <c r="G3160">
        <v>20</v>
      </c>
      <c r="H3160">
        <v>0</v>
      </c>
      <c r="I3160" t="s">
        <v>183</v>
      </c>
      <c r="J3160" t="s">
        <v>175</v>
      </c>
      <c r="K3160" t="s">
        <v>808</v>
      </c>
      <c r="O3160">
        <v>0</v>
      </c>
      <c r="U3160" t="s">
        <v>81</v>
      </c>
    </row>
    <row r="3161" spans="1:21" ht="30" x14ac:dyDescent="0.25">
      <c r="A3161" s="33">
        <v>3176</v>
      </c>
      <c r="B3161" s="24">
        <v>44267</v>
      </c>
      <c r="C3161" t="s">
        <v>181</v>
      </c>
      <c r="D3161" t="s">
        <v>41</v>
      </c>
      <c r="E3161">
        <v>2000718569</v>
      </c>
      <c r="F3161">
        <v>760</v>
      </c>
      <c r="G3161">
        <v>120</v>
      </c>
      <c r="H3161">
        <v>0</v>
      </c>
      <c r="I3161" t="s">
        <v>183</v>
      </c>
      <c r="J3161" t="s">
        <v>174</v>
      </c>
      <c r="K3161" t="s">
        <v>644</v>
      </c>
      <c r="O3161">
        <v>0</v>
      </c>
      <c r="T3161" s="62" t="s">
        <v>723</v>
      </c>
      <c r="U3161" t="s">
        <v>81</v>
      </c>
    </row>
    <row r="3162" spans="1:21" x14ac:dyDescent="0.25">
      <c r="A3162" s="33">
        <v>3177</v>
      </c>
      <c r="B3162" s="24">
        <v>44267</v>
      </c>
      <c r="C3162" t="s">
        <v>181</v>
      </c>
      <c r="D3162" t="s">
        <v>41</v>
      </c>
      <c r="E3162">
        <v>2000717488</v>
      </c>
      <c r="F3162">
        <v>1290</v>
      </c>
      <c r="G3162">
        <v>30</v>
      </c>
      <c r="H3162">
        <v>0</v>
      </c>
      <c r="I3162" t="s">
        <v>183</v>
      </c>
      <c r="J3162" t="s">
        <v>174</v>
      </c>
      <c r="K3162" t="s">
        <v>776</v>
      </c>
      <c r="O3162">
        <v>0</v>
      </c>
      <c r="U3162" t="s">
        <v>81</v>
      </c>
    </row>
    <row r="3163" spans="1:21" x14ac:dyDescent="0.25">
      <c r="A3163" s="33">
        <v>3178</v>
      </c>
      <c r="B3163" s="24">
        <v>44267</v>
      </c>
      <c r="C3163" t="s">
        <v>181</v>
      </c>
      <c r="D3163" t="s">
        <v>41</v>
      </c>
      <c r="E3163">
        <v>2000717592</v>
      </c>
      <c r="F3163">
        <v>2800</v>
      </c>
      <c r="G3163">
        <v>40</v>
      </c>
      <c r="H3163">
        <v>0</v>
      </c>
      <c r="I3163" t="s">
        <v>183</v>
      </c>
      <c r="J3163" t="s">
        <v>172</v>
      </c>
      <c r="K3163" t="s">
        <v>173</v>
      </c>
      <c r="O3163">
        <v>0</v>
      </c>
      <c r="U3163" t="s">
        <v>81</v>
      </c>
    </row>
    <row r="3164" spans="1:21" x14ac:dyDescent="0.25">
      <c r="A3164" s="33">
        <v>3179</v>
      </c>
      <c r="B3164" s="24">
        <v>44267</v>
      </c>
      <c r="C3164" t="s">
        <v>181</v>
      </c>
      <c r="D3164" t="s">
        <v>41</v>
      </c>
      <c r="E3164">
        <v>2000717645</v>
      </c>
      <c r="F3164">
        <v>540</v>
      </c>
      <c r="G3164">
        <v>79</v>
      </c>
      <c r="H3164">
        <v>0</v>
      </c>
      <c r="I3164" t="s">
        <v>183</v>
      </c>
      <c r="J3164" t="s">
        <v>174</v>
      </c>
      <c r="K3164" t="s">
        <v>177</v>
      </c>
      <c r="O3164">
        <v>0</v>
      </c>
      <c r="U3164" t="s">
        <v>81</v>
      </c>
    </row>
    <row r="3165" spans="1:21" x14ac:dyDescent="0.25">
      <c r="A3165" s="33">
        <v>3180</v>
      </c>
      <c r="B3165" s="24">
        <v>44267</v>
      </c>
      <c r="C3165" t="s">
        <v>181</v>
      </c>
      <c r="D3165" t="s">
        <v>41</v>
      </c>
      <c r="E3165">
        <v>2000716664</v>
      </c>
      <c r="F3165">
        <v>130</v>
      </c>
      <c r="G3165">
        <v>4</v>
      </c>
      <c r="H3165">
        <v>0</v>
      </c>
      <c r="I3165" t="s">
        <v>183</v>
      </c>
      <c r="J3165" t="s">
        <v>174</v>
      </c>
      <c r="K3165" t="s">
        <v>695</v>
      </c>
      <c r="O3165">
        <v>0</v>
      </c>
      <c r="U3165" t="s">
        <v>81</v>
      </c>
    </row>
    <row r="3166" spans="1:21" x14ac:dyDescent="0.25">
      <c r="A3166" s="33">
        <v>3181</v>
      </c>
      <c r="B3166" s="24">
        <v>44267</v>
      </c>
      <c r="C3166" t="s">
        <v>181</v>
      </c>
      <c r="D3166" t="s">
        <v>41</v>
      </c>
      <c r="E3166">
        <v>2000717859</v>
      </c>
      <c r="F3166">
        <v>658</v>
      </c>
      <c r="G3166">
        <v>40</v>
      </c>
      <c r="H3166">
        <v>0</v>
      </c>
      <c r="I3166" t="s">
        <v>183</v>
      </c>
      <c r="J3166" t="s">
        <v>174</v>
      </c>
      <c r="K3166" t="s">
        <v>695</v>
      </c>
      <c r="O3166">
        <v>0</v>
      </c>
      <c r="U3166" t="s">
        <v>81</v>
      </c>
    </row>
    <row r="3167" spans="1:21" x14ac:dyDescent="0.25">
      <c r="A3167" s="33">
        <v>3182</v>
      </c>
      <c r="B3167" s="24">
        <v>44268</v>
      </c>
      <c r="C3167" t="s">
        <v>39</v>
      </c>
      <c r="D3167" t="s">
        <v>41</v>
      </c>
      <c r="E3167">
        <v>2000717622</v>
      </c>
      <c r="F3167">
        <v>700</v>
      </c>
      <c r="G3167">
        <v>218</v>
      </c>
      <c r="H3167">
        <v>0</v>
      </c>
      <c r="I3167" t="s">
        <v>168</v>
      </c>
      <c r="J3167" t="s">
        <v>203</v>
      </c>
      <c r="K3167" t="s">
        <v>785</v>
      </c>
      <c r="O3167">
        <v>0</v>
      </c>
      <c r="U3167" t="s">
        <v>81</v>
      </c>
    </row>
    <row r="3168" spans="1:21" x14ac:dyDescent="0.25">
      <c r="A3168" s="33">
        <v>3183</v>
      </c>
      <c r="B3168" s="24">
        <v>44268</v>
      </c>
      <c r="C3168" t="s">
        <v>39</v>
      </c>
      <c r="D3168" t="s">
        <v>41</v>
      </c>
      <c r="E3168">
        <v>2000717737</v>
      </c>
      <c r="F3168">
        <v>620</v>
      </c>
      <c r="G3168">
        <v>300</v>
      </c>
      <c r="H3168">
        <v>0</v>
      </c>
      <c r="I3168" t="s">
        <v>168</v>
      </c>
      <c r="J3168" t="s">
        <v>203</v>
      </c>
      <c r="K3168" t="s">
        <v>638</v>
      </c>
      <c r="O3168">
        <v>0</v>
      </c>
      <c r="U3168" t="s">
        <v>81</v>
      </c>
    </row>
    <row r="3169" spans="1:21" x14ac:dyDescent="0.25">
      <c r="A3169" s="33">
        <v>3184</v>
      </c>
      <c r="B3169" s="24">
        <v>44268</v>
      </c>
      <c r="C3169" t="s">
        <v>39</v>
      </c>
      <c r="D3169" t="s">
        <v>41</v>
      </c>
      <c r="E3169">
        <v>2000717655</v>
      </c>
      <c r="F3169">
        <v>1170</v>
      </c>
      <c r="G3169">
        <v>90</v>
      </c>
      <c r="H3169">
        <v>0</v>
      </c>
      <c r="I3169" t="s">
        <v>185</v>
      </c>
      <c r="J3169" t="s">
        <v>169</v>
      </c>
      <c r="K3169" t="s">
        <v>664</v>
      </c>
      <c r="O3169">
        <v>0</v>
      </c>
      <c r="U3169" t="s">
        <v>81</v>
      </c>
    </row>
    <row r="3170" spans="1:21" x14ac:dyDescent="0.25">
      <c r="A3170" s="33">
        <v>3185</v>
      </c>
      <c r="B3170" s="24">
        <v>44268</v>
      </c>
      <c r="C3170" t="s">
        <v>39</v>
      </c>
      <c r="D3170" t="s">
        <v>41</v>
      </c>
      <c r="E3170">
        <v>2000715641</v>
      </c>
      <c r="F3170">
        <v>2896</v>
      </c>
      <c r="G3170">
        <v>120</v>
      </c>
      <c r="H3170">
        <v>0</v>
      </c>
      <c r="I3170" t="s">
        <v>185</v>
      </c>
      <c r="J3170" t="s">
        <v>655</v>
      </c>
      <c r="K3170" t="s">
        <v>656</v>
      </c>
      <c r="O3170">
        <v>0</v>
      </c>
      <c r="U3170" t="s">
        <v>81</v>
      </c>
    </row>
    <row r="3171" spans="1:21" x14ac:dyDescent="0.25">
      <c r="A3171" s="33">
        <v>3186</v>
      </c>
      <c r="B3171" s="24">
        <v>44268</v>
      </c>
      <c r="C3171" t="s">
        <v>39</v>
      </c>
      <c r="D3171" t="s">
        <v>41</v>
      </c>
      <c r="E3171">
        <v>2000718185</v>
      </c>
      <c r="F3171">
        <v>580</v>
      </c>
      <c r="G3171">
        <v>80</v>
      </c>
      <c r="H3171">
        <v>0</v>
      </c>
      <c r="I3171" t="s">
        <v>185</v>
      </c>
      <c r="J3171" t="s">
        <v>169</v>
      </c>
      <c r="K3171" t="s">
        <v>663</v>
      </c>
      <c r="O3171">
        <v>0</v>
      </c>
      <c r="U3171" t="s">
        <v>81</v>
      </c>
    </row>
    <row r="3172" spans="1:21" x14ac:dyDescent="0.25">
      <c r="A3172" s="33">
        <v>3187</v>
      </c>
      <c r="B3172" s="24">
        <v>44268</v>
      </c>
      <c r="C3172" t="s">
        <v>39</v>
      </c>
      <c r="D3172" t="s">
        <v>41</v>
      </c>
      <c r="E3172">
        <v>2000717752</v>
      </c>
      <c r="F3172">
        <v>1200</v>
      </c>
      <c r="G3172">
        <v>80</v>
      </c>
      <c r="H3172">
        <v>0</v>
      </c>
      <c r="I3172" t="s">
        <v>185</v>
      </c>
      <c r="J3172" t="s">
        <v>645</v>
      </c>
      <c r="K3172" t="s">
        <v>1064</v>
      </c>
      <c r="O3172">
        <v>0</v>
      </c>
      <c r="U3172" t="s">
        <v>81</v>
      </c>
    </row>
    <row r="3173" spans="1:21" x14ac:dyDescent="0.25">
      <c r="A3173" s="33">
        <v>3188</v>
      </c>
      <c r="B3173" s="24">
        <v>44268</v>
      </c>
      <c r="C3173" t="s">
        <v>39</v>
      </c>
      <c r="D3173" t="s">
        <v>41</v>
      </c>
      <c r="E3173">
        <v>2000717758</v>
      </c>
      <c r="F3173">
        <v>2300</v>
      </c>
      <c r="G3173">
        <v>120</v>
      </c>
      <c r="H3173">
        <v>0</v>
      </c>
      <c r="I3173" t="s">
        <v>185</v>
      </c>
      <c r="J3173" t="s">
        <v>645</v>
      </c>
      <c r="K3173" t="s">
        <v>721</v>
      </c>
      <c r="O3173">
        <v>0</v>
      </c>
      <c r="U3173" t="s">
        <v>81</v>
      </c>
    </row>
    <row r="3174" spans="1:21" x14ac:dyDescent="0.25">
      <c r="A3174" s="33">
        <v>3189</v>
      </c>
      <c r="B3174" s="24">
        <v>44268</v>
      </c>
      <c r="C3174" t="s">
        <v>39</v>
      </c>
      <c r="D3174" t="s">
        <v>41</v>
      </c>
      <c r="E3174">
        <v>2000717762</v>
      </c>
      <c r="F3174">
        <v>1200</v>
      </c>
      <c r="G3174">
        <v>80</v>
      </c>
      <c r="H3174">
        <v>0</v>
      </c>
      <c r="I3174" t="s">
        <v>185</v>
      </c>
      <c r="J3174" t="s">
        <v>687</v>
      </c>
      <c r="K3174" t="s">
        <v>757</v>
      </c>
      <c r="O3174">
        <v>0</v>
      </c>
      <c r="U3174" t="s">
        <v>81</v>
      </c>
    </row>
    <row r="3175" spans="1:21" x14ac:dyDescent="0.25">
      <c r="A3175" s="33">
        <v>3190</v>
      </c>
      <c r="B3175" s="24">
        <v>44268</v>
      </c>
      <c r="C3175" t="s">
        <v>39</v>
      </c>
      <c r="D3175" t="s">
        <v>41</v>
      </c>
      <c r="E3175">
        <v>2000717746</v>
      </c>
      <c r="F3175">
        <v>1700</v>
      </c>
      <c r="G3175">
        <v>160</v>
      </c>
      <c r="H3175">
        <v>0</v>
      </c>
      <c r="I3175" t="s">
        <v>185</v>
      </c>
      <c r="J3175" t="s">
        <v>172</v>
      </c>
      <c r="K3175" t="s">
        <v>173</v>
      </c>
      <c r="O3175">
        <v>0</v>
      </c>
      <c r="U3175" t="s">
        <v>81</v>
      </c>
    </row>
    <row r="3176" spans="1:21" x14ac:dyDescent="0.25">
      <c r="A3176" s="33">
        <v>3191</v>
      </c>
      <c r="B3176" s="24">
        <v>44268</v>
      </c>
      <c r="C3176" t="s">
        <v>39</v>
      </c>
      <c r="D3176" t="s">
        <v>41</v>
      </c>
      <c r="E3176">
        <v>2000718569</v>
      </c>
      <c r="F3176">
        <v>760</v>
      </c>
      <c r="G3176">
        <v>200</v>
      </c>
      <c r="H3176">
        <v>0</v>
      </c>
      <c r="I3176" t="s">
        <v>194</v>
      </c>
      <c r="J3176" t="s">
        <v>174</v>
      </c>
      <c r="K3176" t="s">
        <v>644</v>
      </c>
      <c r="O3176">
        <v>0</v>
      </c>
      <c r="U3176" t="s">
        <v>81</v>
      </c>
    </row>
    <row r="3177" spans="1:21" x14ac:dyDescent="0.25">
      <c r="A3177" s="33">
        <v>3192</v>
      </c>
      <c r="B3177" s="24">
        <v>44268</v>
      </c>
      <c r="C3177" t="s">
        <v>39</v>
      </c>
      <c r="D3177" t="s">
        <v>41</v>
      </c>
      <c r="E3177">
        <v>2000717645</v>
      </c>
      <c r="F3177">
        <v>540</v>
      </c>
      <c r="G3177">
        <v>177</v>
      </c>
      <c r="H3177">
        <v>0</v>
      </c>
      <c r="I3177" t="s">
        <v>194</v>
      </c>
      <c r="J3177" t="s">
        <v>174</v>
      </c>
      <c r="K3177" t="s">
        <v>177</v>
      </c>
      <c r="O3177">
        <v>0</v>
      </c>
      <c r="U3177" t="s">
        <v>81</v>
      </c>
    </row>
    <row r="3178" spans="1:21" x14ac:dyDescent="0.25">
      <c r="A3178" s="33">
        <v>3193</v>
      </c>
      <c r="B3178" s="24">
        <v>44268</v>
      </c>
      <c r="C3178" t="s">
        <v>39</v>
      </c>
      <c r="D3178" t="s">
        <v>41</v>
      </c>
      <c r="E3178">
        <v>2000718323</v>
      </c>
      <c r="F3178">
        <v>680</v>
      </c>
      <c r="G3178">
        <v>120</v>
      </c>
      <c r="H3178">
        <v>0</v>
      </c>
      <c r="I3178" t="s">
        <v>194</v>
      </c>
      <c r="J3178" t="s">
        <v>174</v>
      </c>
      <c r="K3178" t="s">
        <v>186</v>
      </c>
      <c r="O3178">
        <v>0</v>
      </c>
      <c r="U3178" t="s">
        <v>81</v>
      </c>
    </row>
    <row r="3179" spans="1:21" x14ac:dyDescent="0.25">
      <c r="A3179" s="33">
        <v>3194</v>
      </c>
      <c r="B3179" s="24">
        <v>44268</v>
      </c>
      <c r="C3179" t="s">
        <v>39</v>
      </c>
      <c r="D3179" t="s">
        <v>41</v>
      </c>
      <c r="E3179">
        <v>2000717859</v>
      </c>
      <c r="F3179">
        <v>658</v>
      </c>
      <c r="G3179">
        <v>80</v>
      </c>
      <c r="H3179">
        <v>0</v>
      </c>
      <c r="I3179" t="s">
        <v>194</v>
      </c>
      <c r="J3179" t="s">
        <v>174</v>
      </c>
      <c r="K3179" t="s">
        <v>695</v>
      </c>
      <c r="O3179">
        <v>0</v>
      </c>
      <c r="U3179" t="s">
        <v>81</v>
      </c>
    </row>
    <row r="3180" spans="1:21" x14ac:dyDescent="0.25">
      <c r="A3180" s="33">
        <v>3195</v>
      </c>
      <c r="B3180" s="24">
        <v>44268</v>
      </c>
      <c r="C3180" t="s">
        <v>39</v>
      </c>
      <c r="D3180" t="s">
        <v>41</v>
      </c>
      <c r="E3180">
        <v>2000717859</v>
      </c>
      <c r="F3180">
        <v>658</v>
      </c>
      <c r="G3180">
        <v>533</v>
      </c>
      <c r="H3180">
        <v>0</v>
      </c>
      <c r="I3180" t="s">
        <v>666</v>
      </c>
      <c r="J3180" t="s">
        <v>174</v>
      </c>
      <c r="K3180" t="s">
        <v>695</v>
      </c>
      <c r="O3180">
        <v>0</v>
      </c>
      <c r="U3180" t="s">
        <v>81</v>
      </c>
    </row>
    <row r="3181" spans="1:21" x14ac:dyDescent="0.25">
      <c r="A3181" s="33">
        <v>3196</v>
      </c>
      <c r="B3181" s="24">
        <v>44268</v>
      </c>
      <c r="C3181" t="s">
        <v>39</v>
      </c>
      <c r="D3181" t="s">
        <v>41</v>
      </c>
      <c r="E3181">
        <v>2000718569</v>
      </c>
      <c r="F3181">
        <v>760</v>
      </c>
      <c r="G3181">
        <v>40</v>
      </c>
      <c r="H3181">
        <v>0</v>
      </c>
      <c r="I3181" t="s">
        <v>666</v>
      </c>
      <c r="J3181" t="s">
        <v>174</v>
      </c>
      <c r="K3181" t="s">
        <v>644</v>
      </c>
      <c r="O3181">
        <v>0</v>
      </c>
      <c r="T3181" s="62"/>
      <c r="U3181" t="s">
        <v>81</v>
      </c>
    </row>
    <row r="3182" spans="1:21" ht="45" x14ac:dyDescent="0.25">
      <c r="A3182" s="33">
        <v>3197</v>
      </c>
      <c r="B3182" s="24">
        <v>44268</v>
      </c>
      <c r="C3182" t="s">
        <v>39</v>
      </c>
      <c r="D3182" t="s">
        <v>41</v>
      </c>
      <c r="E3182">
        <v>2000713138</v>
      </c>
      <c r="F3182">
        <v>446</v>
      </c>
      <c r="G3182">
        <v>7</v>
      </c>
      <c r="H3182">
        <v>0</v>
      </c>
      <c r="I3182" t="s">
        <v>666</v>
      </c>
      <c r="J3182" t="s">
        <v>174</v>
      </c>
      <c r="K3182" t="s">
        <v>644</v>
      </c>
      <c r="O3182">
        <v>0</v>
      </c>
      <c r="T3182" s="62" t="s">
        <v>775</v>
      </c>
      <c r="U3182" t="s">
        <v>81</v>
      </c>
    </row>
    <row r="3183" spans="1:21" x14ac:dyDescent="0.25">
      <c r="A3183" s="33">
        <v>3198</v>
      </c>
      <c r="B3183" s="24">
        <v>44268</v>
      </c>
      <c r="C3183" t="s">
        <v>39</v>
      </c>
      <c r="D3183" t="s">
        <v>41</v>
      </c>
      <c r="E3183">
        <v>2000718547</v>
      </c>
      <c r="F3183">
        <v>446</v>
      </c>
      <c r="G3183">
        <v>120</v>
      </c>
      <c r="H3183">
        <v>0</v>
      </c>
      <c r="I3183" t="s">
        <v>666</v>
      </c>
      <c r="J3183" t="s">
        <v>174</v>
      </c>
      <c r="K3183" t="s">
        <v>662</v>
      </c>
      <c r="O3183">
        <v>0</v>
      </c>
      <c r="U3183" t="s">
        <v>81</v>
      </c>
    </row>
    <row r="3184" spans="1:21" x14ac:dyDescent="0.25">
      <c r="A3184" s="33">
        <v>3199</v>
      </c>
      <c r="B3184" s="24">
        <v>44268</v>
      </c>
      <c r="C3184" t="s">
        <v>39</v>
      </c>
      <c r="D3184" t="s">
        <v>41</v>
      </c>
      <c r="E3184">
        <v>2000715224</v>
      </c>
      <c r="F3184">
        <v>2460</v>
      </c>
      <c r="G3184">
        <v>315</v>
      </c>
      <c r="H3184">
        <v>0</v>
      </c>
      <c r="I3184" t="s">
        <v>178</v>
      </c>
      <c r="J3184" t="s">
        <v>170</v>
      </c>
      <c r="K3184" t="s">
        <v>899</v>
      </c>
      <c r="O3184">
        <v>0</v>
      </c>
      <c r="U3184" t="s">
        <v>81</v>
      </c>
    </row>
    <row r="3185" spans="1:21" x14ac:dyDescent="0.25">
      <c r="A3185" s="33">
        <v>3200</v>
      </c>
      <c r="B3185" s="24">
        <v>44268</v>
      </c>
      <c r="C3185" t="s">
        <v>39</v>
      </c>
      <c r="D3185" t="s">
        <v>41</v>
      </c>
      <c r="E3185">
        <v>2000717737</v>
      </c>
      <c r="F3185">
        <v>620</v>
      </c>
      <c r="G3185">
        <v>270</v>
      </c>
      <c r="H3185">
        <v>0</v>
      </c>
      <c r="I3185" t="s">
        <v>178</v>
      </c>
      <c r="J3185" t="s">
        <v>203</v>
      </c>
      <c r="K3185" t="s">
        <v>638</v>
      </c>
      <c r="O3185">
        <v>0</v>
      </c>
      <c r="U3185" t="s">
        <v>81</v>
      </c>
    </row>
    <row r="3186" spans="1:21" x14ac:dyDescent="0.25">
      <c r="A3186" s="33">
        <v>3201</v>
      </c>
      <c r="B3186" s="24">
        <v>44268</v>
      </c>
      <c r="C3186" t="s">
        <v>39</v>
      </c>
      <c r="D3186" t="s">
        <v>41</v>
      </c>
      <c r="E3186">
        <v>2000715224</v>
      </c>
      <c r="F3186">
        <v>2460</v>
      </c>
      <c r="G3186">
        <v>495</v>
      </c>
      <c r="H3186">
        <v>0</v>
      </c>
      <c r="I3186" t="s">
        <v>661</v>
      </c>
      <c r="J3186" t="s">
        <v>170</v>
      </c>
      <c r="K3186" t="s">
        <v>899</v>
      </c>
      <c r="O3186">
        <v>0</v>
      </c>
      <c r="U3186" t="s">
        <v>81</v>
      </c>
    </row>
    <row r="3187" spans="1:21" x14ac:dyDescent="0.25">
      <c r="A3187" s="33">
        <v>3202</v>
      </c>
      <c r="B3187" s="24">
        <v>44268</v>
      </c>
      <c r="C3187" t="s">
        <v>39</v>
      </c>
      <c r="D3187" t="s">
        <v>41</v>
      </c>
      <c r="E3187">
        <v>2000714121</v>
      </c>
      <c r="F3187">
        <v>1530</v>
      </c>
      <c r="G3187">
        <v>45</v>
      </c>
      <c r="H3187">
        <v>0</v>
      </c>
      <c r="I3187" t="s">
        <v>661</v>
      </c>
      <c r="J3187" t="s">
        <v>170</v>
      </c>
      <c r="K3187" t="s">
        <v>899</v>
      </c>
      <c r="O3187">
        <v>0</v>
      </c>
      <c r="U3187" t="s">
        <v>81</v>
      </c>
    </row>
    <row r="3188" spans="1:21" x14ac:dyDescent="0.25">
      <c r="A3188" s="33">
        <v>3203</v>
      </c>
      <c r="B3188" s="24">
        <v>44268</v>
      </c>
      <c r="C3188" t="s">
        <v>39</v>
      </c>
      <c r="D3188" t="s">
        <v>41</v>
      </c>
      <c r="E3188">
        <v>2000715224</v>
      </c>
      <c r="F3188">
        <v>2460</v>
      </c>
      <c r="G3188">
        <v>180</v>
      </c>
      <c r="H3188">
        <v>0</v>
      </c>
      <c r="I3188" t="s">
        <v>661</v>
      </c>
      <c r="J3188" t="s">
        <v>170</v>
      </c>
      <c r="K3188" t="s">
        <v>899</v>
      </c>
      <c r="O3188">
        <v>0</v>
      </c>
      <c r="U3188" t="s">
        <v>81</v>
      </c>
    </row>
    <row r="3189" spans="1:21" x14ac:dyDescent="0.25">
      <c r="A3189" s="33">
        <v>3204</v>
      </c>
      <c r="B3189" s="24">
        <v>44268</v>
      </c>
      <c r="C3189" t="s">
        <v>39</v>
      </c>
      <c r="D3189" t="s">
        <v>41</v>
      </c>
      <c r="E3189">
        <v>2000717253</v>
      </c>
      <c r="F3189">
        <v>1224</v>
      </c>
      <c r="G3189">
        <v>235</v>
      </c>
      <c r="H3189">
        <v>0</v>
      </c>
      <c r="I3189" t="s">
        <v>789</v>
      </c>
      <c r="J3189" t="s">
        <v>745</v>
      </c>
      <c r="K3189" t="s">
        <v>849</v>
      </c>
      <c r="O3189">
        <v>0</v>
      </c>
      <c r="U3189" t="s">
        <v>81</v>
      </c>
    </row>
    <row r="3190" spans="1:21" x14ac:dyDescent="0.25">
      <c r="A3190" s="33">
        <v>3205</v>
      </c>
      <c r="B3190" s="24">
        <v>44268</v>
      </c>
      <c r="C3190" t="s">
        <v>39</v>
      </c>
      <c r="D3190" t="s">
        <v>41</v>
      </c>
      <c r="E3190">
        <v>2000718569</v>
      </c>
      <c r="F3190">
        <v>760</v>
      </c>
      <c r="G3190">
        <v>400</v>
      </c>
      <c r="H3190">
        <v>0</v>
      </c>
      <c r="I3190" t="s">
        <v>789</v>
      </c>
      <c r="J3190" t="s">
        <v>174</v>
      </c>
      <c r="K3190" t="s">
        <v>644</v>
      </c>
      <c r="O3190">
        <v>0</v>
      </c>
      <c r="U3190" t="s">
        <v>81</v>
      </c>
    </row>
    <row r="3191" spans="1:21" x14ac:dyDescent="0.25">
      <c r="A3191" s="33">
        <v>3206</v>
      </c>
      <c r="B3191" s="24">
        <v>44268</v>
      </c>
      <c r="C3191" t="s">
        <v>39</v>
      </c>
      <c r="D3191" t="s">
        <v>41</v>
      </c>
      <c r="E3191">
        <v>2000718547</v>
      </c>
      <c r="F3191">
        <v>446</v>
      </c>
      <c r="G3191">
        <v>80</v>
      </c>
      <c r="H3191">
        <v>0</v>
      </c>
      <c r="I3191" t="s">
        <v>789</v>
      </c>
      <c r="J3191" t="s">
        <v>174</v>
      </c>
      <c r="K3191" t="s">
        <v>662</v>
      </c>
      <c r="O3191">
        <v>0</v>
      </c>
      <c r="U3191" t="s">
        <v>81</v>
      </c>
    </row>
    <row r="3192" spans="1:21" x14ac:dyDescent="0.25">
      <c r="A3192" s="33">
        <v>3207</v>
      </c>
      <c r="B3192" s="24">
        <v>44268</v>
      </c>
      <c r="C3192" t="s">
        <v>39</v>
      </c>
      <c r="D3192" t="s">
        <v>41</v>
      </c>
      <c r="E3192">
        <v>2000716725</v>
      </c>
      <c r="F3192">
        <v>2808</v>
      </c>
      <c r="G3192">
        <v>800</v>
      </c>
      <c r="H3192">
        <v>0</v>
      </c>
      <c r="I3192" t="s">
        <v>201</v>
      </c>
      <c r="J3192" t="s">
        <v>513</v>
      </c>
      <c r="K3192" t="s">
        <v>1063</v>
      </c>
      <c r="O3192">
        <v>0</v>
      </c>
      <c r="U3192" t="s">
        <v>81</v>
      </c>
    </row>
    <row r="3193" spans="1:21" x14ac:dyDescent="0.25">
      <c r="A3193" s="33">
        <v>3208</v>
      </c>
      <c r="B3193" s="24">
        <v>44268</v>
      </c>
      <c r="C3193" t="s">
        <v>39</v>
      </c>
      <c r="D3193" t="s">
        <v>41</v>
      </c>
      <c r="E3193">
        <v>2000718338</v>
      </c>
      <c r="F3193">
        <v>140</v>
      </c>
      <c r="G3193">
        <v>20</v>
      </c>
      <c r="H3193">
        <v>0</v>
      </c>
      <c r="I3193" t="s">
        <v>201</v>
      </c>
      <c r="J3193" t="s">
        <v>202</v>
      </c>
      <c r="K3193" t="s">
        <v>832</v>
      </c>
      <c r="O3193">
        <v>0</v>
      </c>
      <c r="U3193" t="s">
        <v>81</v>
      </c>
    </row>
    <row r="3194" spans="1:21" x14ac:dyDescent="0.25">
      <c r="A3194" s="33">
        <v>3209</v>
      </c>
      <c r="B3194" s="24">
        <v>44268</v>
      </c>
      <c r="C3194" t="s">
        <v>39</v>
      </c>
      <c r="D3194" t="s">
        <v>41</v>
      </c>
      <c r="E3194">
        <v>2000718337</v>
      </c>
      <c r="F3194">
        <v>140</v>
      </c>
      <c r="G3194">
        <v>20</v>
      </c>
      <c r="H3194">
        <v>0</v>
      </c>
      <c r="I3194" t="s">
        <v>201</v>
      </c>
      <c r="J3194" t="s">
        <v>202</v>
      </c>
      <c r="K3194" t="s">
        <v>831</v>
      </c>
      <c r="O3194">
        <v>0</v>
      </c>
      <c r="U3194" t="s">
        <v>81</v>
      </c>
    </row>
    <row r="3195" spans="1:21" x14ac:dyDescent="0.25">
      <c r="A3195" s="33">
        <v>3210</v>
      </c>
      <c r="B3195" s="24">
        <v>44268</v>
      </c>
      <c r="C3195" t="s">
        <v>39</v>
      </c>
      <c r="D3195" t="s">
        <v>41</v>
      </c>
      <c r="E3195">
        <v>2000718336</v>
      </c>
      <c r="F3195">
        <v>140</v>
      </c>
      <c r="G3195">
        <v>20</v>
      </c>
      <c r="H3195">
        <v>0</v>
      </c>
      <c r="I3195" t="s">
        <v>201</v>
      </c>
      <c r="J3195" t="s">
        <v>202</v>
      </c>
      <c r="K3195" t="s">
        <v>830</v>
      </c>
      <c r="O3195">
        <v>0</v>
      </c>
      <c r="U3195" t="s">
        <v>81</v>
      </c>
    </row>
    <row r="3196" spans="1:21" ht="30" x14ac:dyDescent="0.25">
      <c r="A3196" s="33">
        <v>3211</v>
      </c>
      <c r="B3196" s="24">
        <v>44268</v>
      </c>
      <c r="C3196" t="s">
        <v>39</v>
      </c>
      <c r="D3196" t="s">
        <v>41</v>
      </c>
      <c r="E3196">
        <v>2000716726</v>
      </c>
      <c r="F3196">
        <v>1660</v>
      </c>
      <c r="G3196">
        <v>160</v>
      </c>
      <c r="H3196">
        <v>0</v>
      </c>
      <c r="I3196" t="s">
        <v>201</v>
      </c>
      <c r="J3196" t="s">
        <v>745</v>
      </c>
      <c r="K3196" t="s">
        <v>879</v>
      </c>
      <c r="O3196">
        <v>0</v>
      </c>
      <c r="T3196" s="62" t="s">
        <v>723</v>
      </c>
      <c r="U3196" t="s">
        <v>81</v>
      </c>
    </row>
    <row r="3197" spans="1:21" x14ac:dyDescent="0.25">
      <c r="A3197" s="33">
        <v>3212</v>
      </c>
      <c r="B3197" s="24">
        <v>44268</v>
      </c>
      <c r="C3197" t="s">
        <v>39</v>
      </c>
      <c r="D3197" t="s">
        <v>41</v>
      </c>
      <c r="E3197">
        <v>2000717504</v>
      </c>
      <c r="F3197">
        <v>1300</v>
      </c>
      <c r="G3197">
        <v>150</v>
      </c>
      <c r="H3197">
        <v>0</v>
      </c>
      <c r="I3197" t="s">
        <v>201</v>
      </c>
      <c r="J3197" t="s">
        <v>645</v>
      </c>
      <c r="K3197" t="s">
        <v>658</v>
      </c>
      <c r="O3197">
        <v>0</v>
      </c>
      <c r="U3197" t="s">
        <v>81</v>
      </c>
    </row>
    <row r="3198" spans="1:21" x14ac:dyDescent="0.25">
      <c r="A3198" s="33">
        <v>3213</v>
      </c>
      <c r="B3198" s="24">
        <v>44268</v>
      </c>
      <c r="C3198" t="s">
        <v>39</v>
      </c>
      <c r="D3198" t="s">
        <v>41</v>
      </c>
      <c r="E3198">
        <v>2000716731</v>
      </c>
      <c r="F3198">
        <v>1800</v>
      </c>
      <c r="G3198">
        <v>400</v>
      </c>
      <c r="H3198">
        <v>0</v>
      </c>
      <c r="I3198" t="s">
        <v>201</v>
      </c>
      <c r="J3198" t="s">
        <v>745</v>
      </c>
      <c r="K3198" t="s">
        <v>746</v>
      </c>
      <c r="O3198">
        <v>0</v>
      </c>
      <c r="U3198" t="s">
        <v>81</v>
      </c>
    </row>
    <row r="3199" spans="1:21" x14ac:dyDescent="0.25">
      <c r="A3199" s="33">
        <v>3214</v>
      </c>
      <c r="B3199" s="24">
        <v>44268</v>
      </c>
      <c r="C3199" t="s">
        <v>39</v>
      </c>
      <c r="D3199" t="s">
        <v>41</v>
      </c>
      <c r="E3199">
        <v>2000717756</v>
      </c>
      <c r="F3199">
        <v>2300</v>
      </c>
      <c r="G3199">
        <v>150</v>
      </c>
      <c r="H3199">
        <v>0</v>
      </c>
      <c r="I3199" t="s">
        <v>201</v>
      </c>
      <c r="J3199" t="s">
        <v>645</v>
      </c>
      <c r="K3199" t="s">
        <v>739</v>
      </c>
      <c r="O3199">
        <v>0</v>
      </c>
      <c r="U3199" t="s">
        <v>81</v>
      </c>
    </row>
    <row r="3200" spans="1:21" x14ac:dyDescent="0.25">
      <c r="A3200" s="33">
        <v>3215</v>
      </c>
      <c r="B3200" s="24">
        <v>44268</v>
      </c>
      <c r="C3200" t="s">
        <v>39</v>
      </c>
      <c r="D3200" t="s">
        <v>41</v>
      </c>
      <c r="E3200">
        <v>2000717625</v>
      </c>
      <c r="F3200">
        <v>2400</v>
      </c>
      <c r="G3200">
        <v>200</v>
      </c>
      <c r="H3200">
        <v>0</v>
      </c>
      <c r="I3200" t="s">
        <v>201</v>
      </c>
      <c r="J3200" t="s">
        <v>645</v>
      </c>
      <c r="K3200" t="s">
        <v>756</v>
      </c>
      <c r="O3200">
        <v>0</v>
      </c>
      <c r="U3200" t="s">
        <v>81</v>
      </c>
    </row>
    <row r="3201" spans="1:21" x14ac:dyDescent="0.25">
      <c r="A3201" s="33">
        <v>3216</v>
      </c>
      <c r="B3201" s="24">
        <v>44268</v>
      </c>
      <c r="C3201" t="s">
        <v>39</v>
      </c>
      <c r="D3201" t="s">
        <v>41</v>
      </c>
      <c r="E3201">
        <v>2000717743</v>
      </c>
      <c r="F3201">
        <v>1700</v>
      </c>
      <c r="G3201">
        <v>200</v>
      </c>
      <c r="H3201">
        <v>0</v>
      </c>
      <c r="I3201" t="s">
        <v>201</v>
      </c>
      <c r="J3201" t="s">
        <v>172</v>
      </c>
      <c r="K3201" t="s">
        <v>725</v>
      </c>
      <c r="O3201">
        <v>0</v>
      </c>
      <c r="U3201" t="s">
        <v>81</v>
      </c>
    </row>
    <row r="3202" spans="1:21" x14ac:dyDescent="0.25">
      <c r="A3202" s="33">
        <v>3217</v>
      </c>
      <c r="B3202" s="24">
        <v>44268</v>
      </c>
      <c r="C3202" t="s">
        <v>39</v>
      </c>
      <c r="D3202" t="s">
        <v>41</v>
      </c>
      <c r="E3202">
        <v>2000717642</v>
      </c>
      <c r="F3202">
        <v>2128</v>
      </c>
      <c r="G3202">
        <v>425</v>
      </c>
      <c r="H3202">
        <v>0</v>
      </c>
      <c r="I3202" t="s">
        <v>1065</v>
      </c>
      <c r="J3202" t="s">
        <v>745</v>
      </c>
      <c r="K3202" t="s">
        <v>857</v>
      </c>
      <c r="O3202">
        <v>0</v>
      </c>
      <c r="U3202" t="s">
        <v>81</v>
      </c>
    </row>
    <row r="3203" spans="1:21" x14ac:dyDescent="0.25">
      <c r="A3203" s="33">
        <v>3218</v>
      </c>
      <c r="B3203" s="24">
        <v>44268</v>
      </c>
      <c r="C3203" t="s">
        <v>39</v>
      </c>
      <c r="D3203" t="s">
        <v>41</v>
      </c>
      <c r="E3203">
        <v>2000716726</v>
      </c>
      <c r="F3203">
        <v>1660</v>
      </c>
      <c r="G3203">
        <v>175</v>
      </c>
      <c r="H3203">
        <v>0</v>
      </c>
      <c r="I3203" t="s">
        <v>1065</v>
      </c>
      <c r="J3203" t="s">
        <v>745</v>
      </c>
      <c r="K3203" t="s">
        <v>879</v>
      </c>
      <c r="O3203">
        <v>0</v>
      </c>
      <c r="U3203" t="s">
        <v>81</v>
      </c>
    </row>
    <row r="3204" spans="1:21" x14ac:dyDescent="0.25">
      <c r="A3204" s="33">
        <v>3219</v>
      </c>
      <c r="B3204" s="24">
        <v>44268</v>
      </c>
      <c r="C3204" t="s">
        <v>39</v>
      </c>
      <c r="D3204" t="s">
        <v>41</v>
      </c>
      <c r="E3204">
        <v>2000716731</v>
      </c>
      <c r="F3204">
        <v>1800</v>
      </c>
      <c r="G3204">
        <v>440</v>
      </c>
      <c r="H3204">
        <v>0</v>
      </c>
      <c r="I3204" t="s">
        <v>1065</v>
      </c>
      <c r="J3204" t="s">
        <v>745</v>
      </c>
      <c r="K3204" t="s">
        <v>746</v>
      </c>
      <c r="O3204">
        <v>0</v>
      </c>
      <c r="U3204" t="s">
        <v>81</v>
      </c>
    </row>
    <row r="3205" spans="1:21" x14ac:dyDescent="0.25">
      <c r="A3205" s="33">
        <v>3220</v>
      </c>
      <c r="B3205" s="24">
        <v>44268</v>
      </c>
      <c r="C3205" t="s">
        <v>39</v>
      </c>
      <c r="D3205" t="s">
        <v>51</v>
      </c>
      <c r="E3205">
        <v>2000717028</v>
      </c>
      <c r="F3205">
        <v>700</v>
      </c>
      <c r="G3205">
        <v>180</v>
      </c>
      <c r="H3205">
        <v>0</v>
      </c>
      <c r="I3205" t="s">
        <v>191</v>
      </c>
      <c r="J3205" t="s">
        <v>673</v>
      </c>
      <c r="K3205" t="s">
        <v>951</v>
      </c>
      <c r="O3205">
        <v>0</v>
      </c>
      <c r="U3205" t="s">
        <v>81</v>
      </c>
    </row>
    <row r="3206" spans="1:21" x14ac:dyDescent="0.25">
      <c r="A3206" s="33">
        <v>3221</v>
      </c>
      <c r="B3206" s="24">
        <v>44268</v>
      </c>
      <c r="C3206" t="s">
        <v>39</v>
      </c>
      <c r="D3206" t="s">
        <v>51</v>
      </c>
      <c r="E3206">
        <v>2000717703</v>
      </c>
      <c r="F3206">
        <v>650</v>
      </c>
      <c r="G3206">
        <v>105</v>
      </c>
      <c r="H3206">
        <v>0</v>
      </c>
      <c r="I3206" t="s">
        <v>191</v>
      </c>
      <c r="J3206" t="s">
        <v>667</v>
      </c>
      <c r="K3206" t="s">
        <v>671</v>
      </c>
      <c r="O3206">
        <v>0</v>
      </c>
      <c r="U3206" t="s">
        <v>81</v>
      </c>
    </row>
    <row r="3207" spans="1:21" x14ac:dyDescent="0.25">
      <c r="A3207" s="33">
        <v>3222</v>
      </c>
      <c r="B3207" s="24">
        <v>44268</v>
      </c>
      <c r="C3207" t="s">
        <v>39</v>
      </c>
      <c r="D3207" t="s">
        <v>51</v>
      </c>
      <c r="E3207">
        <v>2000718014</v>
      </c>
      <c r="F3207">
        <v>480</v>
      </c>
      <c r="G3207">
        <v>240</v>
      </c>
      <c r="H3207">
        <v>0</v>
      </c>
      <c r="I3207" t="s">
        <v>191</v>
      </c>
      <c r="J3207" t="s">
        <v>676</v>
      </c>
      <c r="K3207" t="s">
        <v>677</v>
      </c>
      <c r="O3207">
        <v>0</v>
      </c>
      <c r="U3207" t="s">
        <v>81</v>
      </c>
    </row>
    <row r="3208" spans="1:21" x14ac:dyDescent="0.25">
      <c r="A3208" s="33">
        <v>3223</v>
      </c>
      <c r="B3208" s="24">
        <v>44268</v>
      </c>
      <c r="C3208" t="s">
        <v>39</v>
      </c>
      <c r="D3208" t="s">
        <v>51</v>
      </c>
      <c r="E3208">
        <v>2000717693</v>
      </c>
      <c r="F3208">
        <v>130</v>
      </c>
      <c r="G3208">
        <v>75</v>
      </c>
      <c r="H3208">
        <v>0</v>
      </c>
      <c r="I3208" t="s">
        <v>191</v>
      </c>
      <c r="J3208" t="s">
        <v>669</v>
      </c>
      <c r="K3208" t="s">
        <v>903</v>
      </c>
      <c r="O3208">
        <v>0</v>
      </c>
      <c r="U3208" t="s">
        <v>81</v>
      </c>
    </row>
    <row r="3209" spans="1:21" x14ac:dyDescent="0.25">
      <c r="A3209" s="33">
        <v>3224</v>
      </c>
      <c r="B3209" s="24">
        <v>44268</v>
      </c>
      <c r="C3209" t="s">
        <v>39</v>
      </c>
      <c r="D3209" t="s">
        <v>51</v>
      </c>
      <c r="E3209">
        <v>2000718015</v>
      </c>
      <c r="F3209">
        <v>300</v>
      </c>
      <c r="G3209">
        <v>80</v>
      </c>
      <c r="H3209">
        <v>0</v>
      </c>
      <c r="I3209" t="s">
        <v>191</v>
      </c>
      <c r="J3209" t="s">
        <v>673</v>
      </c>
      <c r="K3209" t="s">
        <v>791</v>
      </c>
      <c r="O3209">
        <v>0</v>
      </c>
      <c r="U3209" t="s">
        <v>81</v>
      </c>
    </row>
    <row r="3210" spans="1:21" x14ac:dyDescent="0.25">
      <c r="A3210" s="33">
        <v>3225</v>
      </c>
      <c r="B3210" s="24">
        <v>44268</v>
      </c>
      <c r="C3210" t="s">
        <v>181</v>
      </c>
      <c r="D3210" t="s">
        <v>41</v>
      </c>
      <c r="E3210">
        <v>2000718323</v>
      </c>
      <c r="F3210">
        <v>680</v>
      </c>
      <c r="G3210">
        <v>519</v>
      </c>
      <c r="H3210">
        <v>0</v>
      </c>
      <c r="I3210" t="s">
        <v>183</v>
      </c>
      <c r="J3210" t="s">
        <v>174</v>
      </c>
      <c r="K3210" t="s">
        <v>186</v>
      </c>
      <c r="O3210">
        <v>0</v>
      </c>
      <c r="U3210" t="s">
        <v>81</v>
      </c>
    </row>
    <row r="3211" spans="1:21" x14ac:dyDescent="0.25">
      <c r="A3211" s="33">
        <v>3226</v>
      </c>
      <c r="B3211" s="24">
        <v>44268</v>
      </c>
      <c r="C3211" t="s">
        <v>181</v>
      </c>
      <c r="D3211" t="s">
        <v>41</v>
      </c>
      <c r="E3211">
        <v>2000717872</v>
      </c>
      <c r="F3211">
        <v>540</v>
      </c>
      <c r="G3211">
        <v>40</v>
      </c>
      <c r="H3211">
        <v>0</v>
      </c>
      <c r="I3211" t="s">
        <v>183</v>
      </c>
      <c r="J3211" t="s">
        <v>174</v>
      </c>
      <c r="K3211" t="s">
        <v>805</v>
      </c>
      <c r="O3211">
        <v>0</v>
      </c>
      <c r="U3211" t="s">
        <v>81</v>
      </c>
    </row>
    <row r="3212" spans="1:21" x14ac:dyDescent="0.25">
      <c r="A3212" s="33">
        <v>3227</v>
      </c>
      <c r="B3212" s="24">
        <v>44268</v>
      </c>
      <c r="C3212" t="s">
        <v>181</v>
      </c>
      <c r="D3212" t="s">
        <v>41</v>
      </c>
      <c r="E3212">
        <v>2000717645</v>
      </c>
      <c r="F3212">
        <v>540</v>
      </c>
      <c r="G3212">
        <v>180</v>
      </c>
      <c r="H3212">
        <v>1</v>
      </c>
      <c r="I3212" t="s">
        <v>183</v>
      </c>
      <c r="J3212" t="s">
        <v>174</v>
      </c>
      <c r="K3212" t="s">
        <v>177</v>
      </c>
      <c r="L3212" t="s">
        <v>114</v>
      </c>
      <c r="N3212" t="s">
        <v>1066</v>
      </c>
      <c r="O3212">
        <v>1</v>
      </c>
      <c r="P3212" t="s">
        <v>1067</v>
      </c>
      <c r="Q3212" t="s">
        <v>1068</v>
      </c>
      <c r="R3212" t="s">
        <v>1069</v>
      </c>
      <c r="S3212" s="36">
        <v>0.26527777777777778</v>
      </c>
      <c r="U3212" t="s">
        <v>81</v>
      </c>
    </row>
    <row r="3213" spans="1:21" x14ac:dyDescent="0.25">
      <c r="A3213" s="33">
        <v>3228</v>
      </c>
      <c r="B3213" s="24">
        <v>44268</v>
      </c>
      <c r="C3213" t="s">
        <v>181</v>
      </c>
      <c r="D3213" t="s">
        <v>41</v>
      </c>
      <c r="E3213">
        <v>2000710519</v>
      </c>
      <c r="F3213">
        <v>390</v>
      </c>
      <c r="G3213">
        <v>38</v>
      </c>
      <c r="H3213">
        <v>0</v>
      </c>
      <c r="I3213" t="s">
        <v>184</v>
      </c>
      <c r="J3213" t="s">
        <v>203</v>
      </c>
      <c r="K3213" t="s">
        <v>891</v>
      </c>
      <c r="O3213">
        <v>0</v>
      </c>
      <c r="U3213" t="s">
        <v>81</v>
      </c>
    </row>
    <row r="3214" spans="1:21" x14ac:dyDescent="0.25">
      <c r="A3214" s="33">
        <v>3229</v>
      </c>
      <c r="B3214" s="24">
        <v>44268</v>
      </c>
      <c r="C3214" t="s">
        <v>181</v>
      </c>
      <c r="D3214" t="s">
        <v>41</v>
      </c>
      <c r="E3214">
        <v>2000717738</v>
      </c>
      <c r="F3214">
        <v>780</v>
      </c>
      <c r="G3214">
        <v>450</v>
      </c>
      <c r="H3214">
        <v>0</v>
      </c>
      <c r="I3214" t="s">
        <v>184</v>
      </c>
      <c r="J3214" t="s">
        <v>203</v>
      </c>
      <c r="K3214" t="s">
        <v>768</v>
      </c>
      <c r="O3214">
        <v>0</v>
      </c>
      <c r="U3214" t="s">
        <v>81</v>
      </c>
    </row>
    <row r="3215" spans="1:21" x14ac:dyDescent="0.25">
      <c r="A3215" s="33">
        <v>3230</v>
      </c>
      <c r="B3215" s="24">
        <v>44268</v>
      </c>
      <c r="C3215" t="s">
        <v>181</v>
      </c>
      <c r="D3215" t="s">
        <v>41</v>
      </c>
      <c r="E3215">
        <v>2000717492</v>
      </c>
      <c r="F3215">
        <v>320</v>
      </c>
      <c r="G3215">
        <v>25</v>
      </c>
      <c r="H3215">
        <v>0</v>
      </c>
      <c r="I3215" t="s">
        <v>184</v>
      </c>
      <c r="J3215" t="s">
        <v>745</v>
      </c>
      <c r="K3215" t="s">
        <v>836</v>
      </c>
      <c r="O3215">
        <v>0</v>
      </c>
      <c r="U3215" t="s">
        <v>81</v>
      </c>
    </row>
    <row r="3216" spans="1:21" x14ac:dyDescent="0.25">
      <c r="A3216" s="33">
        <v>3231</v>
      </c>
      <c r="B3216" s="24">
        <v>44268</v>
      </c>
      <c r="C3216" t="s">
        <v>181</v>
      </c>
      <c r="D3216" t="s">
        <v>41</v>
      </c>
      <c r="E3216">
        <v>2000717737</v>
      </c>
      <c r="F3216">
        <v>620</v>
      </c>
      <c r="G3216">
        <v>17</v>
      </c>
      <c r="H3216">
        <v>0</v>
      </c>
      <c r="I3216" t="s">
        <v>184</v>
      </c>
      <c r="J3216" t="s">
        <v>203</v>
      </c>
      <c r="K3216" t="s">
        <v>638</v>
      </c>
      <c r="O3216">
        <v>0</v>
      </c>
      <c r="U3216" t="s">
        <v>81</v>
      </c>
    </row>
    <row r="3217" spans="1:21" x14ac:dyDescent="0.25">
      <c r="A3217" s="33">
        <v>3232</v>
      </c>
      <c r="B3217" s="24">
        <v>44268</v>
      </c>
      <c r="C3217" t="s">
        <v>181</v>
      </c>
      <c r="D3217" t="s">
        <v>41</v>
      </c>
      <c r="E3217">
        <v>2000717622</v>
      </c>
      <c r="F3217">
        <v>700</v>
      </c>
      <c r="G3217">
        <v>30</v>
      </c>
      <c r="H3217">
        <v>0</v>
      </c>
      <c r="I3217" t="s">
        <v>184</v>
      </c>
      <c r="J3217" t="s">
        <v>203</v>
      </c>
      <c r="K3217" t="s">
        <v>785</v>
      </c>
      <c r="O3217">
        <v>0</v>
      </c>
      <c r="U3217" t="s">
        <v>81</v>
      </c>
    </row>
    <row r="3218" spans="1:21" x14ac:dyDescent="0.25">
      <c r="A3218" s="33">
        <v>3233</v>
      </c>
      <c r="B3218" s="24">
        <v>44268</v>
      </c>
      <c r="C3218" t="s">
        <v>181</v>
      </c>
      <c r="D3218" t="s">
        <v>41</v>
      </c>
      <c r="E3218">
        <v>2000715224</v>
      </c>
      <c r="F3218">
        <v>2460</v>
      </c>
      <c r="G3218">
        <v>120</v>
      </c>
      <c r="H3218">
        <v>0</v>
      </c>
      <c r="I3218" t="s">
        <v>693</v>
      </c>
      <c r="J3218" t="s">
        <v>170</v>
      </c>
      <c r="K3218" t="s">
        <v>899</v>
      </c>
      <c r="O3218">
        <v>0</v>
      </c>
      <c r="U3218" t="s">
        <v>81</v>
      </c>
    </row>
    <row r="3219" spans="1:21" x14ac:dyDescent="0.25">
      <c r="A3219" s="33">
        <v>3234</v>
      </c>
      <c r="B3219" s="24">
        <v>44268</v>
      </c>
      <c r="C3219" t="s">
        <v>181</v>
      </c>
      <c r="D3219" t="s">
        <v>41</v>
      </c>
      <c r="E3219">
        <v>2000716482</v>
      </c>
      <c r="F3219">
        <v>1800</v>
      </c>
      <c r="G3219">
        <v>585</v>
      </c>
      <c r="H3219">
        <v>0</v>
      </c>
      <c r="I3219" t="s">
        <v>693</v>
      </c>
      <c r="J3219" t="s">
        <v>170</v>
      </c>
      <c r="K3219" t="s">
        <v>732</v>
      </c>
      <c r="O3219">
        <v>0</v>
      </c>
      <c r="T3219" s="62"/>
      <c r="U3219" t="s">
        <v>81</v>
      </c>
    </row>
    <row r="3220" spans="1:21" x14ac:dyDescent="0.25">
      <c r="A3220" s="33">
        <v>3235</v>
      </c>
      <c r="B3220" s="24">
        <v>44268</v>
      </c>
      <c r="C3220" t="s">
        <v>181</v>
      </c>
      <c r="D3220" t="s">
        <v>41</v>
      </c>
      <c r="E3220">
        <v>2000716731</v>
      </c>
      <c r="F3220">
        <v>1800</v>
      </c>
      <c r="G3220">
        <v>720</v>
      </c>
      <c r="H3220">
        <v>0</v>
      </c>
      <c r="I3220" t="s">
        <v>680</v>
      </c>
      <c r="J3220" t="s">
        <v>745</v>
      </c>
      <c r="K3220" t="s">
        <v>746</v>
      </c>
      <c r="O3220">
        <v>0</v>
      </c>
      <c r="U3220" t="s">
        <v>81</v>
      </c>
    </row>
    <row r="3221" spans="1:21" x14ac:dyDescent="0.25">
      <c r="A3221" s="33">
        <v>3236</v>
      </c>
      <c r="B3221" s="24">
        <v>44268</v>
      </c>
      <c r="C3221" t="s">
        <v>181</v>
      </c>
      <c r="D3221" t="s">
        <v>41</v>
      </c>
      <c r="E3221">
        <v>2000717757</v>
      </c>
      <c r="F3221">
        <v>2300</v>
      </c>
      <c r="G3221">
        <v>150</v>
      </c>
      <c r="H3221">
        <v>0</v>
      </c>
      <c r="I3221" t="s">
        <v>680</v>
      </c>
      <c r="J3221" t="s">
        <v>645</v>
      </c>
      <c r="K3221" t="s">
        <v>658</v>
      </c>
      <c r="O3221">
        <v>0</v>
      </c>
      <c r="U3221" t="s">
        <v>81</v>
      </c>
    </row>
    <row r="3222" spans="1:21" x14ac:dyDescent="0.25">
      <c r="A3222" s="33">
        <v>3237</v>
      </c>
      <c r="B3222" s="24">
        <v>44268</v>
      </c>
      <c r="C3222" t="s">
        <v>181</v>
      </c>
      <c r="D3222" t="s">
        <v>41</v>
      </c>
      <c r="E3222">
        <v>2000717718</v>
      </c>
      <c r="F3222">
        <v>4230</v>
      </c>
      <c r="G3222">
        <v>300</v>
      </c>
      <c r="H3222">
        <v>0</v>
      </c>
      <c r="I3222" t="s">
        <v>680</v>
      </c>
      <c r="J3222" t="s">
        <v>199</v>
      </c>
      <c r="K3222" t="s">
        <v>660</v>
      </c>
      <c r="O3222">
        <v>0</v>
      </c>
      <c r="U3222" t="s">
        <v>81</v>
      </c>
    </row>
    <row r="3223" spans="1:21" x14ac:dyDescent="0.25">
      <c r="A3223" s="33">
        <v>3238</v>
      </c>
      <c r="B3223" s="24">
        <v>44268</v>
      </c>
      <c r="C3223" t="s">
        <v>181</v>
      </c>
      <c r="D3223" t="s">
        <v>41</v>
      </c>
      <c r="E3223">
        <v>2000717744</v>
      </c>
      <c r="F3223">
        <v>1000</v>
      </c>
      <c r="G3223">
        <v>300</v>
      </c>
      <c r="H3223">
        <v>0</v>
      </c>
      <c r="I3223" t="s">
        <v>680</v>
      </c>
      <c r="J3223" t="s">
        <v>172</v>
      </c>
      <c r="K3223" t="s">
        <v>725</v>
      </c>
      <c r="O3223">
        <v>0</v>
      </c>
      <c r="U3223" t="s">
        <v>81</v>
      </c>
    </row>
    <row r="3224" spans="1:21" x14ac:dyDescent="0.25">
      <c r="A3224" s="33">
        <v>3239</v>
      </c>
      <c r="B3224" s="24">
        <v>44268</v>
      </c>
      <c r="C3224" t="s">
        <v>181</v>
      </c>
      <c r="D3224" t="s">
        <v>41</v>
      </c>
      <c r="E3224">
        <v>2000717719</v>
      </c>
      <c r="F3224">
        <v>7830</v>
      </c>
      <c r="G3224">
        <v>300</v>
      </c>
      <c r="H3224">
        <v>0</v>
      </c>
      <c r="I3224" t="s">
        <v>680</v>
      </c>
      <c r="J3224" t="s">
        <v>200</v>
      </c>
      <c r="K3224" t="s">
        <v>737</v>
      </c>
      <c r="O3224">
        <v>0</v>
      </c>
      <c r="U3224" t="s">
        <v>81</v>
      </c>
    </row>
    <row r="3225" spans="1:21" x14ac:dyDescent="0.25">
      <c r="A3225" s="33">
        <v>3240</v>
      </c>
      <c r="B3225" s="24">
        <v>44268</v>
      </c>
      <c r="C3225" t="s">
        <v>181</v>
      </c>
      <c r="D3225" t="s">
        <v>41</v>
      </c>
      <c r="E3225">
        <v>2000717642</v>
      </c>
      <c r="F3225">
        <v>2128</v>
      </c>
      <c r="G3225">
        <v>140</v>
      </c>
      <c r="H3225">
        <v>0</v>
      </c>
      <c r="I3225" t="s">
        <v>680</v>
      </c>
      <c r="J3225" t="s">
        <v>745</v>
      </c>
      <c r="K3225" t="s">
        <v>857</v>
      </c>
      <c r="O3225">
        <v>0</v>
      </c>
      <c r="U3225" t="s">
        <v>81</v>
      </c>
    </row>
    <row r="3226" spans="1:21" x14ac:dyDescent="0.25">
      <c r="A3226" s="33">
        <v>3241</v>
      </c>
      <c r="B3226" s="24">
        <v>44268</v>
      </c>
      <c r="C3226" t="s">
        <v>181</v>
      </c>
      <c r="D3226" t="s">
        <v>41</v>
      </c>
      <c r="E3226">
        <v>2000716846</v>
      </c>
      <c r="F3226">
        <v>1040</v>
      </c>
      <c r="G3226">
        <v>80</v>
      </c>
      <c r="H3226">
        <v>0</v>
      </c>
      <c r="I3226" t="s">
        <v>198</v>
      </c>
      <c r="J3226" t="s">
        <v>193</v>
      </c>
      <c r="K3226" t="s">
        <v>647</v>
      </c>
      <c r="O3226">
        <v>0</v>
      </c>
      <c r="U3226" t="s">
        <v>81</v>
      </c>
    </row>
    <row r="3227" spans="1:21" x14ac:dyDescent="0.25">
      <c r="A3227" s="33">
        <v>3242</v>
      </c>
      <c r="B3227" s="24">
        <v>44268</v>
      </c>
      <c r="C3227" t="s">
        <v>181</v>
      </c>
      <c r="D3227" t="s">
        <v>41</v>
      </c>
      <c r="E3227">
        <v>2000717732</v>
      </c>
      <c r="F3227">
        <v>1000</v>
      </c>
      <c r="G3227">
        <v>20</v>
      </c>
      <c r="H3227">
        <v>0</v>
      </c>
      <c r="I3227" t="s">
        <v>198</v>
      </c>
      <c r="J3227" t="s">
        <v>193</v>
      </c>
      <c r="K3227" t="s">
        <v>647</v>
      </c>
      <c r="O3227">
        <v>0</v>
      </c>
      <c r="T3227" s="62"/>
      <c r="U3227" t="s">
        <v>81</v>
      </c>
    </row>
    <row r="3228" spans="1:21" x14ac:dyDescent="0.25">
      <c r="A3228" s="33">
        <v>3243</v>
      </c>
      <c r="B3228" s="24">
        <v>44268</v>
      </c>
      <c r="C3228" t="s">
        <v>181</v>
      </c>
      <c r="D3228" t="s">
        <v>41</v>
      </c>
      <c r="E3228">
        <v>2000718237</v>
      </c>
      <c r="F3228">
        <v>40</v>
      </c>
      <c r="G3228">
        <v>20</v>
      </c>
      <c r="H3228">
        <v>0</v>
      </c>
      <c r="I3228" t="s">
        <v>198</v>
      </c>
      <c r="J3228" t="s">
        <v>645</v>
      </c>
      <c r="K3228" t="s">
        <v>853</v>
      </c>
      <c r="O3228">
        <v>0</v>
      </c>
      <c r="T3228" s="62"/>
      <c r="U3228" t="s">
        <v>81</v>
      </c>
    </row>
    <row r="3229" spans="1:21" x14ac:dyDescent="0.25">
      <c r="A3229" s="33">
        <v>3244</v>
      </c>
      <c r="B3229" s="24">
        <v>44268</v>
      </c>
      <c r="C3229" t="s">
        <v>181</v>
      </c>
      <c r="D3229" t="s">
        <v>41</v>
      </c>
      <c r="E3229">
        <v>2000718238</v>
      </c>
      <c r="F3229">
        <v>720</v>
      </c>
      <c r="G3229">
        <v>80</v>
      </c>
      <c r="H3229">
        <v>0</v>
      </c>
      <c r="I3229" t="s">
        <v>198</v>
      </c>
      <c r="J3229" t="s">
        <v>645</v>
      </c>
      <c r="K3229" t="s">
        <v>752</v>
      </c>
      <c r="O3229">
        <v>0</v>
      </c>
      <c r="U3229" t="s">
        <v>81</v>
      </c>
    </row>
    <row r="3230" spans="1:21" x14ac:dyDescent="0.25">
      <c r="A3230" s="33">
        <v>3245</v>
      </c>
      <c r="B3230" s="24">
        <v>44268</v>
      </c>
      <c r="C3230" t="s">
        <v>181</v>
      </c>
      <c r="D3230" t="s">
        <v>41</v>
      </c>
      <c r="E3230">
        <v>2000717873</v>
      </c>
      <c r="F3230">
        <v>1110</v>
      </c>
      <c r="G3230">
        <v>90</v>
      </c>
      <c r="H3230">
        <v>0</v>
      </c>
      <c r="I3230" t="s">
        <v>198</v>
      </c>
      <c r="J3230" t="s">
        <v>169</v>
      </c>
      <c r="K3230" t="s">
        <v>179</v>
      </c>
      <c r="O3230">
        <v>0</v>
      </c>
      <c r="U3230" t="s">
        <v>81</v>
      </c>
    </row>
    <row r="3231" spans="1:21" x14ac:dyDescent="0.25">
      <c r="A3231" s="33">
        <v>3246</v>
      </c>
      <c r="B3231" s="24">
        <v>44268</v>
      </c>
      <c r="C3231" t="s">
        <v>181</v>
      </c>
      <c r="D3231" t="s">
        <v>41</v>
      </c>
      <c r="E3231">
        <v>2000718186</v>
      </c>
      <c r="F3231">
        <v>280</v>
      </c>
      <c r="G3231">
        <v>80</v>
      </c>
      <c r="H3231">
        <v>0</v>
      </c>
      <c r="I3231" t="s">
        <v>198</v>
      </c>
      <c r="J3231" t="s">
        <v>169</v>
      </c>
      <c r="K3231" t="s">
        <v>826</v>
      </c>
      <c r="O3231">
        <v>0</v>
      </c>
      <c r="U3231" t="s">
        <v>81</v>
      </c>
    </row>
    <row r="3232" spans="1:21" x14ac:dyDescent="0.25">
      <c r="A3232" s="33">
        <v>3247</v>
      </c>
      <c r="B3232" s="24">
        <v>44268</v>
      </c>
      <c r="C3232" t="s">
        <v>181</v>
      </c>
      <c r="D3232" t="s">
        <v>41</v>
      </c>
      <c r="E3232">
        <v>2000717710</v>
      </c>
      <c r="F3232">
        <v>3200</v>
      </c>
      <c r="G3232">
        <v>160</v>
      </c>
      <c r="H3232">
        <v>0</v>
      </c>
      <c r="I3232" t="s">
        <v>198</v>
      </c>
      <c r="J3232" t="s">
        <v>200</v>
      </c>
      <c r="K3232" t="s">
        <v>653</v>
      </c>
      <c r="O3232">
        <v>0</v>
      </c>
      <c r="U3232" t="s">
        <v>81</v>
      </c>
    </row>
    <row r="3233" spans="1:21" x14ac:dyDescent="0.25">
      <c r="A3233" s="33">
        <v>3248</v>
      </c>
      <c r="B3233" s="24">
        <v>44268</v>
      </c>
      <c r="C3233" t="s">
        <v>181</v>
      </c>
      <c r="D3233" t="s">
        <v>41</v>
      </c>
      <c r="E3233">
        <v>2000717244</v>
      </c>
      <c r="F3233">
        <v>3993</v>
      </c>
      <c r="G3233">
        <v>240</v>
      </c>
      <c r="H3233">
        <v>0</v>
      </c>
      <c r="I3233" t="s">
        <v>198</v>
      </c>
      <c r="J3233" t="s">
        <v>687</v>
      </c>
      <c r="K3233" t="s">
        <v>688</v>
      </c>
      <c r="O3233">
        <v>0</v>
      </c>
      <c r="U3233" t="s">
        <v>81</v>
      </c>
    </row>
    <row r="3234" spans="1:21" x14ac:dyDescent="0.25">
      <c r="A3234" s="33">
        <v>3249</v>
      </c>
      <c r="B3234" s="24">
        <v>44268</v>
      </c>
      <c r="C3234" t="s">
        <v>181</v>
      </c>
      <c r="D3234" t="s">
        <v>41</v>
      </c>
      <c r="E3234">
        <v>2000715800</v>
      </c>
      <c r="F3234">
        <v>20</v>
      </c>
      <c r="G3234">
        <v>20</v>
      </c>
      <c r="H3234">
        <v>0</v>
      </c>
      <c r="I3234" t="s">
        <v>198</v>
      </c>
      <c r="J3234" t="s">
        <v>645</v>
      </c>
      <c r="K3234" t="s">
        <v>853</v>
      </c>
      <c r="O3234">
        <v>0</v>
      </c>
      <c r="U3234" t="s">
        <v>81</v>
      </c>
    </row>
    <row r="3235" spans="1:21" x14ac:dyDescent="0.25">
      <c r="A3235" s="33">
        <v>3250</v>
      </c>
      <c r="B3235" s="24">
        <v>44268</v>
      </c>
      <c r="C3235" t="s">
        <v>181</v>
      </c>
      <c r="D3235" t="s">
        <v>41</v>
      </c>
      <c r="E3235">
        <v>2000718236</v>
      </c>
      <c r="F3235">
        <v>180</v>
      </c>
      <c r="G3235">
        <v>20</v>
      </c>
      <c r="H3235">
        <v>0</v>
      </c>
      <c r="I3235" t="s">
        <v>198</v>
      </c>
      <c r="J3235" t="s">
        <v>645</v>
      </c>
      <c r="K3235" t="s">
        <v>720</v>
      </c>
      <c r="O3235">
        <v>0</v>
      </c>
      <c r="U3235" t="s">
        <v>81</v>
      </c>
    </row>
    <row r="3236" spans="1:21" ht="60" x14ac:dyDescent="0.25">
      <c r="A3236" s="33">
        <v>3251</v>
      </c>
      <c r="B3236" s="24">
        <v>44268</v>
      </c>
      <c r="C3236" t="s">
        <v>181</v>
      </c>
      <c r="D3236" t="s">
        <v>41</v>
      </c>
      <c r="E3236">
        <v>2000718323</v>
      </c>
      <c r="F3236">
        <v>680</v>
      </c>
      <c r="G3236">
        <v>40</v>
      </c>
      <c r="H3236">
        <v>0</v>
      </c>
      <c r="I3236" t="s">
        <v>696</v>
      </c>
      <c r="J3236" t="s">
        <v>174</v>
      </c>
      <c r="K3236" t="s">
        <v>186</v>
      </c>
      <c r="O3236">
        <v>0</v>
      </c>
      <c r="T3236" s="62" t="s">
        <v>821</v>
      </c>
      <c r="U3236" t="s">
        <v>81</v>
      </c>
    </row>
    <row r="3237" spans="1:21" ht="60" x14ac:dyDescent="0.25">
      <c r="A3237" s="33">
        <v>3252</v>
      </c>
      <c r="B3237" s="24">
        <v>44268</v>
      </c>
      <c r="C3237" t="s">
        <v>181</v>
      </c>
      <c r="D3237" t="s">
        <v>41</v>
      </c>
      <c r="E3237">
        <v>2000718547</v>
      </c>
      <c r="F3237">
        <v>446</v>
      </c>
      <c r="G3237">
        <v>245</v>
      </c>
      <c r="H3237">
        <v>0</v>
      </c>
      <c r="I3237" t="s">
        <v>696</v>
      </c>
      <c r="J3237" t="s">
        <v>174</v>
      </c>
      <c r="K3237" t="s">
        <v>662</v>
      </c>
      <c r="O3237">
        <v>0</v>
      </c>
      <c r="T3237" s="62" t="s">
        <v>821</v>
      </c>
      <c r="U3237" t="s">
        <v>81</v>
      </c>
    </row>
    <row r="3238" spans="1:21" ht="60" x14ac:dyDescent="0.25">
      <c r="A3238" s="33">
        <v>3253</v>
      </c>
      <c r="B3238" s="24">
        <v>44268</v>
      </c>
      <c r="C3238" t="s">
        <v>181</v>
      </c>
      <c r="D3238" t="s">
        <v>41</v>
      </c>
      <c r="E3238">
        <v>2000717872</v>
      </c>
      <c r="F3238">
        <v>540</v>
      </c>
      <c r="G3238">
        <v>280</v>
      </c>
      <c r="H3238">
        <v>0</v>
      </c>
      <c r="I3238" t="s">
        <v>696</v>
      </c>
      <c r="J3238" t="s">
        <v>174</v>
      </c>
      <c r="K3238" t="s">
        <v>805</v>
      </c>
      <c r="O3238">
        <v>0</v>
      </c>
      <c r="T3238" s="62" t="s">
        <v>821</v>
      </c>
      <c r="U3238" t="s">
        <v>81</v>
      </c>
    </row>
    <row r="3239" spans="1:21" x14ac:dyDescent="0.25">
      <c r="A3239" s="33">
        <v>3254</v>
      </c>
      <c r="B3239" s="24">
        <v>44268</v>
      </c>
      <c r="C3239" t="s">
        <v>181</v>
      </c>
      <c r="D3239" t="s">
        <v>51</v>
      </c>
      <c r="E3239">
        <v>2000717028</v>
      </c>
      <c r="F3239">
        <v>700</v>
      </c>
      <c r="G3239">
        <v>160</v>
      </c>
      <c r="H3239">
        <v>0</v>
      </c>
      <c r="I3239" t="s">
        <v>706</v>
      </c>
      <c r="J3239" t="s">
        <v>673</v>
      </c>
      <c r="K3239" t="s">
        <v>951</v>
      </c>
      <c r="O3239">
        <v>0</v>
      </c>
      <c r="U3239" t="s">
        <v>81</v>
      </c>
    </row>
    <row r="3240" spans="1:21" x14ac:dyDescent="0.25">
      <c r="A3240" s="33">
        <v>3255</v>
      </c>
      <c r="B3240" s="24">
        <v>44268</v>
      </c>
      <c r="C3240" t="s">
        <v>181</v>
      </c>
      <c r="D3240" t="s">
        <v>51</v>
      </c>
      <c r="E3240">
        <v>2000718025</v>
      </c>
      <c r="F3240">
        <v>360</v>
      </c>
      <c r="G3240">
        <v>360</v>
      </c>
      <c r="H3240">
        <v>0</v>
      </c>
      <c r="I3240" t="s">
        <v>706</v>
      </c>
      <c r="J3240" t="s">
        <v>770</v>
      </c>
      <c r="K3240" t="s">
        <v>777</v>
      </c>
      <c r="O3240">
        <v>0</v>
      </c>
      <c r="U3240" t="s">
        <v>81</v>
      </c>
    </row>
    <row r="3241" spans="1:21" x14ac:dyDescent="0.25">
      <c r="A3241" s="33">
        <v>3256</v>
      </c>
      <c r="B3241" s="24">
        <v>44268</v>
      </c>
      <c r="C3241" t="s">
        <v>181</v>
      </c>
      <c r="D3241" t="s">
        <v>51</v>
      </c>
      <c r="E3241">
        <v>2000718014</v>
      </c>
      <c r="F3241">
        <v>480</v>
      </c>
      <c r="G3241">
        <v>90</v>
      </c>
      <c r="H3241">
        <v>0</v>
      </c>
      <c r="I3241" t="s">
        <v>706</v>
      </c>
      <c r="J3241" t="s">
        <v>676</v>
      </c>
      <c r="K3241" t="s">
        <v>677</v>
      </c>
      <c r="O3241">
        <v>0</v>
      </c>
      <c r="U3241" t="s">
        <v>81</v>
      </c>
    </row>
    <row r="3242" spans="1:21" x14ac:dyDescent="0.25">
      <c r="A3242" s="33">
        <v>3257</v>
      </c>
      <c r="B3242" s="24">
        <v>44268</v>
      </c>
      <c r="C3242" t="s">
        <v>181</v>
      </c>
      <c r="D3242" t="s">
        <v>51</v>
      </c>
      <c r="E3242">
        <v>2000718020</v>
      </c>
      <c r="F3242">
        <v>400</v>
      </c>
      <c r="G3242">
        <v>250</v>
      </c>
      <c r="H3242">
        <v>0</v>
      </c>
      <c r="I3242" t="s">
        <v>706</v>
      </c>
      <c r="J3242" t="s">
        <v>676</v>
      </c>
      <c r="K3242" t="s">
        <v>677</v>
      </c>
      <c r="O3242">
        <v>0</v>
      </c>
      <c r="U3242" t="s">
        <v>81</v>
      </c>
    </row>
    <row r="3243" spans="1:21" x14ac:dyDescent="0.25">
      <c r="A3243" s="33">
        <v>3258</v>
      </c>
      <c r="B3243" s="24">
        <v>44268</v>
      </c>
      <c r="C3243" t="s">
        <v>181</v>
      </c>
      <c r="D3243" t="s">
        <v>51</v>
      </c>
      <c r="E3243">
        <v>2000717693</v>
      </c>
      <c r="F3243">
        <v>130</v>
      </c>
      <c r="G3243">
        <v>54</v>
      </c>
      <c r="H3243">
        <v>0</v>
      </c>
      <c r="I3243" t="s">
        <v>706</v>
      </c>
      <c r="J3243" t="s">
        <v>669</v>
      </c>
      <c r="K3243" t="s">
        <v>903</v>
      </c>
      <c r="O3243">
        <v>0</v>
      </c>
      <c r="U3243" t="s">
        <v>81</v>
      </c>
    </row>
    <row r="3244" spans="1:21" x14ac:dyDescent="0.25">
      <c r="A3244" s="33">
        <v>3259</v>
      </c>
      <c r="B3244" s="24">
        <v>44268</v>
      </c>
      <c r="C3244" t="s">
        <v>181</v>
      </c>
      <c r="D3244" t="s">
        <v>51</v>
      </c>
      <c r="E3244">
        <v>2000716866</v>
      </c>
      <c r="F3244">
        <v>90</v>
      </c>
      <c r="G3244">
        <v>20</v>
      </c>
      <c r="H3244">
        <v>0</v>
      </c>
      <c r="I3244" t="s">
        <v>706</v>
      </c>
      <c r="J3244" t="s">
        <v>669</v>
      </c>
      <c r="K3244" t="s">
        <v>810</v>
      </c>
      <c r="O3244">
        <v>0</v>
      </c>
      <c r="U3244" t="s">
        <v>81</v>
      </c>
    </row>
    <row r="3245" spans="1:21" x14ac:dyDescent="0.25">
      <c r="A3245" s="33">
        <v>3260</v>
      </c>
      <c r="B3245" s="24">
        <v>44268</v>
      </c>
      <c r="C3245" t="s">
        <v>181</v>
      </c>
      <c r="D3245" t="s">
        <v>51</v>
      </c>
      <c r="E3245">
        <v>2000718015</v>
      </c>
      <c r="F3245">
        <v>300</v>
      </c>
      <c r="G3245">
        <v>140</v>
      </c>
      <c r="H3245">
        <v>0</v>
      </c>
      <c r="I3245" t="s">
        <v>706</v>
      </c>
      <c r="J3245" t="s">
        <v>673</v>
      </c>
      <c r="K3245" t="s">
        <v>791</v>
      </c>
      <c r="O3245">
        <v>0</v>
      </c>
      <c r="U3245" t="s">
        <v>81</v>
      </c>
    </row>
    <row r="3246" spans="1:21" x14ac:dyDescent="0.25">
      <c r="A3246" s="33">
        <v>3261</v>
      </c>
      <c r="B3246" s="24">
        <v>44268</v>
      </c>
      <c r="C3246" t="s">
        <v>181</v>
      </c>
      <c r="D3246" t="s">
        <v>51</v>
      </c>
      <c r="E3246">
        <v>2000718016</v>
      </c>
      <c r="F3246">
        <v>700</v>
      </c>
      <c r="G3246">
        <v>90</v>
      </c>
      <c r="H3246">
        <v>0</v>
      </c>
      <c r="I3246" t="s">
        <v>706</v>
      </c>
      <c r="J3246" t="s">
        <v>673</v>
      </c>
      <c r="K3246" t="s">
        <v>672</v>
      </c>
      <c r="O3246">
        <v>0</v>
      </c>
      <c r="U3246" t="s">
        <v>81</v>
      </c>
    </row>
    <row r="3247" spans="1:21" x14ac:dyDescent="0.25">
      <c r="A3247" s="33">
        <v>3262</v>
      </c>
      <c r="B3247" s="24">
        <v>44268</v>
      </c>
      <c r="C3247" t="s">
        <v>181</v>
      </c>
      <c r="D3247" t="s">
        <v>51</v>
      </c>
      <c r="E3247">
        <v>2000718026</v>
      </c>
      <c r="F3247">
        <v>600</v>
      </c>
      <c r="G3247">
        <v>360</v>
      </c>
      <c r="H3247">
        <v>0</v>
      </c>
      <c r="I3247" t="s">
        <v>706</v>
      </c>
      <c r="J3247" t="s">
        <v>770</v>
      </c>
      <c r="K3247" t="s">
        <v>771</v>
      </c>
      <c r="O3247">
        <v>0</v>
      </c>
      <c r="U3247" t="s">
        <v>81</v>
      </c>
    </row>
    <row r="3248" spans="1:21" x14ac:dyDescent="0.25">
      <c r="A3248" s="33">
        <v>3263</v>
      </c>
      <c r="B3248" s="24">
        <v>44269</v>
      </c>
      <c r="C3248" t="s">
        <v>39</v>
      </c>
      <c r="D3248" t="s">
        <v>41</v>
      </c>
      <c r="E3248">
        <v>2000717755</v>
      </c>
      <c r="F3248">
        <v>2300</v>
      </c>
      <c r="G3248">
        <v>200</v>
      </c>
      <c r="H3248">
        <v>0</v>
      </c>
      <c r="I3248" t="s">
        <v>201</v>
      </c>
      <c r="J3248" t="s">
        <v>645</v>
      </c>
      <c r="K3248" t="s">
        <v>756</v>
      </c>
      <c r="O3248">
        <v>0</v>
      </c>
      <c r="U3248" t="s">
        <v>81</v>
      </c>
    </row>
    <row r="3249" spans="1:21" x14ac:dyDescent="0.25">
      <c r="A3249" s="33">
        <v>3264</v>
      </c>
      <c r="B3249" s="24">
        <v>44269</v>
      </c>
      <c r="C3249" t="s">
        <v>39</v>
      </c>
      <c r="D3249" t="s">
        <v>41</v>
      </c>
      <c r="E3249">
        <v>2000717721</v>
      </c>
      <c r="F3249">
        <v>3000</v>
      </c>
      <c r="G3249">
        <v>200</v>
      </c>
      <c r="H3249">
        <v>0</v>
      </c>
      <c r="I3249" t="s">
        <v>201</v>
      </c>
      <c r="J3249" t="s">
        <v>172</v>
      </c>
      <c r="K3249" t="s">
        <v>729</v>
      </c>
      <c r="O3249">
        <v>0</v>
      </c>
      <c r="U3249" t="s">
        <v>81</v>
      </c>
    </row>
    <row r="3250" spans="1:21" x14ac:dyDescent="0.25">
      <c r="A3250" s="33">
        <v>3265</v>
      </c>
      <c r="B3250" s="24">
        <v>44269</v>
      </c>
      <c r="C3250" t="s">
        <v>39</v>
      </c>
      <c r="D3250" t="s">
        <v>41</v>
      </c>
      <c r="E3250">
        <v>2000717640</v>
      </c>
      <c r="F3250">
        <v>1040</v>
      </c>
      <c r="G3250">
        <v>150</v>
      </c>
      <c r="H3250">
        <v>0</v>
      </c>
      <c r="I3250" t="s">
        <v>201</v>
      </c>
      <c r="J3250" t="s">
        <v>195</v>
      </c>
      <c r="K3250" t="s">
        <v>210</v>
      </c>
      <c r="O3250">
        <v>0</v>
      </c>
      <c r="U3250" t="s">
        <v>81</v>
      </c>
    </row>
    <row r="3251" spans="1:21" x14ac:dyDescent="0.25">
      <c r="A3251" s="33">
        <v>3266</v>
      </c>
      <c r="B3251" s="24">
        <v>44269</v>
      </c>
      <c r="C3251" t="s">
        <v>39</v>
      </c>
      <c r="D3251" t="s">
        <v>41</v>
      </c>
      <c r="E3251">
        <v>2000716731</v>
      </c>
      <c r="F3251">
        <v>1800</v>
      </c>
      <c r="G3251">
        <v>200</v>
      </c>
      <c r="H3251">
        <v>0</v>
      </c>
      <c r="I3251" t="s">
        <v>201</v>
      </c>
      <c r="J3251" t="s">
        <v>745</v>
      </c>
      <c r="K3251" t="s">
        <v>746</v>
      </c>
      <c r="O3251">
        <v>0</v>
      </c>
      <c r="U3251" t="s">
        <v>81</v>
      </c>
    </row>
    <row r="3252" spans="1:21" x14ac:dyDescent="0.25">
      <c r="A3252" s="33">
        <v>3267</v>
      </c>
      <c r="B3252" s="24">
        <v>44269</v>
      </c>
      <c r="C3252" t="s">
        <v>39</v>
      </c>
      <c r="D3252" t="s">
        <v>41</v>
      </c>
      <c r="E3252">
        <v>2000717254</v>
      </c>
      <c r="F3252">
        <v>1800</v>
      </c>
      <c r="G3252">
        <v>600</v>
      </c>
      <c r="H3252">
        <v>0</v>
      </c>
      <c r="I3252" t="s">
        <v>201</v>
      </c>
      <c r="J3252" t="s">
        <v>745</v>
      </c>
      <c r="K3252" t="s">
        <v>746</v>
      </c>
      <c r="O3252">
        <v>0</v>
      </c>
      <c r="U3252" t="s">
        <v>81</v>
      </c>
    </row>
    <row r="3253" spans="1:21" x14ac:dyDescent="0.25">
      <c r="A3253" s="33">
        <v>3268</v>
      </c>
      <c r="B3253" s="24">
        <v>44269</v>
      </c>
      <c r="C3253" t="s">
        <v>39</v>
      </c>
      <c r="D3253" t="s">
        <v>41</v>
      </c>
      <c r="E3253">
        <v>2000716842</v>
      </c>
      <c r="F3253">
        <v>1040</v>
      </c>
      <c r="G3253">
        <v>150</v>
      </c>
      <c r="H3253">
        <v>0</v>
      </c>
      <c r="I3253" t="s">
        <v>201</v>
      </c>
      <c r="J3253" t="s">
        <v>193</v>
      </c>
      <c r="K3253" t="s">
        <v>176</v>
      </c>
      <c r="O3253">
        <v>0</v>
      </c>
      <c r="U3253" t="s">
        <v>81</v>
      </c>
    </row>
    <row r="3254" spans="1:21" x14ac:dyDescent="0.25">
      <c r="A3254" s="33">
        <v>3269</v>
      </c>
      <c r="B3254" s="24">
        <v>44269</v>
      </c>
      <c r="C3254" t="s">
        <v>39</v>
      </c>
      <c r="D3254" t="s">
        <v>41</v>
      </c>
      <c r="E3254">
        <v>2000717627</v>
      </c>
      <c r="F3254">
        <v>2400</v>
      </c>
      <c r="G3254">
        <v>150</v>
      </c>
      <c r="H3254">
        <v>0</v>
      </c>
      <c r="I3254" t="s">
        <v>201</v>
      </c>
      <c r="J3254" t="s">
        <v>645</v>
      </c>
      <c r="K3254" t="s">
        <v>658</v>
      </c>
      <c r="O3254">
        <v>0</v>
      </c>
      <c r="U3254" t="s">
        <v>81</v>
      </c>
    </row>
    <row r="3255" spans="1:21" x14ac:dyDescent="0.25">
      <c r="A3255" s="33">
        <v>3270</v>
      </c>
      <c r="B3255" s="24">
        <v>44269</v>
      </c>
      <c r="C3255" t="s">
        <v>39</v>
      </c>
      <c r="D3255" t="s">
        <v>41</v>
      </c>
      <c r="E3255">
        <v>2000717626</v>
      </c>
      <c r="F3255">
        <v>2400</v>
      </c>
      <c r="G3255">
        <v>150</v>
      </c>
      <c r="H3255">
        <v>0</v>
      </c>
      <c r="I3255" t="s">
        <v>201</v>
      </c>
      <c r="J3255" t="s">
        <v>645</v>
      </c>
      <c r="K3255" t="s">
        <v>739</v>
      </c>
      <c r="O3255">
        <v>0</v>
      </c>
      <c r="U3255" t="s">
        <v>81</v>
      </c>
    </row>
    <row r="3256" spans="1:21" x14ac:dyDescent="0.25">
      <c r="A3256" s="33">
        <v>3271</v>
      </c>
      <c r="B3256" s="24">
        <v>44269</v>
      </c>
      <c r="C3256" t="s">
        <v>39</v>
      </c>
      <c r="D3256" t="s">
        <v>41</v>
      </c>
      <c r="E3256">
        <v>2000717872</v>
      </c>
      <c r="F3256">
        <v>540</v>
      </c>
      <c r="G3256">
        <v>180</v>
      </c>
      <c r="H3256">
        <v>0</v>
      </c>
      <c r="I3256" t="s">
        <v>666</v>
      </c>
      <c r="J3256" t="s">
        <v>174</v>
      </c>
      <c r="K3256" t="s">
        <v>805</v>
      </c>
      <c r="O3256">
        <v>0</v>
      </c>
      <c r="U3256" t="s">
        <v>81</v>
      </c>
    </row>
    <row r="3257" spans="1:21" x14ac:dyDescent="0.25">
      <c r="A3257" s="33">
        <v>3272</v>
      </c>
      <c r="B3257" s="24">
        <v>44269</v>
      </c>
      <c r="C3257" t="s">
        <v>39</v>
      </c>
      <c r="D3257" t="s">
        <v>41</v>
      </c>
      <c r="E3257">
        <v>2000718569</v>
      </c>
      <c r="F3257">
        <v>760</v>
      </c>
      <c r="G3257">
        <v>1</v>
      </c>
      <c r="H3257">
        <v>0</v>
      </c>
      <c r="I3257" t="s">
        <v>666</v>
      </c>
      <c r="J3257" t="s">
        <v>174</v>
      </c>
      <c r="K3257" t="s">
        <v>644</v>
      </c>
      <c r="O3257">
        <v>0</v>
      </c>
      <c r="U3257" t="s">
        <v>81</v>
      </c>
    </row>
    <row r="3258" spans="1:21" x14ac:dyDescent="0.25">
      <c r="A3258" s="33">
        <v>3273</v>
      </c>
      <c r="B3258" s="24">
        <v>44269</v>
      </c>
      <c r="C3258" t="s">
        <v>39</v>
      </c>
      <c r="D3258" t="s">
        <v>41</v>
      </c>
      <c r="E3258">
        <v>2000717860</v>
      </c>
      <c r="F3258">
        <v>1000</v>
      </c>
      <c r="G3258">
        <v>440</v>
      </c>
      <c r="H3258">
        <v>0</v>
      </c>
      <c r="I3258" t="s">
        <v>666</v>
      </c>
      <c r="J3258" t="s">
        <v>174</v>
      </c>
      <c r="K3258" t="s">
        <v>177</v>
      </c>
      <c r="O3258">
        <v>0</v>
      </c>
      <c r="U3258" t="s">
        <v>81</v>
      </c>
    </row>
    <row r="3259" spans="1:21" x14ac:dyDescent="0.25">
      <c r="A3259" s="33">
        <v>3274</v>
      </c>
      <c r="B3259" s="24">
        <v>44269</v>
      </c>
      <c r="C3259" t="s">
        <v>39</v>
      </c>
      <c r="D3259" t="s">
        <v>41</v>
      </c>
      <c r="E3259">
        <v>2000715705</v>
      </c>
      <c r="F3259">
        <v>470</v>
      </c>
      <c r="G3259">
        <v>80</v>
      </c>
      <c r="H3259">
        <v>0</v>
      </c>
      <c r="I3259" t="s">
        <v>666</v>
      </c>
      <c r="J3259" t="s">
        <v>172</v>
      </c>
      <c r="K3259" t="s">
        <v>692</v>
      </c>
      <c r="O3259">
        <v>0</v>
      </c>
      <c r="U3259" t="s">
        <v>81</v>
      </c>
    </row>
    <row r="3260" spans="1:21" x14ac:dyDescent="0.25">
      <c r="A3260" s="33">
        <v>3275</v>
      </c>
      <c r="B3260" s="24">
        <v>44269</v>
      </c>
      <c r="C3260" t="s">
        <v>39</v>
      </c>
      <c r="D3260" t="s">
        <v>41</v>
      </c>
      <c r="E3260">
        <v>2000718249</v>
      </c>
      <c r="F3260">
        <v>1200</v>
      </c>
      <c r="G3260">
        <v>30</v>
      </c>
      <c r="H3260">
        <v>0</v>
      </c>
      <c r="I3260" t="s">
        <v>666</v>
      </c>
      <c r="J3260" t="s">
        <v>645</v>
      </c>
      <c r="K3260" t="s">
        <v>790</v>
      </c>
      <c r="O3260">
        <v>0</v>
      </c>
      <c r="U3260" t="s">
        <v>81</v>
      </c>
    </row>
    <row r="3261" spans="1:21" x14ac:dyDescent="0.25">
      <c r="A3261" s="33">
        <v>3276</v>
      </c>
      <c r="B3261" s="24">
        <v>44269</v>
      </c>
      <c r="C3261" t="s">
        <v>39</v>
      </c>
      <c r="D3261" t="s">
        <v>41</v>
      </c>
      <c r="E3261">
        <v>2000717642</v>
      </c>
      <c r="F3261">
        <v>2128</v>
      </c>
      <c r="G3261">
        <v>710</v>
      </c>
      <c r="H3261">
        <v>0</v>
      </c>
      <c r="I3261" t="s">
        <v>789</v>
      </c>
      <c r="J3261" t="s">
        <v>745</v>
      </c>
      <c r="K3261" t="s">
        <v>857</v>
      </c>
      <c r="O3261">
        <v>0</v>
      </c>
      <c r="U3261" t="s">
        <v>81</v>
      </c>
    </row>
    <row r="3262" spans="1:21" x14ac:dyDescent="0.25">
      <c r="A3262" s="33">
        <v>3277</v>
      </c>
      <c r="B3262" s="24">
        <v>44269</v>
      </c>
      <c r="C3262" t="s">
        <v>39</v>
      </c>
      <c r="D3262" t="s">
        <v>41</v>
      </c>
      <c r="E3262">
        <v>2000715193</v>
      </c>
      <c r="F3262">
        <v>1680</v>
      </c>
      <c r="G3262">
        <v>240</v>
      </c>
      <c r="H3262">
        <v>0</v>
      </c>
      <c r="I3262" t="s">
        <v>789</v>
      </c>
      <c r="J3262" t="s">
        <v>203</v>
      </c>
      <c r="K3262" t="s">
        <v>640</v>
      </c>
      <c r="O3262">
        <v>0</v>
      </c>
      <c r="U3262" t="s">
        <v>81</v>
      </c>
    </row>
    <row r="3263" spans="1:21" x14ac:dyDescent="0.25">
      <c r="A3263" s="33">
        <v>3278</v>
      </c>
      <c r="B3263" s="24">
        <v>44269</v>
      </c>
      <c r="C3263" t="s">
        <v>39</v>
      </c>
      <c r="D3263" t="s">
        <v>41</v>
      </c>
      <c r="E3263">
        <v>2000717861</v>
      </c>
      <c r="F3263">
        <v>760</v>
      </c>
      <c r="G3263">
        <v>200</v>
      </c>
      <c r="H3263">
        <v>0</v>
      </c>
      <c r="I3263" t="s">
        <v>789</v>
      </c>
      <c r="J3263" t="s">
        <v>174</v>
      </c>
      <c r="K3263" t="s">
        <v>644</v>
      </c>
      <c r="O3263">
        <v>0</v>
      </c>
      <c r="U3263" t="s">
        <v>81</v>
      </c>
    </row>
    <row r="3264" spans="1:21" x14ac:dyDescent="0.25">
      <c r="A3264" s="33">
        <v>3279</v>
      </c>
      <c r="B3264" s="24">
        <v>44269</v>
      </c>
      <c r="C3264" t="s">
        <v>39</v>
      </c>
      <c r="D3264" t="s">
        <v>41</v>
      </c>
      <c r="E3264">
        <v>2000717860</v>
      </c>
      <c r="F3264">
        <v>1000</v>
      </c>
      <c r="G3264">
        <v>80</v>
      </c>
      <c r="H3264">
        <v>0</v>
      </c>
      <c r="I3264" t="s">
        <v>194</v>
      </c>
      <c r="J3264" t="s">
        <v>174</v>
      </c>
      <c r="K3264" t="s">
        <v>177</v>
      </c>
      <c r="O3264">
        <v>0</v>
      </c>
      <c r="U3264" t="s">
        <v>81</v>
      </c>
    </row>
    <row r="3265" spans="1:21" x14ac:dyDescent="0.25">
      <c r="A3265" s="33">
        <v>3280</v>
      </c>
      <c r="B3265" s="24">
        <v>44269</v>
      </c>
      <c r="C3265" t="s">
        <v>39</v>
      </c>
      <c r="D3265" t="s">
        <v>41</v>
      </c>
      <c r="E3265">
        <v>2000718259</v>
      </c>
      <c r="F3265">
        <v>2400</v>
      </c>
      <c r="G3265">
        <v>120</v>
      </c>
      <c r="H3265">
        <v>0</v>
      </c>
      <c r="I3265" t="s">
        <v>194</v>
      </c>
      <c r="J3265" t="s">
        <v>645</v>
      </c>
      <c r="K3265" t="s">
        <v>721</v>
      </c>
      <c r="O3265">
        <v>0</v>
      </c>
      <c r="U3265" t="s">
        <v>81</v>
      </c>
    </row>
    <row r="3266" spans="1:21" x14ac:dyDescent="0.25">
      <c r="A3266" s="33">
        <v>3281</v>
      </c>
      <c r="B3266" s="24">
        <v>44269</v>
      </c>
      <c r="C3266" t="s">
        <v>39</v>
      </c>
      <c r="D3266" t="s">
        <v>41</v>
      </c>
      <c r="E3266">
        <v>2000718203</v>
      </c>
      <c r="F3266">
        <v>2300</v>
      </c>
      <c r="G3266">
        <v>60</v>
      </c>
      <c r="H3266">
        <v>0</v>
      </c>
      <c r="I3266" t="s">
        <v>194</v>
      </c>
      <c r="J3266" t="s">
        <v>172</v>
      </c>
      <c r="K3266" t="s">
        <v>173</v>
      </c>
      <c r="O3266">
        <v>0</v>
      </c>
      <c r="U3266" t="s">
        <v>81</v>
      </c>
    </row>
    <row r="3267" spans="1:21" x14ac:dyDescent="0.25">
      <c r="A3267" s="33">
        <v>3282</v>
      </c>
      <c r="B3267" s="24">
        <v>44269</v>
      </c>
      <c r="C3267" t="s">
        <v>39</v>
      </c>
      <c r="D3267" t="s">
        <v>41</v>
      </c>
      <c r="E3267">
        <v>2000717645</v>
      </c>
      <c r="F3267">
        <v>540</v>
      </c>
      <c r="G3267">
        <v>20</v>
      </c>
      <c r="H3267">
        <v>0</v>
      </c>
      <c r="I3267" t="s">
        <v>194</v>
      </c>
      <c r="J3267" t="s">
        <v>174</v>
      </c>
      <c r="K3267" t="s">
        <v>177</v>
      </c>
      <c r="O3267">
        <v>0</v>
      </c>
      <c r="U3267" t="s">
        <v>81</v>
      </c>
    </row>
    <row r="3268" spans="1:21" x14ac:dyDescent="0.25">
      <c r="A3268" s="33">
        <v>3283</v>
      </c>
      <c r="B3268" s="24">
        <v>44269</v>
      </c>
      <c r="C3268" t="s">
        <v>39</v>
      </c>
      <c r="D3268" t="s">
        <v>41</v>
      </c>
      <c r="E3268">
        <v>2000718339</v>
      </c>
      <c r="F3268">
        <v>140</v>
      </c>
      <c r="G3268">
        <v>20</v>
      </c>
      <c r="H3268">
        <v>0</v>
      </c>
      <c r="I3268" t="s">
        <v>194</v>
      </c>
      <c r="J3268" t="s">
        <v>796</v>
      </c>
      <c r="K3268" t="s">
        <v>797</v>
      </c>
      <c r="O3268">
        <v>0</v>
      </c>
      <c r="U3268" t="s">
        <v>81</v>
      </c>
    </row>
    <row r="3269" spans="1:21" x14ac:dyDescent="0.25">
      <c r="A3269" s="33">
        <v>3284</v>
      </c>
      <c r="B3269" s="24">
        <v>44269</v>
      </c>
      <c r="C3269" t="s">
        <v>39</v>
      </c>
      <c r="D3269" t="s">
        <v>41</v>
      </c>
      <c r="E3269">
        <v>2000717732</v>
      </c>
      <c r="F3269">
        <v>1000</v>
      </c>
      <c r="G3269">
        <v>60</v>
      </c>
      <c r="H3269">
        <v>0</v>
      </c>
      <c r="I3269" t="s">
        <v>194</v>
      </c>
      <c r="J3269" t="s">
        <v>193</v>
      </c>
      <c r="K3269" t="s">
        <v>647</v>
      </c>
      <c r="O3269">
        <v>0</v>
      </c>
      <c r="U3269" t="s">
        <v>81</v>
      </c>
    </row>
    <row r="3270" spans="1:21" x14ac:dyDescent="0.25">
      <c r="A3270" s="33">
        <v>3285</v>
      </c>
      <c r="B3270" s="24">
        <v>44269</v>
      </c>
      <c r="C3270" t="s">
        <v>39</v>
      </c>
      <c r="D3270" t="s">
        <v>41</v>
      </c>
      <c r="E3270">
        <v>2000718287</v>
      </c>
      <c r="F3270">
        <v>2368</v>
      </c>
      <c r="G3270">
        <v>120</v>
      </c>
      <c r="H3270">
        <v>0</v>
      </c>
      <c r="I3270" t="s">
        <v>194</v>
      </c>
      <c r="J3270" t="s">
        <v>655</v>
      </c>
      <c r="K3270" t="s">
        <v>656</v>
      </c>
      <c r="O3270">
        <v>0</v>
      </c>
      <c r="U3270" t="s">
        <v>81</v>
      </c>
    </row>
    <row r="3271" spans="1:21" x14ac:dyDescent="0.25">
      <c r="A3271" s="33">
        <v>3286</v>
      </c>
      <c r="B3271" s="24">
        <v>44269</v>
      </c>
      <c r="C3271" t="s">
        <v>39</v>
      </c>
      <c r="D3271" t="s">
        <v>41</v>
      </c>
      <c r="E3271">
        <v>2000717725</v>
      </c>
      <c r="F3271">
        <v>900</v>
      </c>
      <c r="G3271">
        <v>80</v>
      </c>
      <c r="H3271">
        <v>0</v>
      </c>
      <c r="I3271" t="s">
        <v>194</v>
      </c>
      <c r="J3271" t="s">
        <v>169</v>
      </c>
      <c r="K3271" t="s">
        <v>190</v>
      </c>
      <c r="O3271">
        <v>0</v>
      </c>
      <c r="U3271" t="s">
        <v>81</v>
      </c>
    </row>
    <row r="3272" spans="1:21" x14ac:dyDescent="0.25">
      <c r="A3272" s="33">
        <v>3287</v>
      </c>
      <c r="B3272" s="24">
        <v>44269</v>
      </c>
      <c r="C3272" t="s">
        <v>39</v>
      </c>
      <c r="D3272" t="s">
        <v>41</v>
      </c>
      <c r="E3272">
        <v>2000717872</v>
      </c>
      <c r="F3272">
        <v>540</v>
      </c>
      <c r="G3272">
        <v>40</v>
      </c>
      <c r="H3272">
        <v>0</v>
      </c>
      <c r="I3272" t="s">
        <v>194</v>
      </c>
      <c r="J3272" t="s">
        <v>174</v>
      </c>
      <c r="K3272" t="s">
        <v>805</v>
      </c>
      <c r="O3272">
        <v>0</v>
      </c>
      <c r="U3272" t="s">
        <v>81</v>
      </c>
    </row>
    <row r="3273" spans="1:21" x14ac:dyDescent="0.25">
      <c r="A3273" s="33">
        <v>3288</v>
      </c>
      <c r="B3273" s="24">
        <v>44269</v>
      </c>
      <c r="C3273" t="s">
        <v>39</v>
      </c>
      <c r="D3273" t="s">
        <v>41</v>
      </c>
      <c r="E3273">
        <v>2000716482</v>
      </c>
      <c r="F3273">
        <v>1800</v>
      </c>
      <c r="G3273">
        <v>450</v>
      </c>
      <c r="H3273">
        <v>0</v>
      </c>
      <c r="I3273" t="s">
        <v>661</v>
      </c>
      <c r="J3273" t="s">
        <v>170</v>
      </c>
      <c r="K3273" t="s">
        <v>732</v>
      </c>
      <c r="O3273">
        <v>0</v>
      </c>
      <c r="U3273" t="s">
        <v>81</v>
      </c>
    </row>
    <row r="3274" spans="1:21" x14ac:dyDescent="0.25">
      <c r="A3274" s="33">
        <v>3289</v>
      </c>
      <c r="B3274" s="24">
        <v>44269</v>
      </c>
      <c r="C3274" t="s">
        <v>39</v>
      </c>
      <c r="D3274" t="s">
        <v>41</v>
      </c>
      <c r="E3274">
        <v>2000716482</v>
      </c>
      <c r="F3274">
        <v>1800</v>
      </c>
      <c r="G3274">
        <v>225</v>
      </c>
      <c r="H3274">
        <v>0</v>
      </c>
      <c r="I3274" t="s">
        <v>661</v>
      </c>
      <c r="J3274" t="s">
        <v>170</v>
      </c>
      <c r="K3274" t="s">
        <v>732</v>
      </c>
      <c r="O3274">
        <v>0</v>
      </c>
      <c r="U3274" t="s">
        <v>81</v>
      </c>
    </row>
    <row r="3275" spans="1:21" x14ac:dyDescent="0.25">
      <c r="A3275" s="33">
        <v>3290</v>
      </c>
      <c r="B3275" s="24">
        <v>44269</v>
      </c>
      <c r="C3275" t="s">
        <v>39</v>
      </c>
      <c r="D3275" t="s">
        <v>41</v>
      </c>
      <c r="E3275">
        <v>2000715224</v>
      </c>
      <c r="F3275">
        <v>2460</v>
      </c>
      <c r="G3275">
        <v>45</v>
      </c>
      <c r="H3275">
        <v>0</v>
      </c>
      <c r="I3275" t="s">
        <v>661</v>
      </c>
      <c r="J3275" t="s">
        <v>170</v>
      </c>
      <c r="K3275" t="s">
        <v>899</v>
      </c>
      <c r="O3275">
        <v>0</v>
      </c>
      <c r="U3275" t="s">
        <v>81</v>
      </c>
    </row>
    <row r="3276" spans="1:21" x14ac:dyDescent="0.25">
      <c r="A3276" s="33">
        <v>3291</v>
      </c>
      <c r="B3276" s="24">
        <v>44269</v>
      </c>
      <c r="C3276" t="s">
        <v>39</v>
      </c>
      <c r="D3276" t="s">
        <v>41</v>
      </c>
      <c r="E3276">
        <v>2000716482</v>
      </c>
      <c r="F3276">
        <v>1800</v>
      </c>
      <c r="G3276">
        <v>149</v>
      </c>
      <c r="H3276">
        <v>0</v>
      </c>
      <c r="I3276" t="s">
        <v>178</v>
      </c>
      <c r="J3276" t="s">
        <v>170</v>
      </c>
      <c r="K3276" t="s">
        <v>732</v>
      </c>
      <c r="O3276">
        <v>0</v>
      </c>
      <c r="U3276" t="s">
        <v>81</v>
      </c>
    </row>
    <row r="3277" spans="1:21" x14ac:dyDescent="0.25">
      <c r="A3277" s="33">
        <v>3292</v>
      </c>
      <c r="B3277" s="24">
        <v>44269</v>
      </c>
      <c r="C3277" t="s">
        <v>39</v>
      </c>
      <c r="D3277" t="s">
        <v>41</v>
      </c>
      <c r="E3277">
        <v>2000717738</v>
      </c>
      <c r="F3277">
        <v>780</v>
      </c>
      <c r="G3277">
        <v>221</v>
      </c>
      <c r="H3277">
        <v>0</v>
      </c>
      <c r="I3277" t="s">
        <v>178</v>
      </c>
      <c r="J3277" t="s">
        <v>203</v>
      </c>
      <c r="K3277" t="s">
        <v>768</v>
      </c>
      <c r="O3277">
        <v>0</v>
      </c>
      <c r="U3277" t="s">
        <v>81</v>
      </c>
    </row>
    <row r="3278" spans="1:21" x14ac:dyDescent="0.25">
      <c r="A3278" s="33">
        <v>3293</v>
      </c>
      <c r="B3278" s="24">
        <v>44269</v>
      </c>
      <c r="C3278" t="s">
        <v>39</v>
      </c>
      <c r="D3278" t="s">
        <v>41</v>
      </c>
      <c r="E3278">
        <v>2000718170</v>
      </c>
      <c r="F3278">
        <v>670</v>
      </c>
      <c r="G3278">
        <v>170</v>
      </c>
      <c r="H3278">
        <v>0</v>
      </c>
      <c r="I3278" t="s">
        <v>178</v>
      </c>
      <c r="J3278" t="s">
        <v>203</v>
      </c>
      <c r="K3278" t="s">
        <v>785</v>
      </c>
      <c r="O3278">
        <v>0</v>
      </c>
      <c r="U3278" t="s">
        <v>81</v>
      </c>
    </row>
    <row r="3279" spans="1:21" x14ac:dyDescent="0.25">
      <c r="A3279" s="33">
        <v>3294</v>
      </c>
      <c r="B3279" s="24">
        <v>44269</v>
      </c>
      <c r="C3279" t="s">
        <v>39</v>
      </c>
      <c r="D3279" t="s">
        <v>51</v>
      </c>
      <c r="E3279">
        <v>2000718011</v>
      </c>
      <c r="F3279">
        <v>480</v>
      </c>
      <c r="G3279">
        <v>480</v>
      </c>
      <c r="H3279">
        <v>0</v>
      </c>
      <c r="I3279" t="s">
        <v>191</v>
      </c>
      <c r="J3279" t="s">
        <v>669</v>
      </c>
      <c r="K3279" t="s">
        <v>679</v>
      </c>
      <c r="O3279">
        <v>0</v>
      </c>
      <c r="U3279" t="s">
        <v>81</v>
      </c>
    </row>
    <row r="3280" spans="1:21" x14ac:dyDescent="0.25">
      <c r="A3280" s="33">
        <v>3295</v>
      </c>
      <c r="B3280" s="24">
        <v>44269</v>
      </c>
      <c r="C3280" t="s">
        <v>39</v>
      </c>
      <c r="D3280" t="s">
        <v>51</v>
      </c>
      <c r="E3280">
        <v>2000718020</v>
      </c>
      <c r="F3280">
        <v>400</v>
      </c>
      <c r="G3280">
        <v>150</v>
      </c>
      <c r="H3280">
        <v>0</v>
      </c>
      <c r="I3280" t="s">
        <v>191</v>
      </c>
      <c r="J3280" t="s">
        <v>676</v>
      </c>
      <c r="K3280" t="s">
        <v>677</v>
      </c>
      <c r="O3280">
        <v>0</v>
      </c>
      <c r="U3280" t="s">
        <v>81</v>
      </c>
    </row>
    <row r="3281" spans="1:21" x14ac:dyDescent="0.25">
      <c r="A3281" s="33">
        <v>3296</v>
      </c>
      <c r="B3281" s="24">
        <v>44269</v>
      </c>
      <c r="C3281" t="s">
        <v>39</v>
      </c>
      <c r="D3281" t="s">
        <v>51</v>
      </c>
      <c r="E3281">
        <v>2000718390</v>
      </c>
      <c r="F3281">
        <v>400</v>
      </c>
      <c r="G3281">
        <v>170</v>
      </c>
      <c r="H3281">
        <v>0</v>
      </c>
      <c r="I3281" t="s">
        <v>191</v>
      </c>
      <c r="J3281" t="s">
        <v>676</v>
      </c>
      <c r="K3281" t="s">
        <v>677</v>
      </c>
      <c r="O3281">
        <v>0</v>
      </c>
      <c r="U3281" t="s">
        <v>81</v>
      </c>
    </row>
    <row r="3282" spans="1:21" x14ac:dyDescent="0.25">
      <c r="A3282" s="33">
        <v>3297</v>
      </c>
      <c r="B3282" s="24">
        <v>44269</v>
      </c>
      <c r="C3282" t="s">
        <v>39</v>
      </c>
      <c r="D3282" t="s">
        <v>51</v>
      </c>
      <c r="E3282">
        <v>2000717028</v>
      </c>
      <c r="F3282">
        <v>700</v>
      </c>
      <c r="G3282">
        <v>150</v>
      </c>
      <c r="H3282">
        <v>0</v>
      </c>
      <c r="I3282" t="s">
        <v>191</v>
      </c>
      <c r="J3282" t="s">
        <v>673</v>
      </c>
      <c r="K3282" t="s">
        <v>951</v>
      </c>
      <c r="O3282">
        <v>0</v>
      </c>
      <c r="U3282" t="s">
        <v>81</v>
      </c>
    </row>
    <row r="3283" spans="1:21" x14ac:dyDescent="0.25">
      <c r="A3283" s="33">
        <v>3298</v>
      </c>
      <c r="B3283" s="24">
        <v>44269</v>
      </c>
      <c r="C3283" t="s">
        <v>39</v>
      </c>
      <c r="D3283" t="s">
        <v>51</v>
      </c>
      <c r="E3283">
        <v>2000717312</v>
      </c>
      <c r="F3283">
        <v>450</v>
      </c>
      <c r="G3283">
        <v>70</v>
      </c>
      <c r="H3283">
        <v>0</v>
      </c>
      <c r="I3283" t="s">
        <v>191</v>
      </c>
      <c r="J3283" t="s">
        <v>673</v>
      </c>
      <c r="K3283" t="s">
        <v>951</v>
      </c>
      <c r="O3283">
        <v>0</v>
      </c>
      <c r="U3283" t="s">
        <v>81</v>
      </c>
    </row>
    <row r="3284" spans="1:21" x14ac:dyDescent="0.25">
      <c r="A3284" s="33">
        <v>3299</v>
      </c>
      <c r="B3284" s="24">
        <v>44269</v>
      </c>
      <c r="C3284" t="s">
        <v>181</v>
      </c>
      <c r="D3284" t="s">
        <v>41</v>
      </c>
      <c r="E3284">
        <v>2000718092</v>
      </c>
      <c r="F3284">
        <v>1430</v>
      </c>
      <c r="G3284">
        <v>120</v>
      </c>
      <c r="H3284">
        <v>0</v>
      </c>
      <c r="I3284" t="s">
        <v>185</v>
      </c>
      <c r="J3284" t="s">
        <v>169</v>
      </c>
      <c r="K3284" t="s">
        <v>179</v>
      </c>
      <c r="O3284">
        <v>0</v>
      </c>
      <c r="U3284" t="s">
        <v>81</v>
      </c>
    </row>
    <row r="3285" spans="1:21" x14ac:dyDescent="0.25">
      <c r="A3285" s="33">
        <v>3300</v>
      </c>
      <c r="B3285" s="24">
        <v>44269</v>
      </c>
      <c r="C3285" t="s">
        <v>181</v>
      </c>
      <c r="D3285" t="s">
        <v>41</v>
      </c>
      <c r="E3285">
        <v>2000717745</v>
      </c>
      <c r="F3285">
        <v>1000</v>
      </c>
      <c r="G3285">
        <v>100</v>
      </c>
      <c r="H3285">
        <v>0</v>
      </c>
      <c r="I3285" t="s">
        <v>185</v>
      </c>
      <c r="J3285" t="s">
        <v>172</v>
      </c>
      <c r="K3285" t="s">
        <v>724</v>
      </c>
      <c r="O3285">
        <v>0</v>
      </c>
      <c r="U3285" t="s">
        <v>81</v>
      </c>
    </row>
    <row r="3286" spans="1:21" x14ac:dyDescent="0.25">
      <c r="A3286" s="33">
        <v>3301</v>
      </c>
      <c r="B3286" s="24">
        <v>44269</v>
      </c>
      <c r="C3286" t="s">
        <v>181</v>
      </c>
      <c r="D3286" t="s">
        <v>41</v>
      </c>
      <c r="E3286">
        <v>2000718249</v>
      </c>
      <c r="F3286">
        <v>1200</v>
      </c>
      <c r="G3286">
        <v>50</v>
      </c>
      <c r="H3286">
        <v>0</v>
      </c>
      <c r="I3286" t="s">
        <v>185</v>
      </c>
      <c r="J3286" t="s">
        <v>645</v>
      </c>
      <c r="K3286" t="s">
        <v>790</v>
      </c>
      <c r="O3286">
        <v>0</v>
      </c>
      <c r="U3286" t="s">
        <v>81</v>
      </c>
    </row>
    <row r="3287" spans="1:21" ht="30" x14ac:dyDescent="0.25">
      <c r="A3287" s="33">
        <v>3302</v>
      </c>
      <c r="B3287" s="24">
        <v>44269</v>
      </c>
      <c r="C3287" t="s">
        <v>181</v>
      </c>
      <c r="D3287" t="s">
        <v>41</v>
      </c>
      <c r="E3287">
        <v>2000718203</v>
      </c>
      <c r="F3287">
        <v>2300</v>
      </c>
      <c r="G3287">
        <v>70</v>
      </c>
      <c r="H3287">
        <v>0</v>
      </c>
      <c r="I3287" t="s">
        <v>185</v>
      </c>
      <c r="J3287" t="s">
        <v>172</v>
      </c>
      <c r="K3287" t="s">
        <v>173</v>
      </c>
      <c r="O3287">
        <v>0</v>
      </c>
      <c r="T3287" s="62" t="s">
        <v>723</v>
      </c>
      <c r="U3287" t="s">
        <v>81</v>
      </c>
    </row>
    <row r="3288" spans="1:21" x14ac:dyDescent="0.25">
      <c r="A3288" s="33">
        <v>3303</v>
      </c>
      <c r="B3288" s="24">
        <v>44269</v>
      </c>
      <c r="C3288" t="s">
        <v>181</v>
      </c>
      <c r="D3288" t="s">
        <v>41</v>
      </c>
      <c r="E3288">
        <v>2000718215</v>
      </c>
      <c r="F3288">
        <v>1800</v>
      </c>
      <c r="G3288">
        <v>90</v>
      </c>
      <c r="H3288">
        <v>0</v>
      </c>
      <c r="I3288" t="s">
        <v>185</v>
      </c>
      <c r="J3288" t="s">
        <v>193</v>
      </c>
      <c r="K3288" t="s">
        <v>647</v>
      </c>
      <c r="O3288">
        <v>0</v>
      </c>
      <c r="U3288" t="s">
        <v>81</v>
      </c>
    </row>
    <row r="3289" spans="1:21" x14ac:dyDescent="0.25">
      <c r="A3289" s="33">
        <v>3304</v>
      </c>
      <c r="B3289" s="24">
        <v>44269</v>
      </c>
      <c r="C3289" t="s">
        <v>181</v>
      </c>
      <c r="D3289" t="s">
        <v>41</v>
      </c>
      <c r="E3289">
        <v>2000718059</v>
      </c>
      <c r="F3289">
        <v>2720</v>
      </c>
      <c r="G3289">
        <v>120</v>
      </c>
      <c r="H3289">
        <v>0</v>
      </c>
      <c r="I3289" t="s">
        <v>185</v>
      </c>
      <c r="J3289" t="s">
        <v>200</v>
      </c>
      <c r="K3289" t="s">
        <v>653</v>
      </c>
      <c r="O3289">
        <v>0</v>
      </c>
      <c r="U3289" t="s">
        <v>81</v>
      </c>
    </row>
    <row r="3290" spans="1:21" x14ac:dyDescent="0.25">
      <c r="A3290" s="33">
        <v>3305</v>
      </c>
      <c r="B3290" s="24">
        <v>44269</v>
      </c>
      <c r="C3290" t="s">
        <v>181</v>
      </c>
      <c r="D3290" t="s">
        <v>41</v>
      </c>
      <c r="E3290">
        <v>2000718239</v>
      </c>
      <c r="F3290">
        <v>490</v>
      </c>
      <c r="G3290">
        <v>80</v>
      </c>
      <c r="H3290">
        <v>0</v>
      </c>
      <c r="I3290" t="s">
        <v>185</v>
      </c>
      <c r="J3290" t="s">
        <v>175</v>
      </c>
      <c r="K3290" t="s">
        <v>758</v>
      </c>
      <c r="O3290">
        <v>0</v>
      </c>
      <c r="U3290" t="s">
        <v>81</v>
      </c>
    </row>
    <row r="3291" spans="1:21" x14ac:dyDescent="0.25">
      <c r="A3291" s="33">
        <v>3306</v>
      </c>
      <c r="B3291" s="24">
        <v>44269</v>
      </c>
      <c r="C3291" t="s">
        <v>181</v>
      </c>
      <c r="D3291" t="s">
        <v>41</v>
      </c>
      <c r="E3291">
        <v>2000718187</v>
      </c>
      <c r="F3291">
        <v>900</v>
      </c>
      <c r="G3291">
        <v>20</v>
      </c>
      <c r="H3291">
        <v>0</v>
      </c>
      <c r="I3291" t="s">
        <v>185</v>
      </c>
      <c r="J3291" t="s">
        <v>169</v>
      </c>
      <c r="K3291" t="s">
        <v>190</v>
      </c>
      <c r="O3291">
        <v>0</v>
      </c>
      <c r="U3291" t="s">
        <v>81</v>
      </c>
    </row>
    <row r="3292" spans="1:21" x14ac:dyDescent="0.25">
      <c r="A3292" s="33">
        <v>3307</v>
      </c>
      <c r="B3292" s="24">
        <v>44269</v>
      </c>
      <c r="C3292" t="s">
        <v>181</v>
      </c>
      <c r="D3292" t="s">
        <v>41</v>
      </c>
      <c r="E3292">
        <v>2000716482</v>
      </c>
      <c r="F3292">
        <v>1800</v>
      </c>
      <c r="G3292">
        <v>254</v>
      </c>
      <c r="H3292">
        <v>0</v>
      </c>
      <c r="I3292" t="s">
        <v>706</v>
      </c>
      <c r="J3292" t="s">
        <v>170</v>
      </c>
      <c r="K3292" t="s">
        <v>732</v>
      </c>
      <c r="O3292">
        <v>0</v>
      </c>
      <c r="U3292" t="s">
        <v>81</v>
      </c>
    </row>
    <row r="3293" spans="1:21" x14ac:dyDescent="0.25">
      <c r="A3293" s="33">
        <v>3308</v>
      </c>
      <c r="B3293" s="24">
        <v>44269</v>
      </c>
      <c r="C3293" t="s">
        <v>181</v>
      </c>
      <c r="D3293" t="s">
        <v>41</v>
      </c>
      <c r="E3293">
        <v>2000715224</v>
      </c>
      <c r="F3293">
        <v>2460</v>
      </c>
      <c r="G3293">
        <v>180</v>
      </c>
      <c r="H3293">
        <v>0</v>
      </c>
      <c r="I3293" t="s">
        <v>706</v>
      </c>
      <c r="J3293" t="s">
        <v>170</v>
      </c>
      <c r="K3293" t="s">
        <v>899</v>
      </c>
      <c r="O3293">
        <v>0</v>
      </c>
      <c r="U3293" t="s">
        <v>81</v>
      </c>
    </row>
    <row r="3294" spans="1:21" x14ac:dyDescent="0.25">
      <c r="A3294" s="33">
        <v>3309</v>
      </c>
      <c r="B3294" s="24">
        <v>44269</v>
      </c>
      <c r="C3294" t="s">
        <v>181</v>
      </c>
      <c r="D3294" t="s">
        <v>41</v>
      </c>
      <c r="E3294">
        <v>2000718461</v>
      </c>
      <c r="F3294">
        <v>400</v>
      </c>
      <c r="G3294">
        <v>197</v>
      </c>
      <c r="H3294">
        <v>0</v>
      </c>
      <c r="I3294" t="s">
        <v>706</v>
      </c>
      <c r="J3294" t="s">
        <v>170</v>
      </c>
      <c r="K3294" t="s">
        <v>697</v>
      </c>
      <c r="O3294">
        <v>0</v>
      </c>
      <c r="U3294" t="s">
        <v>81</v>
      </c>
    </row>
    <row r="3295" spans="1:21" x14ac:dyDescent="0.25">
      <c r="A3295" s="33">
        <v>3310</v>
      </c>
      <c r="B3295" s="24">
        <v>44269</v>
      </c>
      <c r="C3295" t="s">
        <v>181</v>
      </c>
      <c r="D3295" t="s">
        <v>41</v>
      </c>
      <c r="E3295">
        <v>2000708959</v>
      </c>
      <c r="F3295">
        <v>1132</v>
      </c>
      <c r="G3295">
        <v>11</v>
      </c>
      <c r="H3295">
        <v>0</v>
      </c>
      <c r="I3295" t="s">
        <v>706</v>
      </c>
      <c r="J3295" t="s">
        <v>170</v>
      </c>
      <c r="K3295" t="s">
        <v>171</v>
      </c>
      <c r="O3295">
        <v>0</v>
      </c>
      <c r="U3295" t="s">
        <v>81</v>
      </c>
    </row>
    <row r="3296" spans="1:21" x14ac:dyDescent="0.25">
      <c r="A3296" s="33">
        <v>3311</v>
      </c>
      <c r="B3296" s="24">
        <v>44269</v>
      </c>
      <c r="C3296" t="s">
        <v>181</v>
      </c>
      <c r="D3296" t="s">
        <v>41</v>
      </c>
      <c r="E3296">
        <v>2000718460</v>
      </c>
      <c r="F3296">
        <v>420</v>
      </c>
      <c r="G3296">
        <v>270</v>
      </c>
      <c r="H3296">
        <v>0</v>
      </c>
      <c r="I3296" t="s">
        <v>706</v>
      </c>
      <c r="J3296" t="s">
        <v>170</v>
      </c>
      <c r="K3296" t="s">
        <v>171</v>
      </c>
      <c r="O3296">
        <v>0</v>
      </c>
      <c r="U3296" t="s">
        <v>81</v>
      </c>
    </row>
    <row r="3297" spans="1:21" x14ac:dyDescent="0.25">
      <c r="A3297" s="33">
        <v>3312</v>
      </c>
      <c r="B3297" s="24">
        <v>44269</v>
      </c>
      <c r="C3297" t="s">
        <v>181</v>
      </c>
      <c r="D3297" t="s">
        <v>41</v>
      </c>
      <c r="E3297">
        <v>2000718326</v>
      </c>
      <c r="F3297">
        <v>640</v>
      </c>
      <c r="G3297">
        <v>90</v>
      </c>
      <c r="H3297">
        <v>0</v>
      </c>
      <c r="I3297" t="s">
        <v>706</v>
      </c>
      <c r="J3297" t="s">
        <v>174</v>
      </c>
      <c r="K3297" t="s">
        <v>205</v>
      </c>
      <c r="O3297">
        <v>0</v>
      </c>
      <c r="U3297" t="s">
        <v>81</v>
      </c>
    </row>
    <row r="3298" spans="1:21" x14ac:dyDescent="0.25">
      <c r="A3298" s="33">
        <v>3313</v>
      </c>
      <c r="B3298" s="24">
        <v>44269</v>
      </c>
      <c r="C3298" t="s">
        <v>181</v>
      </c>
      <c r="D3298" t="s">
        <v>41</v>
      </c>
      <c r="E3298">
        <v>2000717861</v>
      </c>
      <c r="F3298">
        <v>760</v>
      </c>
      <c r="G3298">
        <v>320</v>
      </c>
      <c r="H3298">
        <v>0</v>
      </c>
      <c r="I3298" t="s">
        <v>183</v>
      </c>
      <c r="J3298" t="s">
        <v>174</v>
      </c>
      <c r="K3298" t="s">
        <v>644</v>
      </c>
      <c r="O3298">
        <v>0</v>
      </c>
      <c r="U3298" t="s">
        <v>81</v>
      </c>
    </row>
    <row r="3299" spans="1:21" x14ac:dyDescent="0.25">
      <c r="A3299" s="33">
        <v>3314</v>
      </c>
      <c r="B3299" s="24">
        <v>44269</v>
      </c>
      <c r="C3299" t="s">
        <v>181</v>
      </c>
      <c r="D3299" t="s">
        <v>41</v>
      </c>
      <c r="E3299">
        <v>2000718328</v>
      </c>
      <c r="F3299">
        <v>1240</v>
      </c>
      <c r="G3299">
        <v>440</v>
      </c>
      <c r="H3299">
        <v>1</v>
      </c>
      <c r="I3299" t="s">
        <v>183</v>
      </c>
      <c r="J3299" t="s">
        <v>174</v>
      </c>
      <c r="K3299" t="s">
        <v>644</v>
      </c>
      <c r="L3299" t="s">
        <v>88</v>
      </c>
      <c r="N3299" t="s">
        <v>1070</v>
      </c>
      <c r="O3299">
        <v>1</v>
      </c>
      <c r="P3299" t="s">
        <v>1071</v>
      </c>
      <c r="Q3299" t="s">
        <v>1072</v>
      </c>
      <c r="R3299" t="s">
        <v>1073</v>
      </c>
      <c r="S3299" s="36">
        <v>0.27777777777777779</v>
      </c>
      <c r="U3299" t="s">
        <v>81</v>
      </c>
    </row>
    <row r="3300" spans="1:21" x14ac:dyDescent="0.25">
      <c r="A3300" s="33">
        <v>3315</v>
      </c>
      <c r="B3300" s="24">
        <v>44269</v>
      </c>
      <c r="C3300" t="s">
        <v>181</v>
      </c>
      <c r="D3300" t="s">
        <v>41</v>
      </c>
      <c r="E3300">
        <v>2000718327</v>
      </c>
      <c r="F3300">
        <v>1240</v>
      </c>
      <c r="G3300">
        <v>40</v>
      </c>
      <c r="H3300">
        <v>0</v>
      </c>
      <c r="I3300" t="s">
        <v>183</v>
      </c>
      <c r="J3300" t="s">
        <v>174</v>
      </c>
      <c r="K3300" t="s">
        <v>177</v>
      </c>
      <c r="O3300">
        <v>0</v>
      </c>
      <c r="U3300" t="s">
        <v>81</v>
      </c>
    </row>
    <row r="3301" spans="1:21" x14ac:dyDescent="0.25">
      <c r="A3301" s="33">
        <v>3316</v>
      </c>
      <c r="B3301" s="24">
        <v>44269</v>
      </c>
      <c r="C3301" t="s">
        <v>181</v>
      </c>
      <c r="D3301" t="s">
        <v>41</v>
      </c>
      <c r="E3301">
        <v>2000716481</v>
      </c>
      <c r="F3301">
        <v>700</v>
      </c>
      <c r="G3301">
        <v>70</v>
      </c>
      <c r="H3301">
        <v>0</v>
      </c>
      <c r="I3301" t="s">
        <v>693</v>
      </c>
      <c r="J3301" t="s">
        <v>170</v>
      </c>
      <c r="K3301" t="s">
        <v>732</v>
      </c>
      <c r="O3301">
        <v>0</v>
      </c>
      <c r="U3301" t="s">
        <v>81</v>
      </c>
    </row>
    <row r="3302" spans="1:21" x14ac:dyDescent="0.25">
      <c r="A3302" s="33">
        <v>3317</v>
      </c>
      <c r="B3302" s="24">
        <v>44269</v>
      </c>
      <c r="C3302" t="s">
        <v>181</v>
      </c>
      <c r="D3302" t="s">
        <v>41</v>
      </c>
      <c r="E3302">
        <v>2000716482</v>
      </c>
      <c r="F3302">
        <v>1800</v>
      </c>
      <c r="G3302">
        <v>180</v>
      </c>
      <c r="H3302">
        <v>0</v>
      </c>
      <c r="I3302" t="s">
        <v>693</v>
      </c>
      <c r="J3302" t="s">
        <v>170</v>
      </c>
      <c r="K3302" t="s">
        <v>732</v>
      </c>
      <c r="O3302">
        <v>0</v>
      </c>
      <c r="U3302" t="s">
        <v>81</v>
      </c>
    </row>
    <row r="3303" spans="1:21" x14ac:dyDescent="0.25">
      <c r="A3303" s="33">
        <v>3318</v>
      </c>
      <c r="B3303" s="24">
        <v>44269</v>
      </c>
      <c r="C3303" t="s">
        <v>181</v>
      </c>
      <c r="D3303" t="s">
        <v>41</v>
      </c>
      <c r="E3303">
        <v>2000715224</v>
      </c>
      <c r="F3303">
        <v>2460</v>
      </c>
      <c r="G3303">
        <v>180</v>
      </c>
      <c r="H3303">
        <v>0</v>
      </c>
      <c r="I3303" t="s">
        <v>693</v>
      </c>
      <c r="J3303" t="s">
        <v>170</v>
      </c>
      <c r="K3303" t="s">
        <v>899</v>
      </c>
      <c r="O3303">
        <v>0</v>
      </c>
      <c r="U3303" t="s">
        <v>81</v>
      </c>
    </row>
    <row r="3304" spans="1:21" x14ac:dyDescent="0.25">
      <c r="A3304" s="33">
        <v>3319</v>
      </c>
      <c r="B3304" s="24">
        <v>44269</v>
      </c>
      <c r="C3304" t="s">
        <v>181</v>
      </c>
      <c r="D3304" t="s">
        <v>41</v>
      </c>
      <c r="E3304">
        <v>2000718461</v>
      </c>
      <c r="F3304">
        <v>400</v>
      </c>
      <c r="G3304">
        <v>180</v>
      </c>
      <c r="H3304">
        <v>0</v>
      </c>
      <c r="I3304" t="s">
        <v>693</v>
      </c>
      <c r="J3304" t="s">
        <v>170</v>
      </c>
      <c r="K3304" t="s">
        <v>697</v>
      </c>
      <c r="O3304">
        <v>0</v>
      </c>
      <c r="U3304" t="s">
        <v>81</v>
      </c>
    </row>
    <row r="3305" spans="1:21" x14ac:dyDescent="0.25">
      <c r="A3305" s="33">
        <v>3320</v>
      </c>
      <c r="B3305" s="24">
        <v>44269</v>
      </c>
      <c r="C3305" t="s">
        <v>181</v>
      </c>
      <c r="D3305" t="s">
        <v>41</v>
      </c>
      <c r="E3305">
        <v>2000718460</v>
      </c>
      <c r="F3305">
        <v>420</v>
      </c>
      <c r="G3305">
        <v>148</v>
      </c>
      <c r="H3305">
        <v>0</v>
      </c>
      <c r="I3305" t="s">
        <v>693</v>
      </c>
      <c r="J3305" t="s">
        <v>170</v>
      </c>
      <c r="K3305" t="s">
        <v>171</v>
      </c>
      <c r="O3305">
        <v>0</v>
      </c>
      <c r="U3305" t="s">
        <v>81</v>
      </c>
    </row>
    <row r="3306" spans="1:21" x14ac:dyDescent="0.25">
      <c r="A3306" s="33">
        <v>3321</v>
      </c>
      <c r="B3306" s="24">
        <v>44269</v>
      </c>
      <c r="C3306" t="s">
        <v>181</v>
      </c>
      <c r="D3306" t="s">
        <v>41</v>
      </c>
      <c r="E3306">
        <v>2000718326</v>
      </c>
      <c r="F3306">
        <v>640</v>
      </c>
      <c r="G3306">
        <v>90</v>
      </c>
      <c r="H3306">
        <v>0</v>
      </c>
      <c r="I3306" t="s">
        <v>693</v>
      </c>
      <c r="J3306" t="s">
        <v>174</v>
      </c>
      <c r="K3306" t="s">
        <v>205</v>
      </c>
      <c r="O3306">
        <v>0</v>
      </c>
      <c r="U3306" t="s">
        <v>81</v>
      </c>
    </row>
    <row r="3307" spans="1:21" x14ac:dyDescent="0.25">
      <c r="A3307" s="33">
        <v>3322</v>
      </c>
      <c r="B3307" s="24">
        <v>44269</v>
      </c>
      <c r="C3307" t="s">
        <v>181</v>
      </c>
      <c r="D3307" t="s">
        <v>41</v>
      </c>
      <c r="E3307">
        <v>2000717860</v>
      </c>
      <c r="F3307">
        <v>1000</v>
      </c>
      <c r="G3307">
        <v>480</v>
      </c>
      <c r="H3307">
        <v>0</v>
      </c>
      <c r="I3307" t="s">
        <v>696</v>
      </c>
      <c r="J3307" t="s">
        <v>174</v>
      </c>
      <c r="K3307" t="s">
        <v>177</v>
      </c>
      <c r="O3307">
        <v>0</v>
      </c>
      <c r="U3307" t="s">
        <v>81</v>
      </c>
    </row>
    <row r="3308" spans="1:21" x14ac:dyDescent="0.25">
      <c r="A3308" s="33">
        <v>3323</v>
      </c>
      <c r="B3308" s="24">
        <v>44269</v>
      </c>
      <c r="C3308" t="s">
        <v>181</v>
      </c>
      <c r="D3308" t="s">
        <v>41</v>
      </c>
      <c r="E3308">
        <v>2000717254</v>
      </c>
      <c r="F3308">
        <v>1800</v>
      </c>
      <c r="G3308">
        <v>800</v>
      </c>
      <c r="H3308">
        <v>0</v>
      </c>
      <c r="I3308" t="s">
        <v>680</v>
      </c>
      <c r="J3308" t="s">
        <v>745</v>
      </c>
      <c r="K3308" t="s">
        <v>746</v>
      </c>
      <c r="O3308">
        <v>0</v>
      </c>
      <c r="U3308" t="s">
        <v>81</v>
      </c>
    </row>
    <row r="3309" spans="1:21" x14ac:dyDescent="0.25">
      <c r="A3309" s="33">
        <v>3324</v>
      </c>
      <c r="B3309" s="24">
        <v>44269</v>
      </c>
      <c r="C3309" t="s">
        <v>181</v>
      </c>
      <c r="D3309" t="s">
        <v>41</v>
      </c>
      <c r="E3309">
        <v>2000716731</v>
      </c>
      <c r="F3309">
        <v>1800</v>
      </c>
      <c r="G3309">
        <v>40</v>
      </c>
      <c r="H3309">
        <v>0</v>
      </c>
      <c r="I3309" t="s">
        <v>680</v>
      </c>
      <c r="J3309" t="s">
        <v>745</v>
      </c>
      <c r="K3309" t="s">
        <v>746</v>
      </c>
      <c r="O3309">
        <v>0</v>
      </c>
      <c r="T3309" s="62"/>
      <c r="U3309" t="s">
        <v>81</v>
      </c>
    </row>
    <row r="3310" spans="1:21" x14ac:dyDescent="0.25">
      <c r="A3310" s="33">
        <v>3325</v>
      </c>
      <c r="B3310" s="24">
        <v>44269</v>
      </c>
      <c r="C3310" t="s">
        <v>181</v>
      </c>
      <c r="D3310" t="s">
        <v>41</v>
      </c>
      <c r="E3310">
        <v>2000717643</v>
      </c>
      <c r="F3310">
        <v>1800</v>
      </c>
      <c r="G3310">
        <v>200</v>
      </c>
      <c r="H3310">
        <v>0</v>
      </c>
      <c r="I3310" t="s">
        <v>680</v>
      </c>
      <c r="J3310" t="s">
        <v>745</v>
      </c>
      <c r="K3310" t="s">
        <v>746</v>
      </c>
      <c r="O3310">
        <v>0</v>
      </c>
      <c r="U3310" t="s">
        <v>81</v>
      </c>
    </row>
    <row r="3311" spans="1:21" x14ac:dyDescent="0.25">
      <c r="A3311" s="33">
        <v>3326</v>
      </c>
      <c r="B3311" s="24">
        <v>44269</v>
      </c>
      <c r="C3311" t="s">
        <v>181</v>
      </c>
      <c r="D3311" t="s">
        <v>41</v>
      </c>
      <c r="E3311">
        <v>2000718329</v>
      </c>
      <c r="F3311">
        <v>7830</v>
      </c>
      <c r="G3311">
        <v>300</v>
      </c>
      <c r="H3311">
        <v>0</v>
      </c>
      <c r="I3311" t="s">
        <v>680</v>
      </c>
      <c r="J3311" t="s">
        <v>200</v>
      </c>
      <c r="K3311" t="s">
        <v>737</v>
      </c>
      <c r="O3311">
        <v>0</v>
      </c>
      <c r="U3311" t="s">
        <v>81</v>
      </c>
    </row>
    <row r="3312" spans="1:21" x14ac:dyDescent="0.25">
      <c r="A3312" s="33">
        <v>3327</v>
      </c>
      <c r="B3312" s="24">
        <v>44269</v>
      </c>
      <c r="C3312" t="s">
        <v>181</v>
      </c>
      <c r="D3312" t="s">
        <v>41</v>
      </c>
      <c r="E3312">
        <v>2000718170</v>
      </c>
      <c r="F3312">
        <v>670</v>
      </c>
      <c r="G3312">
        <v>30</v>
      </c>
      <c r="H3312">
        <v>0</v>
      </c>
      <c r="I3312" t="s">
        <v>198</v>
      </c>
      <c r="J3312" t="s">
        <v>203</v>
      </c>
      <c r="K3312" t="s">
        <v>785</v>
      </c>
      <c r="O3312">
        <v>0</v>
      </c>
      <c r="U3312" t="s">
        <v>81</v>
      </c>
    </row>
    <row r="3313" spans="1:21" x14ac:dyDescent="0.25">
      <c r="A3313" s="33">
        <v>3328</v>
      </c>
      <c r="B3313" s="24">
        <v>44269</v>
      </c>
      <c r="C3313" t="s">
        <v>181</v>
      </c>
      <c r="D3313" t="s">
        <v>41</v>
      </c>
      <c r="E3313">
        <v>2000717642</v>
      </c>
      <c r="F3313">
        <v>2128</v>
      </c>
      <c r="G3313">
        <v>850</v>
      </c>
      <c r="H3313">
        <v>0</v>
      </c>
      <c r="I3313" t="s">
        <v>198</v>
      </c>
      <c r="J3313" t="s">
        <v>745</v>
      </c>
      <c r="K3313" t="s">
        <v>857</v>
      </c>
      <c r="O3313">
        <v>0</v>
      </c>
      <c r="U3313" t="s">
        <v>81</v>
      </c>
    </row>
    <row r="3314" spans="1:21" x14ac:dyDescent="0.25">
      <c r="A3314" s="33">
        <v>3329</v>
      </c>
      <c r="B3314" s="24">
        <v>44269</v>
      </c>
      <c r="C3314" t="s">
        <v>181</v>
      </c>
      <c r="D3314" t="s">
        <v>41</v>
      </c>
      <c r="E3314">
        <v>2000712447</v>
      </c>
      <c r="F3314">
        <v>882</v>
      </c>
      <c r="G3314">
        <v>40</v>
      </c>
      <c r="H3314">
        <v>0</v>
      </c>
      <c r="I3314" t="s">
        <v>198</v>
      </c>
      <c r="J3314" t="s">
        <v>745</v>
      </c>
      <c r="K3314" t="s">
        <v>857</v>
      </c>
      <c r="O3314">
        <v>0</v>
      </c>
      <c r="U3314" t="s">
        <v>81</v>
      </c>
    </row>
    <row r="3315" spans="1:21" x14ac:dyDescent="0.25">
      <c r="A3315" s="33">
        <v>3330</v>
      </c>
      <c r="B3315" s="24">
        <v>44269</v>
      </c>
      <c r="C3315" t="s">
        <v>181</v>
      </c>
      <c r="D3315" t="s">
        <v>41</v>
      </c>
      <c r="E3315">
        <v>2000715193</v>
      </c>
      <c r="F3315">
        <v>1680</v>
      </c>
      <c r="G3315">
        <v>240</v>
      </c>
      <c r="H3315">
        <v>0</v>
      </c>
      <c r="I3315" t="s">
        <v>198</v>
      </c>
      <c r="J3315" t="s">
        <v>203</v>
      </c>
      <c r="K3315" t="s">
        <v>640</v>
      </c>
      <c r="O3315">
        <v>0</v>
      </c>
      <c r="U3315" t="s">
        <v>81</v>
      </c>
    </row>
    <row r="3316" spans="1:21" ht="30" x14ac:dyDescent="0.25">
      <c r="A3316" s="33">
        <v>3331</v>
      </c>
      <c r="B3316" s="24">
        <v>44269</v>
      </c>
      <c r="C3316" t="s">
        <v>181</v>
      </c>
      <c r="D3316" t="s">
        <v>41</v>
      </c>
      <c r="E3316">
        <v>2000718333</v>
      </c>
      <c r="F3316">
        <v>3200</v>
      </c>
      <c r="G3316">
        <v>800</v>
      </c>
      <c r="H3316">
        <v>0</v>
      </c>
      <c r="I3316" t="s">
        <v>198</v>
      </c>
      <c r="J3316" t="s">
        <v>203</v>
      </c>
      <c r="K3316" t="s">
        <v>788</v>
      </c>
      <c r="O3316">
        <v>0</v>
      </c>
      <c r="T3316" s="62" t="s">
        <v>723</v>
      </c>
      <c r="U3316" t="s">
        <v>81</v>
      </c>
    </row>
    <row r="3317" spans="1:21" x14ac:dyDescent="0.25">
      <c r="A3317" s="33">
        <v>3332</v>
      </c>
      <c r="B3317" s="24">
        <v>44269</v>
      </c>
      <c r="C3317" t="s">
        <v>181</v>
      </c>
      <c r="D3317" t="s">
        <v>41</v>
      </c>
      <c r="E3317">
        <v>2000717254</v>
      </c>
      <c r="F3317">
        <v>1800</v>
      </c>
      <c r="G3317">
        <v>160</v>
      </c>
      <c r="H3317">
        <v>0</v>
      </c>
      <c r="I3317" t="s">
        <v>198</v>
      </c>
      <c r="J3317" t="s">
        <v>745</v>
      </c>
      <c r="K3317" t="s">
        <v>746</v>
      </c>
      <c r="O3317">
        <v>0</v>
      </c>
      <c r="U3317" t="s">
        <v>81</v>
      </c>
    </row>
    <row r="3318" spans="1:21" x14ac:dyDescent="0.25">
      <c r="A3318" s="33">
        <v>3333</v>
      </c>
      <c r="B3318" s="24">
        <v>44269</v>
      </c>
      <c r="C3318" t="s">
        <v>181</v>
      </c>
      <c r="D3318" t="s">
        <v>41</v>
      </c>
      <c r="E3318">
        <v>2000717643</v>
      </c>
      <c r="F3318">
        <v>1800</v>
      </c>
      <c r="G3318">
        <v>200</v>
      </c>
      <c r="H3318">
        <v>0</v>
      </c>
      <c r="I3318" t="s">
        <v>198</v>
      </c>
      <c r="J3318" t="s">
        <v>745</v>
      </c>
      <c r="K3318" t="s">
        <v>746</v>
      </c>
      <c r="O3318">
        <v>0</v>
      </c>
      <c r="U3318" t="s">
        <v>81</v>
      </c>
    </row>
    <row r="3319" spans="1:21" x14ac:dyDescent="0.25">
      <c r="A3319" s="33">
        <v>3334</v>
      </c>
      <c r="B3319" s="24">
        <v>44269</v>
      </c>
      <c r="C3319" t="s">
        <v>181</v>
      </c>
      <c r="D3319" t="s">
        <v>41</v>
      </c>
      <c r="E3319">
        <v>2000718170</v>
      </c>
      <c r="F3319">
        <v>670</v>
      </c>
      <c r="G3319">
        <v>269</v>
      </c>
      <c r="H3319">
        <v>0</v>
      </c>
      <c r="I3319" t="s">
        <v>184</v>
      </c>
      <c r="J3319" t="s">
        <v>203</v>
      </c>
      <c r="K3319" t="s">
        <v>785</v>
      </c>
      <c r="O3319">
        <v>0</v>
      </c>
      <c r="U3319" t="s">
        <v>81</v>
      </c>
    </row>
    <row r="3320" spans="1:21" x14ac:dyDescent="0.25">
      <c r="A3320" s="33">
        <v>3335</v>
      </c>
      <c r="B3320" s="24">
        <v>44269</v>
      </c>
      <c r="C3320" t="s">
        <v>181</v>
      </c>
      <c r="D3320" t="s">
        <v>41</v>
      </c>
      <c r="E3320">
        <v>2000717492</v>
      </c>
      <c r="F3320">
        <v>320</v>
      </c>
      <c r="G3320">
        <v>5</v>
      </c>
      <c r="H3320">
        <v>0</v>
      </c>
      <c r="I3320" t="s">
        <v>184</v>
      </c>
      <c r="J3320" t="s">
        <v>745</v>
      </c>
      <c r="K3320" t="s">
        <v>836</v>
      </c>
      <c r="O3320">
        <v>0</v>
      </c>
      <c r="U3320" t="s">
        <v>81</v>
      </c>
    </row>
    <row r="3321" spans="1:21" x14ac:dyDescent="0.25">
      <c r="A3321" s="33">
        <v>3336</v>
      </c>
      <c r="B3321" s="24">
        <v>44269</v>
      </c>
      <c r="C3321" t="s">
        <v>181</v>
      </c>
      <c r="D3321" t="s">
        <v>41</v>
      </c>
      <c r="E3321">
        <v>2000718171</v>
      </c>
      <c r="F3321">
        <v>720</v>
      </c>
      <c r="G3321">
        <v>150</v>
      </c>
      <c r="H3321">
        <v>1</v>
      </c>
      <c r="I3321" t="s">
        <v>184</v>
      </c>
      <c r="J3321" t="s">
        <v>203</v>
      </c>
      <c r="K3321" t="s">
        <v>891</v>
      </c>
      <c r="L3321" t="s">
        <v>90</v>
      </c>
      <c r="N3321" t="s">
        <v>1074</v>
      </c>
      <c r="O3321">
        <v>1</v>
      </c>
      <c r="P3321" t="s">
        <v>1075</v>
      </c>
      <c r="Q3321" t="s">
        <v>1076</v>
      </c>
      <c r="R3321">
        <v>4130004699</v>
      </c>
      <c r="S3321" s="36">
        <v>0.29166666666666669</v>
      </c>
      <c r="U3321" t="s">
        <v>81</v>
      </c>
    </row>
    <row r="3322" spans="1:21" x14ac:dyDescent="0.25">
      <c r="A3322" s="33">
        <v>3337</v>
      </c>
      <c r="B3322" s="24">
        <v>44269</v>
      </c>
      <c r="C3322" t="s">
        <v>181</v>
      </c>
      <c r="D3322" t="s">
        <v>41</v>
      </c>
      <c r="E3322">
        <v>2000717254</v>
      </c>
      <c r="F3322">
        <v>1800</v>
      </c>
      <c r="G3322">
        <v>240</v>
      </c>
      <c r="H3322">
        <v>0</v>
      </c>
      <c r="I3322" t="s">
        <v>184</v>
      </c>
      <c r="J3322" t="s">
        <v>745</v>
      </c>
      <c r="K3322" t="s">
        <v>746</v>
      </c>
      <c r="O3322">
        <v>0</v>
      </c>
      <c r="U3322" t="s">
        <v>81</v>
      </c>
    </row>
    <row r="3323" spans="1:21" x14ac:dyDescent="0.25">
      <c r="A3323" s="33">
        <v>3338</v>
      </c>
      <c r="B3323" s="24">
        <v>44270</v>
      </c>
      <c r="C3323" t="s">
        <v>39</v>
      </c>
      <c r="D3323" t="s">
        <v>41</v>
      </c>
      <c r="E3323">
        <v>2000718326</v>
      </c>
      <c r="F3323">
        <v>640</v>
      </c>
      <c r="G3323">
        <v>459</v>
      </c>
      <c r="H3323">
        <v>0</v>
      </c>
      <c r="I3323" t="s">
        <v>661</v>
      </c>
      <c r="J3323" t="s">
        <v>174</v>
      </c>
      <c r="K3323" t="s">
        <v>205</v>
      </c>
      <c r="O3323">
        <v>0</v>
      </c>
      <c r="U3323" t="s">
        <v>81</v>
      </c>
    </row>
    <row r="3324" spans="1:21" x14ac:dyDescent="0.25">
      <c r="A3324" s="33">
        <v>3339</v>
      </c>
      <c r="B3324" s="24">
        <v>44270</v>
      </c>
      <c r="C3324" t="s">
        <v>39</v>
      </c>
      <c r="D3324" t="s">
        <v>41</v>
      </c>
      <c r="E3324">
        <v>2000718462</v>
      </c>
      <c r="F3324">
        <v>1500</v>
      </c>
      <c r="G3324">
        <v>245</v>
      </c>
      <c r="H3324">
        <v>0</v>
      </c>
      <c r="I3324" t="s">
        <v>661</v>
      </c>
      <c r="J3324" t="s">
        <v>174</v>
      </c>
      <c r="K3324" t="s">
        <v>774</v>
      </c>
      <c r="O3324">
        <v>0</v>
      </c>
      <c r="U3324" t="s">
        <v>81</v>
      </c>
    </row>
    <row r="3325" spans="1:21" x14ac:dyDescent="0.25">
      <c r="A3325" s="33">
        <v>3340</v>
      </c>
      <c r="B3325" s="24">
        <v>44270</v>
      </c>
      <c r="C3325" t="s">
        <v>39</v>
      </c>
      <c r="D3325" t="s">
        <v>41</v>
      </c>
      <c r="E3325">
        <v>2000718327</v>
      </c>
      <c r="F3325">
        <v>1240</v>
      </c>
      <c r="G3325">
        <v>160</v>
      </c>
      <c r="H3325">
        <v>0</v>
      </c>
      <c r="I3325" t="s">
        <v>194</v>
      </c>
      <c r="J3325" t="s">
        <v>174</v>
      </c>
      <c r="K3325" t="s">
        <v>177</v>
      </c>
      <c r="O3325">
        <v>0</v>
      </c>
      <c r="U3325" t="s">
        <v>81</v>
      </c>
    </row>
    <row r="3326" spans="1:21" x14ac:dyDescent="0.25">
      <c r="A3326" s="33">
        <v>3341</v>
      </c>
      <c r="B3326" s="24">
        <v>44270</v>
      </c>
      <c r="C3326" t="s">
        <v>39</v>
      </c>
      <c r="D3326" t="s">
        <v>41</v>
      </c>
      <c r="E3326">
        <v>2000718171</v>
      </c>
      <c r="F3326">
        <v>720</v>
      </c>
      <c r="G3326">
        <v>60</v>
      </c>
      <c r="H3326">
        <v>0</v>
      </c>
      <c r="I3326" t="s">
        <v>194</v>
      </c>
      <c r="J3326" t="s">
        <v>203</v>
      </c>
      <c r="K3326" t="s">
        <v>891</v>
      </c>
      <c r="O3326">
        <v>0</v>
      </c>
      <c r="U3326" t="s">
        <v>81</v>
      </c>
    </row>
    <row r="3327" spans="1:21" x14ac:dyDescent="0.25">
      <c r="A3327" s="33">
        <v>3342</v>
      </c>
      <c r="B3327" s="24">
        <v>44270</v>
      </c>
      <c r="C3327" t="s">
        <v>39</v>
      </c>
      <c r="D3327" t="s">
        <v>41</v>
      </c>
      <c r="E3327">
        <v>2000718660</v>
      </c>
      <c r="F3327">
        <v>440</v>
      </c>
      <c r="G3327">
        <v>429</v>
      </c>
      <c r="H3327">
        <v>0</v>
      </c>
      <c r="I3327" t="s">
        <v>194</v>
      </c>
      <c r="J3327" t="s">
        <v>174</v>
      </c>
      <c r="K3327" t="s">
        <v>805</v>
      </c>
      <c r="O3327">
        <v>0</v>
      </c>
      <c r="U3327" t="s">
        <v>81</v>
      </c>
    </row>
    <row r="3328" spans="1:21" x14ac:dyDescent="0.25">
      <c r="A3328" s="33">
        <v>3343</v>
      </c>
      <c r="B3328" s="24">
        <v>44270</v>
      </c>
      <c r="C3328" t="s">
        <v>39</v>
      </c>
      <c r="D3328" t="s">
        <v>41</v>
      </c>
      <c r="E3328">
        <v>2000718171</v>
      </c>
      <c r="F3328">
        <v>720</v>
      </c>
      <c r="G3328">
        <v>210</v>
      </c>
      <c r="H3328">
        <v>0</v>
      </c>
      <c r="I3328" t="s">
        <v>168</v>
      </c>
      <c r="J3328" t="s">
        <v>203</v>
      </c>
      <c r="K3328" t="s">
        <v>891</v>
      </c>
      <c r="O3328">
        <v>0</v>
      </c>
      <c r="U3328" t="s">
        <v>81</v>
      </c>
    </row>
    <row r="3329" spans="1:21" x14ac:dyDescent="0.25">
      <c r="A3329" s="33">
        <v>3344</v>
      </c>
      <c r="B3329" s="24">
        <v>44270</v>
      </c>
      <c r="C3329" t="s">
        <v>39</v>
      </c>
      <c r="D3329" t="s">
        <v>41</v>
      </c>
      <c r="E3329">
        <v>2000718172</v>
      </c>
      <c r="F3329">
        <v>1400</v>
      </c>
      <c r="G3329">
        <v>310</v>
      </c>
      <c r="H3329">
        <v>0</v>
      </c>
      <c r="I3329" t="s">
        <v>168</v>
      </c>
      <c r="J3329" t="s">
        <v>203</v>
      </c>
      <c r="K3329" t="s">
        <v>891</v>
      </c>
      <c r="O3329">
        <v>0</v>
      </c>
      <c r="U3329" t="s">
        <v>81</v>
      </c>
    </row>
    <row r="3330" spans="1:21" x14ac:dyDescent="0.25">
      <c r="A3330" s="33">
        <v>3345</v>
      </c>
      <c r="B3330" s="24">
        <v>44270</v>
      </c>
      <c r="C3330" t="s">
        <v>39</v>
      </c>
      <c r="D3330" t="s">
        <v>41</v>
      </c>
      <c r="E3330">
        <v>2000718327</v>
      </c>
      <c r="F3330">
        <v>1240</v>
      </c>
      <c r="G3330">
        <v>440</v>
      </c>
      <c r="H3330">
        <v>0</v>
      </c>
      <c r="I3330" t="s">
        <v>666</v>
      </c>
      <c r="J3330" t="s">
        <v>174</v>
      </c>
      <c r="K3330" t="s">
        <v>177</v>
      </c>
      <c r="O3330">
        <v>0</v>
      </c>
      <c r="U3330" t="s">
        <v>81</v>
      </c>
    </row>
    <row r="3331" spans="1:21" x14ac:dyDescent="0.25">
      <c r="A3331" s="33">
        <v>3346</v>
      </c>
      <c r="B3331" s="24">
        <v>44270</v>
      </c>
      <c r="C3331" t="s">
        <v>39</v>
      </c>
      <c r="D3331" t="s">
        <v>41</v>
      </c>
      <c r="E3331">
        <v>2000718328</v>
      </c>
      <c r="F3331">
        <v>1240</v>
      </c>
      <c r="G3331">
        <v>311</v>
      </c>
      <c r="H3331">
        <v>0</v>
      </c>
      <c r="I3331" t="s">
        <v>666</v>
      </c>
      <c r="J3331" t="s">
        <v>174</v>
      </c>
      <c r="K3331" t="s">
        <v>644</v>
      </c>
      <c r="O3331">
        <v>0</v>
      </c>
      <c r="U3331" t="s">
        <v>81</v>
      </c>
    </row>
    <row r="3332" spans="1:21" x14ac:dyDescent="0.25">
      <c r="A3332" s="33">
        <v>3347</v>
      </c>
      <c r="B3332" s="24">
        <v>44270</v>
      </c>
      <c r="C3332" t="s">
        <v>39</v>
      </c>
      <c r="D3332" t="s">
        <v>41</v>
      </c>
      <c r="E3332">
        <v>2000718327</v>
      </c>
      <c r="F3332">
        <v>1240</v>
      </c>
      <c r="G3332">
        <v>120</v>
      </c>
      <c r="H3332">
        <v>0</v>
      </c>
      <c r="I3332" t="s">
        <v>665</v>
      </c>
      <c r="J3332" t="s">
        <v>174</v>
      </c>
      <c r="K3332" t="s">
        <v>177</v>
      </c>
      <c r="O3332">
        <v>0</v>
      </c>
      <c r="U3332" t="s">
        <v>81</v>
      </c>
    </row>
    <row r="3333" spans="1:21" x14ac:dyDescent="0.25">
      <c r="A3333" s="33">
        <v>3348</v>
      </c>
      <c r="B3333" s="24">
        <v>44270</v>
      </c>
      <c r="C3333" t="s">
        <v>39</v>
      </c>
      <c r="D3333" t="s">
        <v>41</v>
      </c>
      <c r="E3333">
        <v>2000718435</v>
      </c>
      <c r="F3333">
        <v>1200</v>
      </c>
      <c r="G3333">
        <v>80</v>
      </c>
      <c r="H3333">
        <v>0</v>
      </c>
      <c r="I3333" t="s">
        <v>178</v>
      </c>
      <c r="J3333" t="s">
        <v>645</v>
      </c>
      <c r="K3333" t="s">
        <v>721</v>
      </c>
      <c r="O3333">
        <v>0</v>
      </c>
      <c r="U3333" t="s">
        <v>81</v>
      </c>
    </row>
    <row r="3334" spans="1:21" x14ac:dyDescent="0.25">
      <c r="A3334" s="33">
        <v>3349</v>
      </c>
      <c r="B3334" s="24">
        <v>44270</v>
      </c>
      <c r="C3334" t="s">
        <v>39</v>
      </c>
      <c r="D3334" t="s">
        <v>41</v>
      </c>
      <c r="E3334">
        <v>2000718250</v>
      </c>
      <c r="F3334">
        <v>180</v>
      </c>
      <c r="G3334">
        <v>20</v>
      </c>
      <c r="H3334">
        <v>0</v>
      </c>
      <c r="I3334" t="s">
        <v>178</v>
      </c>
      <c r="J3334" t="s">
        <v>645</v>
      </c>
      <c r="K3334" t="s">
        <v>753</v>
      </c>
      <c r="O3334">
        <v>0</v>
      </c>
      <c r="U3334" t="s">
        <v>81</v>
      </c>
    </row>
    <row r="3335" spans="1:21" x14ac:dyDescent="0.25">
      <c r="A3335" s="33">
        <v>3350</v>
      </c>
      <c r="B3335" s="24">
        <v>44270</v>
      </c>
      <c r="C3335" t="s">
        <v>39</v>
      </c>
      <c r="D3335" t="s">
        <v>41</v>
      </c>
      <c r="E3335">
        <v>2000718240</v>
      </c>
      <c r="F3335">
        <v>580</v>
      </c>
      <c r="G3335">
        <v>80</v>
      </c>
      <c r="H3335">
        <v>0</v>
      </c>
      <c r="I3335" t="s">
        <v>178</v>
      </c>
      <c r="J3335" t="s">
        <v>645</v>
      </c>
      <c r="K3335" t="s">
        <v>734</v>
      </c>
      <c r="O3335">
        <v>0</v>
      </c>
      <c r="T3335" s="62"/>
      <c r="U3335" t="s">
        <v>81</v>
      </c>
    </row>
    <row r="3336" spans="1:21" x14ac:dyDescent="0.25">
      <c r="A3336" s="33">
        <v>3352</v>
      </c>
      <c r="B3336" s="24">
        <v>44270</v>
      </c>
      <c r="C3336" t="s">
        <v>39</v>
      </c>
      <c r="D3336" t="s">
        <v>41</v>
      </c>
      <c r="E3336">
        <v>2000718215</v>
      </c>
      <c r="F3336">
        <v>1800</v>
      </c>
      <c r="G3336">
        <v>60</v>
      </c>
      <c r="H3336">
        <v>0</v>
      </c>
      <c r="I3336" t="s">
        <v>178</v>
      </c>
      <c r="J3336" t="s">
        <v>193</v>
      </c>
      <c r="K3336" t="s">
        <v>647</v>
      </c>
      <c r="O3336">
        <v>0</v>
      </c>
      <c r="U3336" t="s">
        <v>81</v>
      </c>
    </row>
    <row r="3337" spans="1:21" x14ac:dyDescent="0.25">
      <c r="A3337" s="33">
        <v>3353</v>
      </c>
      <c r="B3337" s="24">
        <v>44270</v>
      </c>
      <c r="C3337" t="s">
        <v>39</v>
      </c>
      <c r="D3337" t="s">
        <v>41</v>
      </c>
      <c r="E3337">
        <v>2000718263</v>
      </c>
      <c r="F3337">
        <v>1200</v>
      </c>
      <c r="G3337">
        <v>80</v>
      </c>
      <c r="H3337">
        <v>0</v>
      </c>
      <c r="I3337" t="s">
        <v>178</v>
      </c>
      <c r="J3337" t="s">
        <v>196</v>
      </c>
      <c r="K3337" t="s">
        <v>648</v>
      </c>
      <c r="O3337">
        <v>0</v>
      </c>
      <c r="U3337" t="s">
        <v>81</v>
      </c>
    </row>
    <row r="3338" spans="1:21" x14ac:dyDescent="0.25">
      <c r="A3338" s="33">
        <v>3354</v>
      </c>
      <c r="B3338" s="24">
        <v>44270</v>
      </c>
      <c r="C3338" t="s">
        <v>39</v>
      </c>
      <c r="D3338" t="s">
        <v>41</v>
      </c>
      <c r="E3338">
        <v>2000718206</v>
      </c>
      <c r="F3338">
        <v>1320</v>
      </c>
      <c r="G3338">
        <v>120</v>
      </c>
      <c r="H3338">
        <v>0</v>
      </c>
      <c r="I3338" t="s">
        <v>178</v>
      </c>
      <c r="J3338" t="s">
        <v>172</v>
      </c>
      <c r="K3338" t="s">
        <v>854</v>
      </c>
      <c r="O3338">
        <v>0</v>
      </c>
      <c r="U3338" t="s">
        <v>81</v>
      </c>
    </row>
    <row r="3339" spans="1:21" x14ac:dyDescent="0.25">
      <c r="A3339" s="33">
        <v>3355</v>
      </c>
      <c r="B3339" s="24">
        <v>44270</v>
      </c>
      <c r="C3339" t="s">
        <v>39</v>
      </c>
      <c r="D3339" t="s">
        <v>41</v>
      </c>
      <c r="E3339">
        <v>2000718458</v>
      </c>
      <c r="F3339">
        <v>950</v>
      </c>
      <c r="G3339">
        <v>90</v>
      </c>
      <c r="H3339">
        <v>1</v>
      </c>
      <c r="I3339" t="s">
        <v>178</v>
      </c>
      <c r="J3339" t="s">
        <v>174</v>
      </c>
      <c r="K3339" t="s">
        <v>776</v>
      </c>
      <c r="L3339" t="s">
        <v>89</v>
      </c>
      <c r="N3339" t="s">
        <v>1077</v>
      </c>
      <c r="O3339">
        <v>1</v>
      </c>
      <c r="P3339" t="s">
        <v>1078</v>
      </c>
      <c r="Q3339" t="s">
        <v>1079</v>
      </c>
      <c r="R3339">
        <v>7320187255</v>
      </c>
      <c r="S3339" s="36">
        <v>0.5625</v>
      </c>
      <c r="U3339" t="s">
        <v>81</v>
      </c>
    </row>
    <row r="3340" spans="1:21" x14ac:dyDescent="0.25">
      <c r="A3340" s="33">
        <v>3356</v>
      </c>
      <c r="B3340" s="24">
        <v>44270</v>
      </c>
      <c r="C3340" t="s">
        <v>39</v>
      </c>
      <c r="D3340" t="s">
        <v>41</v>
      </c>
      <c r="E3340">
        <v>2000718288</v>
      </c>
      <c r="F3340">
        <v>2400</v>
      </c>
      <c r="G3340">
        <v>120</v>
      </c>
      <c r="H3340">
        <v>0</v>
      </c>
      <c r="I3340" t="s">
        <v>178</v>
      </c>
      <c r="J3340" t="s">
        <v>655</v>
      </c>
      <c r="K3340" t="s">
        <v>656</v>
      </c>
      <c r="O3340">
        <v>0</v>
      </c>
      <c r="U3340" t="s">
        <v>81</v>
      </c>
    </row>
    <row r="3341" spans="1:21" x14ac:dyDescent="0.25">
      <c r="A3341" s="33">
        <v>3357</v>
      </c>
      <c r="B3341" s="24">
        <v>44270</v>
      </c>
      <c r="C3341" t="s">
        <v>39</v>
      </c>
      <c r="D3341" t="s">
        <v>41</v>
      </c>
      <c r="E3341">
        <v>2000718064</v>
      </c>
      <c r="F3341">
        <v>3200</v>
      </c>
      <c r="G3341">
        <v>120</v>
      </c>
      <c r="H3341">
        <v>0</v>
      </c>
      <c r="I3341" t="s">
        <v>178</v>
      </c>
      <c r="J3341" t="s">
        <v>200</v>
      </c>
      <c r="K3341" t="s">
        <v>653</v>
      </c>
      <c r="O3341">
        <v>0</v>
      </c>
      <c r="U3341" t="s">
        <v>81</v>
      </c>
    </row>
    <row r="3342" spans="1:21" x14ac:dyDescent="0.25">
      <c r="A3342" s="33">
        <v>3358</v>
      </c>
      <c r="B3342" s="24">
        <v>44270</v>
      </c>
      <c r="C3342" t="s">
        <v>39</v>
      </c>
      <c r="D3342" t="s">
        <v>41</v>
      </c>
      <c r="E3342">
        <v>2000718202</v>
      </c>
      <c r="F3342">
        <v>2300</v>
      </c>
      <c r="G3342">
        <v>200</v>
      </c>
      <c r="H3342">
        <v>0</v>
      </c>
      <c r="I3342" t="s">
        <v>201</v>
      </c>
      <c r="J3342" t="s">
        <v>172</v>
      </c>
      <c r="K3342" t="s">
        <v>725</v>
      </c>
      <c r="O3342">
        <v>0</v>
      </c>
      <c r="U3342" t="s">
        <v>81</v>
      </c>
    </row>
    <row r="3343" spans="1:21" x14ac:dyDescent="0.25">
      <c r="A3343" s="33">
        <v>3359</v>
      </c>
      <c r="B3343" s="24">
        <v>44270</v>
      </c>
      <c r="C3343" t="s">
        <v>39</v>
      </c>
      <c r="D3343" t="s">
        <v>41</v>
      </c>
      <c r="E3343">
        <v>2000718201</v>
      </c>
      <c r="F3343">
        <v>2300</v>
      </c>
      <c r="G3343">
        <v>200</v>
      </c>
      <c r="H3343">
        <v>0</v>
      </c>
      <c r="I3343" t="s">
        <v>201</v>
      </c>
      <c r="J3343" t="s">
        <v>172</v>
      </c>
      <c r="K3343" t="s">
        <v>725</v>
      </c>
      <c r="O3343">
        <v>0</v>
      </c>
      <c r="U3343" t="s">
        <v>81</v>
      </c>
    </row>
    <row r="3344" spans="1:21" x14ac:dyDescent="0.25">
      <c r="A3344" s="33">
        <v>3360</v>
      </c>
      <c r="B3344" s="24">
        <v>44270</v>
      </c>
      <c r="C3344" t="s">
        <v>39</v>
      </c>
      <c r="D3344" t="s">
        <v>41</v>
      </c>
      <c r="E3344">
        <v>2000718667</v>
      </c>
      <c r="F3344">
        <v>3012</v>
      </c>
      <c r="G3344">
        <v>200</v>
      </c>
      <c r="H3344">
        <v>0</v>
      </c>
      <c r="I3344" t="s">
        <v>201</v>
      </c>
      <c r="J3344" t="s">
        <v>172</v>
      </c>
      <c r="K3344" t="s">
        <v>729</v>
      </c>
      <c r="O3344">
        <v>0</v>
      </c>
      <c r="U3344" t="s">
        <v>81</v>
      </c>
    </row>
    <row r="3345" spans="1:21" x14ac:dyDescent="0.25">
      <c r="A3345" s="33">
        <v>3361</v>
      </c>
      <c r="B3345" s="24">
        <v>44270</v>
      </c>
      <c r="C3345" t="s">
        <v>39</v>
      </c>
      <c r="D3345" t="s">
        <v>41</v>
      </c>
      <c r="E3345">
        <v>2000712447</v>
      </c>
      <c r="F3345">
        <v>882</v>
      </c>
      <c r="G3345">
        <v>9</v>
      </c>
      <c r="H3345">
        <v>0</v>
      </c>
      <c r="I3345" t="s">
        <v>201</v>
      </c>
      <c r="J3345" t="s">
        <v>745</v>
      </c>
      <c r="K3345" t="s">
        <v>857</v>
      </c>
      <c r="O3345">
        <v>0</v>
      </c>
      <c r="U3345" t="s">
        <v>81</v>
      </c>
    </row>
    <row r="3346" spans="1:21" x14ac:dyDescent="0.25">
      <c r="A3346" s="33">
        <v>3362</v>
      </c>
      <c r="B3346" s="24">
        <v>44270</v>
      </c>
      <c r="C3346" t="s">
        <v>39</v>
      </c>
      <c r="D3346" t="s">
        <v>41</v>
      </c>
      <c r="E3346">
        <v>2000717730</v>
      </c>
      <c r="F3346">
        <v>1000</v>
      </c>
      <c r="G3346">
        <v>120</v>
      </c>
      <c r="H3346">
        <v>0</v>
      </c>
      <c r="I3346" t="s">
        <v>201</v>
      </c>
      <c r="J3346" t="s">
        <v>193</v>
      </c>
      <c r="K3346" t="s">
        <v>650</v>
      </c>
      <c r="O3346">
        <v>0</v>
      </c>
      <c r="U3346" t="s">
        <v>81</v>
      </c>
    </row>
    <row r="3347" spans="1:21" x14ac:dyDescent="0.25">
      <c r="A3347" s="33">
        <v>3363</v>
      </c>
      <c r="B3347" s="24">
        <v>44270</v>
      </c>
      <c r="C3347" t="s">
        <v>39</v>
      </c>
      <c r="D3347" t="s">
        <v>41</v>
      </c>
      <c r="E3347">
        <v>2000716845</v>
      </c>
      <c r="F3347">
        <v>1040</v>
      </c>
      <c r="G3347">
        <v>120</v>
      </c>
      <c r="H3347">
        <v>0</v>
      </c>
      <c r="I3347" t="s">
        <v>201</v>
      </c>
      <c r="J3347" t="s">
        <v>193</v>
      </c>
      <c r="K3347" t="s">
        <v>686</v>
      </c>
      <c r="O3347">
        <v>0</v>
      </c>
      <c r="U3347" t="s">
        <v>81</v>
      </c>
    </row>
    <row r="3348" spans="1:21" x14ac:dyDescent="0.25">
      <c r="A3348" s="33">
        <v>3364</v>
      </c>
      <c r="B3348" s="24">
        <v>44270</v>
      </c>
      <c r="C3348" t="s">
        <v>39</v>
      </c>
      <c r="D3348" t="s">
        <v>41</v>
      </c>
      <c r="E3348">
        <v>2000717728</v>
      </c>
      <c r="F3348">
        <v>1000</v>
      </c>
      <c r="G3348">
        <v>150</v>
      </c>
      <c r="H3348">
        <v>0</v>
      </c>
      <c r="I3348" t="s">
        <v>201</v>
      </c>
      <c r="J3348" t="s">
        <v>193</v>
      </c>
      <c r="K3348" t="s">
        <v>176</v>
      </c>
      <c r="O3348">
        <v>0</v>
      </c>
      <c r="U3348" t="s">
        <v>81</v>
      </c>
    </row>
    <row r="3349" spans="1:21" x14ac:dyDescent="0.25">
      <c r="A3349" s="33">
        <v>3365</v>
      </c>
      <c r="B3349" s="24">
        <v>44270</v>
      </c>
      <c r="C3349" t="s">
        <v>39</v>
      </c>
      <c r="D3349" t="s">
        <v>41</v>
      </c>
      <c r="E3349">
        <v>2000718211</v>
      </c>
      <c r="F3349">
        <v>1800</v>
      </c>
      <c r="G3349">
        <v>200</v>
      </c>
      <c r="H3349">
        <v>0</v>
      </c>
      <c r="I3349" t="s">
        <v>201</v>
      </c>
      <c r="J3349" t="s">
        <v>193</v>
      </c>
      <c r="K3349" t="s">
        <v>650</v>
      </c>
      <c r="O3349">
        <v>0</v>
      </c>
      <c r="U3349" t="s">
        <v>81</v>
      </c>
    </row>
    <row r="3350" spans="1:21" x14ac:dyDescent="0.25">
      <c r="A3350" s="33">
        <v>3366</v>
      </c>
      <c r="B3350" s="24">
        <v>44270</v>
      </c>
      <c r="C3350" t="s">
        <v>39</v>
      </c>
      <c r="D3350" t="s">
        <v>41</v>
      </c>
      <c r="E3350">
        <v>2000717720</v>
      </c>
      <c r="F3350">
        <v>1344</v>
      </c>
      <c r="G3350">
        <v>150</v>
      </c>
      <c r="H3350">
        <v>0</v>
      </c>
      <c r="I3350" t="s">
        <v>201</v>
      </c>
      <c r="J3350" t="s">
        <v>645</v>
      </c>
      <c r="K3350" t="s">
        <v>813</v>
      </c>
      <c r="O3350">
        <v>0</v>
      </c>
      <c r="U3350" t="s">
        <v>81</v>
      </c>
    </row>
    <row r="3351" spans="1:21" x14ac:dyDescent="0.25">
      <c r="A3351" s="33">
        <v>3368</v>
      </c>
      <c r="B3351" s="24">
        <v>44270</v>
      </c>
      <c r="C3351" t="s">
        <v>39</v>
      </c>
      <c r="D3351" t="s">
        <v>41</v>
      </c>
      <c r="E3351">
        <v>2000718256</v>
      </c>
      <c r="F3351">
        <v>2400</v>
      </c>
      <c r="G3351">
        <v>200</v>
      </c>
      <c r="H3351">
        <v>0</v>
      </c>
      <c r="I3351" t="s">
        <v>201</v>
      </c>
      <c r="J3351" t="s">
        <v>645</v>
      </c>
      <c r="K3351" t="s">
        <v>756</v>
      </c>
      <c r="O3351">
        <v>0</v>
      </c>
      <c r="U3351" t="s">
        <v>81</v>
      </c>
    </row>
    <row r="3352" spans="1:21" x14ac:dyDescent="0.25">
      <c r="A3352" s="33">
        <v>3369</v>
      </c>
      <c r="B3352" s="24">
        <v>44270</v>
      </c>
      <c r="C3352" t="s">
        <v>39</v>
      </c>
      <c r="D3352" t="s">
        <v>41</v>
      </c>
      <c r="E3352">
        <v>2000718213</v>
      </c>
      <c r="F3352">
        <v>1800</v>
      </c>
      <c r="G3352">
        <v>150</v>
      </c>
      <c r="H3352">
        <v>0</v>
      </c>
      <c r="I3352" t="s">
        <v>201</v>
      </c>
      <c r="J3352" t="s">
        <v>193</v>
      </c>
      <c r="K3352" t="s">
        <v>176</v>
      </c>
      <c r="O3352">
        <v>0</v>
      </c>
      <c r="U3352" t="s">
        <v>81</v>
      </c>
    </row>
    <row r="3353" spans="1:21" x14ac:dyDescent="0.25">
      <c r="A3353" s="33">
        <v>3370</v>
      </c>
      <c r="B3353" s="24">
        <v>44270</v>
      </c>
      <c r="C3353" t="s">
        <v>39</v>
      </c>
      <c r="D3353" t="s">
        <v>41</v>
      </c>
      <c r="E3353">
        <v>2000718333</v>
      </c>
      <c r="F3353">
        <v>3200</v>
      </c>
      <c r="G3353">
        <v>400</v>
      </c>
      <c r="H3353">
        <v>0</v>
      </c>
      <c r="I3353" t="s">
        <v>201</v>
      </c>
      <c r="J3353" t="s">
        <v>203</v>
      </c>
      <c r="K3353" t="s">
        <v>788</v>
      </c>
      <c r="O3353">
        <v>0</v>
      </c>
      <c r="U3353" t="s">
        <v>81</v>
      </c>
    </row>
    <row r="3354" spans="1:21" ht="30" x14ac:dyDescent="0.25">
      <c r="A3354" s="33">
        <v>3371</v>
      </c>
      <c r="B3354" s="24">
        <v>44270</v>
      </c>
      <c r="C3354" t="s">
        <v>39</v>
      </c>
      <c r="D3354" t="s">
        <v>41</v>
      </c>
      <c r="E3354">
        <v>2000717643</v>
      </c>
      <c r="F3354">
        <v>1800</v>
      </c>
      <c r="G3354">
        <v>240</v>
      </c>
      <c r="H3354">
        <v>0</v>
      </c>
      <c r="I3354" t="s">
        <v>201</v>
      </c>
      <c r="J3354" t="s">
        <v>745</v>
      </c>
      <c r="K3354" t="s">
        <v>746</v>
      </c>
      <c r="O3354">
        <v>0</v>
      </c>
      <c r="T3354" s="62" t="s">
        <v>723</v>
      </c>
      <c r="U3354" t="s">
        <v>81</v>
      </c>
    </row>
    <row r="3355" spans="1:21" x14ac:dyDescent="0.25">
      <c r="A3355" s="33">
        <v>3372</v>
      </c>
      <c r="B3355" s="24">
        <v>44270</v>
      </c>
      <c r="C3355" t="s">
        <v>39</v>
      </c>
      <c r="D3355" t="s">
        <v>41</v>
      </c>
      <c r="E3355">
        <v>2000717643</v>
      </c>
      <c r="F3355">
        <v>1800</v>
      </c>
      <c r="G3355">
        <v>320</v>
      </c>
      <c r="H3355">
        <v>0</v>
      </c>
      <c r="I3355" t="s">
        <v>1065</v>
      </c>
      <c r="J3355" t="s">
        <v>745</v>
      </c>
      <c r="K3355" t="s">
        <v>746</v>
      </c>
      <c r="O3355">
        <v>0</v>
      </c>
      <c r="U3355" t="s">
        <v>81</v>
      </c>
    </row>
    <row r="3356" spans="1:21" x14ac:dyDescent="0.25">
      <c r="A3356" s="33">
        <v>3373</v>
      </c>
      <c r="B3356" s="24">
        <v>44270</v>
      </c>
      <c r="C3356" t="s">
        <v>39</v>
      </c>
      <c r="D3356" t="s">
        <v>41</v>
      </c>
      <c r="E3356">
        <v>2000718333</v>
      </c>
      <c r="F3356">
        <v>3200</v>
      </c>
      <c r="G3356">
        <v>1200</v>
      </c>
      <c r="H3356">
        <v>0</v>
      </c>
      <c r="I3356" t="s">
        <v>1065</v>
      </c>
      <c r="J3356" t="s">
        <v>203</v>
      </c>
      <c r="K3356" t="s">
        <v>788</v>
      </c>
      <c r="O3356">
        <v>0</v>
      </c>
      <c r="U3356" t="s">
        <v>81</v>
      </c>
    </row>
    <row r="3357" spans="1:21" ht="30" x14ac:dyDescent="0.25">
      <c r="A3357" s="33">
        <v>3374</v>
      </c>
      <c r="B3357" s="24">
        <v>44270</v>
      </c>
      <c r="C3357" t="s">
        <v>39</v>
      </c>
      <c r="D3357" t="s">
        <v>41</v>
      </c>
      <c r="E3357">
        <v>2000714131</v>
      </c>
      <c r="F3357">
        <v>920</v>
      </c>
      <c r="G3357">
        <v>23</v>
      </c>
      <c r="H3357">
        <v>0</v>
      </c>
      <c r="I3357" t="s">
        <v>1065</v>
      </c>
      <c r="J3357" t="s">
        <v>745</v>
      </c>
      <c r="K3357" t="s">
        <v>879</v>
      </c>
      <c r="O3357">
        <v>0</v>
      </c>
      <c r="T3357" s="62" t="s">
        <v>723</v>
      </c>
      <c r="U3357" t="s">
        <v>81</v>
      </c>
    </row>
    <row r="3358" spans="1:21" x14ac:dyDescent="0.25">
      <c r="A3358" s="33">
        <v>3375</v>
      </c>
      <c r="B3358" s="24">
        <v>44270</v>
      </c>
      <c r="C3358" t="s">
        <v>39</v>
      </c>
      <c r="D3358" t="s">
        <v>41</v>
      </c>
      <c r="E3358">
        <v>2000718257</v>
      </c>
      <c r="F3358">
        <v>2400</v>
      </c>
      <c r="G3358">
        <v>150</v>
      </c>
      <c r="H3358">
        <v>0</v>
      </c>
      <c r="I3358" t="s">
        <v>1065</v>
      </c>
      <c r="J3358" t="s">
        <v>645</v>
      </c>
      <c r="K3358" t="s">
        <v>739</v>
      </c>
      <c r="O3358">
        <v>0</v>
      </c>
      <c r="U3358" t="s">
        <v>81</v>
      </c>
    </row>
    <row r="3359" spans="1:21" x14ac:dyDescent="0.25">
      <c r="A3359" s="33">
        <v>3376</v>
      </c>
      <c r="B3359" s="24">
        <v>44270</v>
      </c>
      <c r="C3359" t="s">
        <v>39</v>
      </c>
      <c r="D3359" t="s">
        <v>41</v>
      </c>
      <c r="E3359">
        <v>2000718258</v>
      </c>
      <c r="F3359">
        <v>2400</v>
      </c>
      <c r="G3359">
        <v>150</v>
      </c>
      <c r="H3359">
        <v>0</v>
      </c>
      <c r="I3359" t="s">
        <v>1065</v>
      </c>
      <c r="J3359" t="s">
        <v>645</v>
      </c>
      <c r="K3359" t="s">
        <v>658</v>
      </c>
      <c r="O3359">
        <v>0</v>
      </c>
      <c r="U3359" t="s">
        <v>81</v>
      </c>
    </row>
    <row r="3360" spans="1:21" x14ac:dyDescent="0.25">
      <c r="A3360" s="33">
        <v>3377</v>
      </c>
      <c r="B3360" s="24">
        <v>44270</v>
      </c>
      <c r="C3360" t="s">
        <v>39</v>
      </c>
      <c r="D3360" t="s">
        <v>41</v>
      </c>
      <c r="E3360">
        <v>2000718333</v>
      </c>
      <c r="F3360">
        <v>3200</v>
      </c>
      <c r="G3360">
        <v>400</v>
      </c>
      <c r="H3360">
        <v>0</v>
      </c>
      <c r="I3360" t="s">
        <v>1021</v>
      </c>
      <c r="J3360" t="s">
        <v>203</v>
      </c>
      <c r="K3360" t="s">
        <v>788</v>
      </c>
      <c r="O3360">
        <v>0</v>
      </c>
      <c r="U3360" t="s">
        <v>81</v>
      </c>
    </row>
    <row r="3361" spans="1:21" x14ac:dyDescent="0.25">
      <c r="A3361" s="33">
        <v>3378</v>
      </c>
      <c r="B3361" s="24">
        <v>44270</v>
      </c>
      <c r="C3361" t="s">
        <v>39</v>
      </c>
      <c r="D3361" t="s">
        <v>41</v>
      </c>
      <c r="E3361">
        <v>2000718666</v>
      </c>
      <c r="F3361">
        <v>2496</v>
      </c>
      <c r="G3361">
        <v>150</v>
      </c>
      <c r="H3361">
        <v>0</v>
      </c>
      <c r="I3361" t="s">
        <v>1021</v>
      </c>
      <c r="J3361" t="s">
        <v>203</v>
      </c>
      <c r="K3361" t="s">
        <v>788</v>
      </c>
      <c r="O3361">
        <v>0</v>
      </c>
      <c r="U3361" t="s">
        <v>81</v>
      </c>
    </row>
    <row r="3362" spans="1:21" x14ac:dyDescent="0.25">
      <c r="A3362" s="33">
        <v>3379</v>
      </c>
      <c r="B3362" s="24">
        <v>44270</v>
      </c>
      <c r="C3362" t="s">
        <v>39</v>
      </c>
      <c r="D3362" t="s">
        <v>51</v>
      </c>
      <c r="E3362">
        <v>2000717312</v>
      </c>
      <c r="F3362">
        <v>450</v>
      </c>
      <c r="G3362">
        <v>40</v>
      </c>
      <c r="H3362">
        <v>0</v>
      </c>
      <c r="I3362" t="s">
        <v>191</v>
      </c>
      <c r="J3362" t="s">
        <v>673</v>
      </c>
      <c r="K3362" t="s">
        <v>951</v>
      </c>
      <c r="O3362">
        <v>0</v>
      </c>
      <c r="U3362" t="s">
        <v>81</v>
      </c>
    </row>
    <row r="3363" spans="1:21" x14ac:dyDescent="0.25">
      <c r="A3363" s="33">
        <v>3380</v>
      </c>
      <c r="B3363" s="24">
        <v>44270</v>
      </c>
      <c r="C3363" t="s">
        <v>39</v>
      </c>
      <c r="D3363" t="s">
        <v>51</v>
      </c>
      <c r="E3363">
        <v>2000718024</v>
      </c>
      <c r="F3363">
        <v>400</v>
      </c>
      <c r="G3363">
        <v>400</v>
      </c>
      <c r="H3363">
        <v>0</v>
      </c>
      <c r="I3363" t="s">
        <v>191</v>
      </c>
      <c r="J3363" t="s">
        <v>669</v>
      </c>
      <c r="K3363" t="s">
        <v>679</v>
      </c>
      <c r="O3363">
        <v>0</v>
      </c>
      <c r="U3363" t="s">
        <v>81</v>
      </c>
    </row>
    <row r="3364" spans="1:21" x14ac:dyDescent="0.25">
      <c r="A3364" s="33">
        <v>3381</v>
      </c>
      <c r="B3364" s="24">
        <v>44270</v>
      </c>
      <c r="C3364" t="s">
        <v>39</v>
      </c>
      <c r="D3364" t="s">
        <v>51</v>
      </c>
      <c r="E3364">
        <v>2000718027</v>
      </c>
      <c r="F3364">
        <v>350</v>
      </c>
      <c r="G3364">
        <v>105</v>
      </c>
      <c r="H3364">
        <v>0</v>
      </c>
      <c r="I3364" t="s">
        <v>191</v>
      </c>
      <c r="J3364" t="s">
        <v>667</v>
      </c>
      <c r="K3364" t="s">
        <v>1080</v>
      </c>
      <c r="O3364">
        <v>0</v>
      </c>
      <c r="U3364" t="s">
        <v>81</v>
      </c>
    </row>
    <row r="3365" spans="1:21" x14ac:dyDescent="0.25">
      <c r="A3365" s="33">
        <v>3382</v>
      </c>
      <c r="B3365" s="24">
        <v>44270</v>
      </c>
      <c r="C3365" t="s">
        <v>39</v>
      </c>
      <c r="D3365" t="s">
        <v>51</v>
      </c>
      <c r="E3365">
        <v>2000718013</v>
      </c>
      <c r="F3365">
        <v>350</v>
      </c>
      <c r="G3365">
        <v>105</v>
      </c>
      <c r="H3365">
        <v>0</v>
      </c>
      <c r="I3365" t="s">
        <v>191</v>
      </c>
      <c r="J3365" t="s">
        <v>667</v>
      </c>
      <c r="K3365" t="s">
        <v>671</v>
      </c>
      <c r="O3365">
        <v>0</v>
      </c>
      <c r="U3365" t="s">
        <v>81</v>
      </c>
    </row>
    <row r="3366" spans="1:21" x14ac:dyDescent="0.25">
      <c r="A3366" s="33">
        <v>3383</v>
      </c>
      <c r="B3366" s="24">
        <v>44270</v>
      </c>
      <c r="C3366" t="s">
        <v>39</v>
      </c>
      <c r="D3366" t="s">
        <v>51</v>
      </c>
      <c r="E3366">
        <v>2000718390</v>
      </c>
      <c r="F3366">
        <v>400</v>
      </c>
      <c r="G3366">
        <v>229</v>
      </c>
      <c r="H3366">
        <v>0</v>
      </c>
      <c r="I3366" t="s">
        <v>191</v>
      </c>
      <c r="J3366" t="s">
        <v>676</v>
      </c>
      <c r="K3366" t="s">
        <v>677</v>
      </c>
      <c r="O3366">
        <v>0</v>
      </c>
      <c r="U3366" t="s">
        <v>81</v>
      </c>
    </row>
    <row r="3367" spans="1:21" x14ac:dyDescent="0.25">
      <c r="A3367" s="33">
        <v>3384</v>
      </c>
      <c r="B3367" s="24">
        <v>44270</v>
      </c>
      <c r="C3367" t="s">
        <v>39</v>
      </c>
      <c r="D3367" t="s">
        <v>51</v>
      </c>
      <c r="E3367">
        <v>2000718409</v>
      </c>
      <c r="F3367">
        <v>600</v>
      </c>
      <c r="G3367">
        <v>110</v>
      </c>
      <c r="H3367">
        <v>0</v>
      </c>
      <c r="I3367" t="s">
        <v>191</v>
      </c>
      <c r="J3367" t="s">
        <v>669</v>
      </c>
      <c r="K3367" t="s">
        <v>755</v>
      </c>
      <c r="O3367">
        <v>0</v>
      </c>
      <c r="U3367" t="s">
        <v>81</v>
      </c>
    </row>
    <row r="3368" spans="1:21" x14ac:dyDescent="0.25">
      <c r="A3368" s="33">
        <v>3385</v>
      </c>
      <c r="B3368" s="24">
        <v>44270</v>
      </c>
      <c r="C3368" t="s">
        <v>39</v>
      </c>
      <c r="D3368" t="s">
        <v>51</v>
      </c>
      <c r="E3368">
        <v>2000718402</v>
      </c>
      <c r="F3368">
        <v>500</v>
      </c>
      <c r="G3368">
        <v>30</v>
      </c>
      <c r="H3368">
        <v>0</v>
      </c>
      <c r="I3368" t="s">
        <v>191</v>
      </c>
      <c r="J3368" t="s">
        <v>673</v>
      </c>
      <c r="K3368" t="s">
        <v>951</v>
      </c>
      <c r="O3368">
        <v>0</v>
      </c>
      <c r="U3368" t="s">
        <v>81</v>
      </c>
    </row>
    <row r="3369" spans="1:21" x14ac:dyDescent="0.25">
      <c r="A3369" s="33">
        <v>3386</v>
      </c>
      <c r="B3369" s="24">
        <v>44270</v>
      </c>
      <c r="C3369" t="s">
        <v>39</v>
      </c>
      <c r="D3369" t="s">
        <v>51</v>
      </c>
      <c r="E3369">
        <v>2000718410</v>
      </c>
      <c r="F3369">
        <v>400</v>
      </c>
      <c r="G3369">
        <v>400</v>
      </c>
      <c r="H3369">
        <v>0</v>
      </c>
      <c r="I3369" t="s">
        <v>191</v>
      </c>
      <c r="J3369" t="s">
        <v>673</v>
      </c>
      <c r="K3369" t="s">
        <v>679</v>
      </c>
      <c r="O3369">
        <v>0</v>
      </c>
      <c r="U3369" t="s">
        <v>81</v>
      </c>
    </row>
    <row r="3370" spans="1:21" x14ac:dyDescent="0.25">
      <c r="A3370" s="33">
        <v>3387</v>
      </c>
      <c r="B3370" s="24">
        <v>44270</v>
      </c>
      <c r="C3370" t="s">
        <v>181</v>
      </c>
      <c r="D3370" t="s">
        <v>51</v>
      </c>
      <c r="E3370">
        <v>2000718402</v>
      </c>
      <c r="F3370">
        <v>500</v>
      </c>
      <c r="G3370">
        <v>100</v>
      </c>
      <c r="H3370">
        <v>0</v>
      </c>
      <c r="I3370" t="s">
        <v>706</v>
      </c>
      <c r="J3370" t="s">
        <v>673</v>
      </c>
      <c r="K3370" t="s">
        <v>951</v>
      </c>
      <c r="O3370">
        <v>0</v>
      </c>
      <c r="U3370" t="s">
        <v>81</v>
      </c>
    </row>
    <row r="3371" spans="1:21" x14ac:dyDescent="0.25">
      <c r="A3371" s="33">
        <v>3388</v>
      </c>
      <c r="B3371" s="24">
        <v>44270</v>
      </c>
      <c r="C3371" t="s">
        <v>181</v>
      </c>
      <c r="D3371" t="s">
        <v>51</v>
      </c>
      <c r="E3371">
        <v>2000718409</v>
      </c>
      <c r="F3371">
        <v>600</v>
      </c>
      <c r="G3371">
        <v>410</v>
      </c>
      <c r="H3371">
        <v>0</v>
      </c>
      <c r="I3371" t="s">
        <v>706</v>
      </c>
      <c r="J3371" t="s">
        <v>669</v>
      </c>
      <c r="K3371" t="s">
        <v>755</v>
      </c>
      <c r="O3371">
        <v>0</v>
      </c>
      <c r="U3371" t="s">
        <v>81</v>
      </c>
    </row>
    <row r="3372" spans="1:21" x14ac:dyDescent="0.25">
      <c r="A3372" s="33">
        <v>3389</v>
      </c>
      <c r="B3372" s="24">
        <v>44270</v>
      </c>
      <c r="C3372" t="s">
        <v>181</v>
      </c>
      <c r="D3372" t="s">
        <v>51</v>
      </c>
      <c r="E3372">
        <v>2000718026</v>
      </c>
      <c r="F3372">
        <v>600</v>
      </c>
      <c r="G3372">
        <v>240</v>
      </c>
      <c r="H3372">
        <v>0</v>
      </c>
      <c r="I3372" t="s">
        <v>706</v>
      </c>
      <c r="J3372" t="s">
        <v>770</v>
      </c>
      <c r="K3372" t="s">
        <v>771</v>
      </c>
      <c r="O3372">
        <v>0</v>
      </c>
      <c r="U3372" t="s">
        <v>81</v>
      </c>
    </row>
    <row r="3373" spans="1:21" x14ac:dyDescent="0.25">
      <c r="A3373" s="33">
        <v>3390</v>
      </c>
      <c r="B3373" s="24">
        <v>44270</v>
      </c>
      <c r="C3373" t="s">
        <v>181</v>
      </c>
      <c r="D3373" t="s">
        <v>51</v>
      </c>
      <c r="E3373">
        <v>2000718408</v>
      </c>
      <c r="F3373">
        <v>480</v>
      </c>
      <c r="G3373">
        <v>390</v>
      </c>
      <c r="H3373">
        <v>0</v>
      </c>
      <c r="I3373" t="s">
        <v>706</v>
      </c>
      <c r="J3373" t="s">
        <v>770</v>
      </c>
      <c r="K3373" t="s">
        <v>771</v>
      </c>
      <c r="O3373">
        <v>0</v>
      </c>
      <c r="U3373" t="s">
        <v>81</v>
      </c>
    </row>
    <row r="3374" spans="1:21" x14ac:dyDescent="0.25">
      <c r="A3374" s="33">
        <v>3391</v>
      </c>
      <c r="B3374" s="24">
        <v>44270</v>
      </c>
      <c r="C3374" t="s">
        <v>181</v>
      </c>
      <c r="D3374" t="s">
        <v>51</v>
      </c>
      <c r="E3374">
        <v>2000718018</v>
      </c>
      <c r="F3374">
        <v>350</v>
      </c>
      <c r="G3374">
        <v>80</v>
      </c>
      <c r="H3374">
        <v>0</v>
      </c>
      <c r="I3374" t="s">
        <v>706</v>
      </c>
      <c r="J3374" t="s">
        <v>673</v>
      </c>
      <c r="K3374" t="s">
        <v>760</v>
      </c>
      <c r="O3374">
        <v>0</v>
      </c>
      <c r="U3374" t="s">
        <v>81</v>
      </c>
    </row>
    <row r="3375" spans="1:21" x14ac:dyDescent="0.25">
      <c r="A3375" s="33">
        <v>3392</v>
      </c>
      <c r="B3375" s="24">
        <v>44270</v>
      </c>
      <c r="C3375" t="s">
        <v>181</v>
      </c>
      <c r="D3375" t="s">
        <v>51</v>
      </c>
      <c r="E3375">
        <v>2000718022</v>
      </c>
      <c r="F3375">
        <v>420</v>
      </c>
      <c r="G3375">
        <v>105</v>
      </c>
      <c r="H3375">
        <v>0</v>
      </c>
      <c r="I3375" t="s">
        <v>706</v>
      </c>
      <c r="J3375" t="s">
        <v>667</v>
      </c>
      <c r="K3375" t="s">
        <v>882</v>
      </c>
      <c r="O3375">
        <v>0</v>
      </c>
      <c r="U3375" t="s">
        <v>81</v>
      </c>
    </row>
    <row r="3376" spans="1:21" x14ac:dyDescent="0.25">
      <c r="A3376" s="33">
        <v>3393</v>
      </c>
      <c r="B3376" s="24">
        <v>44270</v>
      </c>
      <c r="C3376" t="s">
        <v>181</v>
      </c>
      <c r="D3376" t="s">
        <v>41</v>
      </c>
      <c r="E3376">
        <v>2000718327</v>
      </c>
      <c r="F3376">
        <v>1240</v>
      </c>
      <c r="G3376">
        <v>174</v>
      </c>
      <c r="H3376">
        <v>0</v>
      </c>
      <c r="I3376" t="s">
        <v>180</v>
      </c>
      <c r="J3376" t="s">
        <v>174</v>
      </c>
      <c r="K3376" t="s">
        <v>177</v>
      </c>
      <c r="O3376">
        <v>0</v>
      </c>
      <c r="U3376" t="s">
        <v>81</v>
      </c>
    </row>
    <row r="3377" spans="1:21" x14ac:dyDescent="0.25">
      <c r="A3377" s="33">
        <v>3394</v>
      </c>
      <c r="B3377" s="24">
        <v>44270</v>
      </c>
      <c r="C3377" t="s">
        <v>181</v>
      </c>
      <c r="D3377" t="s">
        <v>41</v>
      </c>
      <c r="E3377">
        <v>2000718663</v>
      </c>
      <c r="F3377">
        <v>320</v>
      </c>
      <c r="G3377">
        <v>198</v>
      </c>
      <c r="H3377">
        <v>0</v>
      </c>
      <c r="I3377" t="s">
        <v>180</v>
      </c>
      <c r="J3377" t="s">
        <v>174</v>
      </c>
      <c r="K3377" t="s">
        <v>870</v>
      </c>
      <c r="O3377">
        <v>0</v>
      </c>
      <c r="U3377" t="s">
        <v>81</v>
      </c>
    </row>
    <row r="3378" spans="1:21" x14ac:dyDescent="0.25">
      <c r="A3378" s="33">
        <v>3395</v>
      </c>
      <c r="B3378" s="24">
        <v>44270</v>
      </c>
      <c r="C3378" t="s">
        <v>181</v>
      </c>
      <c r="D3378" t="s">
        <v>41</v>
      </c>
      <c r="E3378">
        <v>2000718662</v>
      </c>
      <c r="F3378">
        <v>760</v>
      </c>
      <c r="G3378">
        <v>120</v>
      </c>
      <c r="H3378">
        <v>0</v>
      </c>
      <c r="I3378" t="s">
        <v>180</v>
      </c>
      <c r="J3378" t="s">
        <v>174</v>
      </c>
      <c r="K3378" t="s">
        <v>695</v>
      </c>
      <c r="O3378">
        <v>0</v>
      </c>
      <c r="U3378" t="s">
        <v>81</v>
      </c>
    </row>
    <row r="3379" spans="1:21" x14ac:dyDescent="0.25">
      <c r="A3379" s="33">
        <v>3396</v>
      </c>
      <c r="B3379" s="24">
        <v>44270</v>
      </c>
      <c r="C3379" t="s">
        <v>181</v>
      </c>
      <c r="D3379" t="s">
        <v>41</v>
      </c>
      <c r="E3379">
        <v>2000718251</v>
      </c>
      <c r="F3379">
        <v>2420</v>
      </c>
      <c r="G3379">
        <v>120</v>
      </c>
      <c r="H3379">
        <v>0</v>
      </c>
      <c r="I3379" t="s">
        <v>185</v>
      </c>
      <c r="J3379" t="s">
        <v>645</v>
      </c>
      <c r="K3379" t="s">
        <v>718</v>
      </c>
      <c r="O3379">
        <v>0</v>
      </c>
      <c r="U3379" t="s">
        <v>81</v>
      </c>
    </row>
    <row r="3380" spans="1:21" x14ac:dyDescent="0.25">
      <c r="A3380" s="33">
        <v>3397</v>
      </c>
      <c r="B3380" s="24">
        <v>44270</v>
      </c>
      <c r="C3380" t="s">
        <v>181</v>
      </c>
      <c r="D3380" t="s">
        <v>41</v>
      </c>
      <c r="E3380">
        <v>2000718187</v>
      </c>
      <c r="F3380">
        <v>900</v>
      </c>
      <c r="G3380">
        <v>60</v>
      </c>
      <c r="H3380">
        <v>0</v>
      </c>
      <c r="I3380" t="s">
        <v>185</v>
      </c>
      <c r="J3380" t="s">
        <v>169</v>
      </c>
      <c r="K3380" t="s">
        <v>190</v>
      </c>
      <c r="O3380">
        <v>0</v>
      </c>
      <c r="U3380" t="s">
        <v>81</v>
      </c>
    </row>
    <row r="3381" spans="1:21" x14ac:dyDescent="0.25">
      <c r="A3381" s="33">
        <v>3398</v>
      </c>
      <c r="B3381" s="24">
        <v>44270</v>
      </c>
      <c r="C3381" t="s">
        <v>181</v>
      </c>
      <c r="D3381" t="s">
        <v>41</v>
      </c>
      <c r="E3381">
        <v>2000718205</v>
      </c>
      <c r="F3381">
        <v>2300</v>
      </c>
      <c r="G3381">
        <v>120</v>
      </c>
      <c r="H3381">
        <v>0</v>
      </c>
      <c r="I3381" t="s">
        <v>185</v>
      </c>
      <c r="J3381" t="s">
        <v>172</v>
      </c>
      <c r="K3381" t="s">
        <v>173</v>
      </c>
      <c r="O3381">
        <v>0</v>
      </c>
      <c r="U3381" t="s">
        <v>81</v>
      </c>
    </row>
    <row r="3382" spans="1:21" x14ac:dyDescent="0.25">
      <c r="A3382" s="33">
        <v>3399</v>
      </c>
      <c r="B3382" s="24">
        <v>44270</v>
      </c>
      <c r="C3382" t="s">
        <v>181</v>
      </c>
      <c r="D3382" t="s">
        <v>41</v>
      </c>
      <c r="E3382">
        <v>2000718242</v>
      </c>
      <c r="F3382">
        <v>900</v>
      </c>
      <c r="G3382">
        <v>80</v>
      </c>
      <c r="H3382">
        <v>0</v>
      </c>
      <c r="I3382" t="s">
        <v>185</v>
      </c>
      <c r="J3382" t="s">
        <v>645</v>
      </c>
      <c r="K3382" t="s">
        <v>734</v>
      </c>
      <c r="O3382">
        <v>0</v>
      </c>
      <c r="U3382" t="s">
        <v>81</v>
      </c>
    </row>
    <row r="3383" spans="1:21" x14ac:dyDescent="0.25">
      <c r="A3383" s="33">
        <v>3400</v>
      </c>
      <c r="B3383" s="24">
        <v>44270</v>
      </c>
      <c r="C3383" t="s">
        <v>181</v>
      </c>
      <c r="D3383" t="s">
        <v>41</v>
      </c>
      <c r="E3383">
        <v>2000718188</v>
      </c>
      <c r="F3383">
        <v>900</v>
      </c>
      <c r="G3383">
        <v>80</v>
      </c>
      <c r="H3383">
        <v>0</v>
      </c>
      <c r="I3383" t="s">
        <v>185</v>
      </c>
      <c r="J3383" t="s">
        <v>169</v>
      </c>
      <c r="K3383" t="s">
        <v>663</v>
      </c>
      <c r="O3383">
        <v>0</v>
      </c>
      <c r="U3383" t="s">
        <v>81</v>
      </c>
    </row>
    <row r="3384" spans="1:21" x14ac:dyDescent="0.25">
      <c r="A3384" s="33">
        <v>3401</v>
      </c>
      <c r="B3384" s="24">
        <v>44270</v>
      </c>
      <c r="C3384" t="s">
        <v>181</v>
      </c>
      <c r="D3384" t="s">
        <v>41</v>
      </c>
      <c r="E3384">
        <v>2000718459</v>
      </c>
      <c r="F3384">
        <v>950</v>
      </c>
      <c r="G3384">
        <v>30</v>
      </c>
      <c r="H3384">
        <v>0</v>
      </c>
      <c r="I3384" t="s">
        <v>185</v>
      </c>
      <c r="J3384" t="s">
        <v>169</v>
      </c>
      <c r="K3384" t="s">
        <v>637</v>
      </c>
      <c r="O3384">
        <v>0</v>
      </c>
      <c r="U3384" t="s">
        <v>81</v>
      </c>
    </row>
    <row r="3385" spans="1:21" x14ac:dyDescent="0.25">
      <c r="A3385" s="33">
        <v>3402</v>
      </c>
      <c r="B3385" s="24">
        <v>44270</v>
      </c>
      <c r="C3385" t="s">
        <v>181</v>
      </c>
      <c r="D3385" t="s">
        <v>41</v>
      </c>
      <c r="E3385">
        <v>2000717874</v>
      </c>
      <c r="F3385">
        <v>400</v>
      </c>
      <c r="G3385">
        <v>90</v>
      </c>
      <c r="H3385">
        <v>0</v>
      </c>
      <c r="I3385" t="s">
        <v>185</v>
      </c>
      <c r="J3385" t="s">
        <v>169</v>
      </c>
      <c r="K3385" t="s">
        <v>637</v>
      </c>
      <c r="O3385">
        <v>0</v>
      </c>
      <c r="U3385" t="s">
        <v>81</v>
      </c>
    </row>
    <row r="3386" spans="1:21" x14ac:dyDescent="0.25">
      <c r="A3386" s="33">
        <v>3403</v>
      </c>
      <c r="B3386" s="24">
        <v>44270</v>
      </c>
      <c r="C3386" t="s">
        <v>181</v>
      </c>
      <c r="D3386" t="s">
        <v>41</v>
      </c>
      <c r="E3386">
        <v>2000717244</v>
      </c>
      <c r="F3386">
        <v>3993</v>
      </c>
      <c r="G3386">
        <v>120</v>
      </c>
      <c r="H3386">
        <v>0</v>
      </c>
      <c r="I3386" t="s">
        <v>185</v>
      </c>
      <c r="J3386" t="s">
        <v>687</v>
      </c>
      <c r="K3386" t="s">
        <v>688</v>
      </c>
      <c r="O3386">
        <v>0</v>
      </c>
      <c r="U3386" t="s">
        <v>81</v>
      </c>
    </row>
    <row r="3387" spans="1:21" x14ac:dyDescent="0.25">
      <c r="A3387" s="33">
        <v>3404</v>
      </c>
      <c r="B3387" s="24">
        <v>44270</v>
      </c>
      <c r="C3387" t="s">
        <v>181</v>
      </c>
      <c r="D3387" t="s">
        <v>41</v>
      </c>
      <c r="E3387">
        <v>2000718462</v>
      </c>
      <c r="F3387">
        <v>1500</v>
      </c>
      <c r="G3387">
        <v>970</v>
      </c>
      <c r="H3387">
        <v>1</v>
      </c>
      <c r="I3387" t="s">
        <v>693</v>
      </c>
      <c r="J3387" t="s">
        <v>174</v>
      </c>
      <c r="K3387" t="s">
        <v>774</v>
      </c>
      <c r="L3387" t="s">
        <v>88</v>
      </c>
      <c r="N3387" t="s">
        <v>860</v>
      </c>
      <c r="O3387">
        <v>1</v>
      </c>
      <c r="P3387" t="s">
        <v>1081</v>
      </c>
      <c r="Q3387" t="s">
        <v>1082</v>
      </c>
      <c r="R3387">
        <v>6500155467</v>
      </c>
      <c r="S3387" s="36">
        <v>0.20486111111111113</v>
      </c>
      <c r="U3387" t="s">
        <v>81</v>
      </c>
    </row>
    <row r="3388" spans="1:21" x14ac:dyDescent="0.25">
      <c r="A3388" s="33">
        <v>3405</v>
      </c>
      <c r="B3388" s="24">
        <v>44270</v>
      </c>
      <c r="C3388" t="s">
        <v>181</v>
      </c>
      <c r="D3388" t="s">
        <v>41</v>
      </c>
      <c r="E3388">
        <v>2000718327</v>
      </c>
      <c r="F3388">
        <v>1240</v>
      </c>
      <c r="G3388">
        <v>200</v>
      </c>
      <c r="H3388">
        <v>0</v>
      </c>
      <c r="I3388" t="s">
        <v>183</v>
      </c>
      <c r="J3388" t="s">
        <v>174</v>
      </c>
      <c r="K3388" t="s">
        <v>177</v>
      </c>
      <c r="O3388">
        <v>0</v>
      </c>
      <c r="U3388" t="s">
        <v>81</v>
      </c>
    </row>
    <row r="3389" spans="1:21" x14ac:dyDescent="0.25">
      <c r="A3389" s="33">
        <v>3406</v>
      </c>
      <c r="B3389" s="24">
        <v>44270</v>
      </c>
      <c r="C3389" t="s">
        <v>181</v>
      </c>
      <c r="D3389" t="s">
        <v>41</v>
      </c>
      <c r="E3389">
        <v>2000718328</v>
      </c>
      <c r="F3389">
        <v>1240</v>
      </c>
      <c r="G3389">
        <v>80</v>
      </c>
      <c r="H3389">
        <v>1</v>
      </c>
      <c r="I3389" t="s">
        <v>183</v>
      </c>
      <c r="J3389" t="s">
        <v>174</v>
      </c>
      <c r="K3389" t="s">
        <v>644</v>
      </c>
      <c r="L3389" t="s">
        <v>88</v>
      </c>
      <c r="N3389" t="s">
        <v>1070</v>
      </c>
      <c r="O3389">
        <v>1</v>
      </c>
      <c r="P3389" t="s">
        <v>1083</v>
      </c>
      <c r="R3389" t="s">
        <v>1084</v>
      </c>
      <c r="S3389" s="36">
        <v>4.6527777777777779E-2</v>
      </c>
      <c r="U3389" t="s">
        <v>81</v>
      </c>
    </row>
    <row r="3390" spans="1:21" x14ac:dyDescent="0.25">
      <c r="A3390" s="33">
        <v>3407</v>
      </c>
      <c r="B3390" s="24">
        <v>44270</v>
      </c>
      <c r="C3390" t="s">
        <v>181</v>
      </c>
      <c r="D3390" t="s">
        <v>41</v>
      </c>
      <c r="E3390">
        <v>2000718663</v>
      </c>
      <c r="F3390">
        <v>320</v>
      </c>
      <c r="G3390">
        <v>120</v>
      </c>
      <c r="H3390">
        <v>0</v>
      </c>
      <c r="I3390" t="s">
        <v>183</v>
      </c>
      <c r="J3390" t="s">
        <v>174</v>
      </c>
      <c r="K3390" t="s">
        <v>870</v>
      </c>
      <c r="O3390">
        <v>0</v>
      </c>
      <c r="U3390" t="s">
        <v>81</v>
      </c>
    </row>
    <row r="3391" spans="1:21" x14ac:dyDescent="0.25">
      <c r="A3391" s="33">
        <v>3408</v>
      </c>
      <c r="B3391" s="24">
        <v>44270</v>
      </c>
      <c r="C3391" t="s">
        <v>181</v>
      </c>
      <c r="D3391" t="s">
        <v>41</v>
      </c>
      <c r="E3391">
        <v>2000718662</v>
      </c>
      <c r="F3391">
        <v>760</v>
      </c>
      <c r="G3391">
        <v>360</v>
      </c>
      <c r="H3391">
        <v>0</v>
      </c>
      <c r="I3391" t="s">
        <v>183</v>
      </c>
      <c r="J3391" t="s">
        <v>174</v>
      </c>
      <c r="K3391" t="s">
        <v>695</v>
      </c>
      <c r="O3391">
        <v>0</v>
      </c>
      <c r="U3391" t="s">
        <v>81</v>
      </c>
    </row>
    <row r="3392" spans="1:21" x14ac:dyDescent="0.25">
      <c r="A3392" s="33">
        <v>3409</v>
      </c>
      <c r="B3392" s="24">
        <v>44270</v>
      </c>
      <c r="C3392" t="s">
        <v>181</v>
      </c>
      <c r="D3392" t="s">
        <v>41</v>
      </c>
      <c r="E3392">
        <v>2000712819</v>
      </c>
      <c r="F3392">
        <v>600</v>
      </c>
      <c r="G3392">
        <v>3</v>
      </c>
      <c r="H3392">
        <v>0</v>
      </c>
      <c r="I3392" t="s">
        <v>680</v>
      </c>
      <c r="J3392" t="s">
        <v>169</v>
      </c>
      <c r="K3392" t="s">
        <v>847</v>
      </c>
      <c r="O3392">
        <v>0</v>
      </c>
      <c r="U3392" t="s">
        <v>81</v>
      </c>
    </row>
    <row r="3393" spans="1:21" x14ac:dyDescent="0.25">
      <c r="A3393" s="33">
        <v>3410</v>
      </c>
      <c r="B3393" s="24">
        <v>44270</v>
      </c>
      <c r="C3393" t="s">
        <v>181</v>
      </c>
      <c r="D3393" t="s">
        <v>41</v>
      </c>
      <c r="E3393">
        <v>2000718261</v>
      </c>
      <c r="F3393">
        <v>1200</v>
      </c>
      <c r="G3393">
        <v>150</v>
      </c>
      <c r="H3393">
        <v>0</v>
      </c>
      <c r="I3393" t="s">
        <v>680</v>
      </c>
      <c r="J3393" t="s">
        <v>196</v>
      </c>
      <c r="K3393" t="s">
        <v>682</v>
      </c>
      <c r="O3393">
        <v>0</v>
      </c>
      <c r="U3393" t="s">
        <v>81</v>
      </c>
    </row>
    <row r="3394" spans="1:21" x14ac:dyDescent="0.25">
      <c r="A3394" s="33">
        <v>3411</v>
      </c>
      <c r="B3394" s="24">
        <v>44270</v>
      </c>
      <c r="C3394" t="s">
        <v>181</v>
      </c>
      <c r="D3394" t="s">
        <v>41</v>
      </c>
      <c r="E3394">
        <v>2000716843</v>
      </c>
      <c r="F3394">
        <v>1040</v>
      </c>
      <c r="G3394">
        <v>150</v>
      </c>
      <c r="H3394">
        <v>0</v>
      </c>
      <c r="I3394" t="s">
        <v>680</v>
      </c>
      <c r="J3394" t="s">
        <v>193</v>
      </c>
      <c r="K3394" t="s">
        <v>683</v>
      </c>
      <c r="O3394">
        <v>0</v>
      </c>
      <c r="U3394" t="s">
        <v>81</v>
      </c>
    </row>
    <row r="3395" spans="1:21" x14ac:dyDescent="0.25">
      <c r="A3395" s="33">
        <v>3412</v>
      </c>
      <c r="B3395" s="24">
        <v>44270</v>
      </c>
      <c r="C3395" t="s">
        <v>181</v>
      </c>
      <c r="D3395" t="s">
        <v>41</v>
      </c>
      <c r="E3395">
        <v>2000718666</v>
      </c>
      <c r="F3395">
        <v>2496</v>
      </c>
      <c r="G3395">
        <v>2346</v>
      </c>
      <c r="H3395">
        <v>0</v>
      </c>
      <c r="I3395" t="s">
        <v>680</v>
      </c>
      <c r="J3395" t="s">
        <v>203</v>
      </c>
      <c r="K3395" t="s">
        <v>788</v>
      </c>
      <c r="O3395">
        <v>0</v>
      </c>
      <c r="U3395" t="s">
        <v>81</v>
      </c>
    </row>
    <row r="3396" spans="1:21" x14ac:dyDescent="0.25">
      <c r="A3396" s="33">
        <v>3413</v>
      </c>
      <c r="B3396" s="24">
        <v>44270</v>
      </c>
      <c r="C3396" t="s">
        <v>181</v>
      </c>
      <c r="D3396" t="s">
        <v>41</v>
      </c>
      <c r="E3396">
        <v>2000718204</v>
      </c>
      <c r="F3396">
        <v>1320</v>
      </c>
      <c r="G3396">
        <v>200</v>
      </c>
      <c r="H3396">
        <v>0</v>
      </c>
      <c r="I3396" t="s">
        <v>680</v>
      </c>
      <c r="J3396" t="s">
        <v>172</v>
      </c>
      <c r="K3396" t="s">
        <v>725</v>
      </c>
      <c r="O3396">
        <v>0</v>
      </c>
      <c r="U3396" t="s">
        <v>81</v>
      </c>
    </row>
    <row r="3397" spans="1:21" x14ac:dyDescent="0.25">
      <c r="A3397" s="33">
        <v>3414</v>
      </c>
      <c r="B3397" s="24">
        <v>44270</v>
      </c>
      <c r="C3397" t="s">
        <v>181</v>
      </c>
      <c r="D3397" t="s">
        <v>41</v>
      </c>
      <c r="E3397">
        <v>2000718324</v>
      </c>
      <c r="F3397">
        <v>4200</v>
      </c>
      <c r="G3397">
        <v>300</v>
      </c>
      <c r="H3397">
        <v>0</v>
      </c>
      <c r="I3397" t="s">
        <v>680</v>
      </c>
      <c r="J3397" t="s">
        <v>199</v>
      </c>
      <c r="K3397" t="s">
        <v>660</v>
      </c>
      <c r="O3397">
        <v>0</v>
      </c>
      <c r="U3397" t="s">
        <v>81</v>
      </c>
    </row>
    <row r="3398" spans="1:21" x14ac:dyDescent="0.25">
      <c r="A3398" s="33">
        <v>3415</v>
      </c>
      <c r="B3398" s="24">
        <v>44270</v>
      </c>
      <c r="C3398" t="s">
        <v>181</v>
      </c>
      <c r="D3398" t="s">
        <v>41</v>
      </c>
      <c r="E3398">
        <v>2000718665</v>
      </c>
      <c r="F3398">
        <v>7890</v>
      </c>
      <c r="G3398">
        <v>300</v>
      </c>
      <c r="H3398">
        <v>0</v>
      </c>
      <c r="I3398" t="s">
        <v>680</v>
      </c>
      <c r="J3398" t="s">
        <v>200</v>
      </c>
      <c r="K3398" t="s">
        <v>737</v>
      </c>
      <c r="O3398">
        <v>0</v>
      </c>
      <c r="T3398" s="62"/>
      <c r="U3398" t="s">
        <v>81</v>
      </c>
    </row>
    <row r="3399" spans="1:21" x14ac:dyDescent="0.25">
      <c r="A3399" s="33">
        <v>3416</v>
      </c>
      <c r="B3399" s="24">
        <v>44270</v>
      </c>
      <c r="C3399" t="s">
        <v>181</v>
      </c>
      <c r="D3399" t="s">
        <v>41</v>
      </c>
      <c r="E3399">
        <v>2000718419</v>
      </c>
      <c r="F3399">
        <v>2000</v>
      </c>
      <c r="G3399">
        <v>200</v>
      </c>
      <c r="H3399">
        <v>0</v>
      </c>
      <c r="I3399" t="s">
        <v>680</v>
      </c>
      <c r="J3399" t="s">
        <v>172</v>
      </c>
      <c r="K3399" t="s">
        <v>725</v>
      </c>
      <c r="O3399">
        <v>0</v>
      </c>
      <c r="U3399" t="s">
        <v>81</v>
      </c>
    </row>
    <row r="3400" spans="1:21" x14ac:dyDescent="0.25">
      <c r="A3400" s="33">
        <v>3417</v>
      </c>
      <c r="B3400" s="24">
        <v>44270</v>
      </c>
      <c r="C3400" t="s">
        <v>181</v>
      </c>
      <c r="D3400" t="s">
        <v>41</v>
      </c>
      <c r="E3400">
        <v>2000718327</v>
      </c>
      <c r="F3400">
        <v>1240</v>
      </c>
      <c r="G3400">
        <v>120</v>
      </c>
      <c r="H3400">
        <v>0</v>
      </c>
      <c r="I3400" t="s">
        <v>198</v>
      </c>
      <c r="J3400" t="s">
        <v>174</v>
      </c>
      <c r="K3400" t="s">
        <v>177</v>
      </c>
      <c r="O3400">
        <v>0</v>
      </c>
      <c r="U3400" t="s">
        <v>81</v>
      </c>
    </row>
    <row r="3401" spans="1:21" x14ac:dyDescent="0.25">
      <c r="A3401" s="33">
        <v>3418</v>
      </c>
      <c r="B3401" s="24">
        <v>44270</v>
      </c>
      <c r="C3401" t="s">
        <v>181</v>
      </c>
      <c r="D3401" t="s">
        <v>41</v>
      </c>
      <c r="E3401">
        <v>2000718172</v>
      </c>
      <c r="F3401">
        <v>1400</v>
      </c>
      <c r="G3401">
        <v>160</v>
      </c>
      <c r="H3401">
        <v>0</v>
      </c>
      <c r="I3401" t="s">
        <v>198</v>
      </c>
      <c r="J3401" t="s">
        <v>203</v>
      </c>
      <c r="K3401" t="s">
        <v>891</v>
      </c>
      <c r="O3401">
        <v>0</v>
      </c>
      <c r="U3401" t="s">
        <v>81</v>
      </c>
    </row>
    <row r="3402" spans="1:21" x14ac:dyDescent="0.25">
      <c r="A3402" s="33">
        <v>3419</v>
      </c>
      <c r="B3402" s="24">
        <v>44270</v>
      </c>
      <c r="C3402" t="s">
        <v>181</v>
      </c>
      <c r="D3402" t="s">
        <v>41</v>
      </c>
      <c r="E3402">
        <v>2000717622</v>
      </c>
      <c r="F3402">
        <v>700</v>
      </c>
      <c r="G3402">
        <v>120</v>
      </c>
      <c r="H3402">
        <v>0</v>
      </c>
      <c r="I3402" t="s">
        <v>198</v>
      </c>
      <c r="J3402" t="s">
        <v>203</v>
      </c>
      <c r="K3402" t="s">
        <v>785</v>
      </c>
      <c r="O3402">
        <v>0</v>
      </c>
      <c r="U3402" t="s">
        <v>81</v>
      </c>
    </row>
    <row r="3403" spans="1:21" x14ac:dyDescent="0.25">
      <c r="A3403" s="33">
        <v>3420</v>
      </c>
      <c r="B3403" s="24">
        <v>44270</v>
      </c>
      <c r="C3403" t="s">
        <v>181</v>
      </c>
      <c r="D3403" t="s">
        <v>41</v>
      </c>
      <c r="E3403">
        <v>2000718170</v>
      </c>
      <c r="F3403">
        <v>670</v>
      </c>
      <c r="G3403">
        <v>30</v>
      </c>
      <c r="H3403">
        <v>0</v>
      </c>
      <c r="I3403" t="s">
        <v>198</v>
      </c>
      <c r="J3403" t="s">
        <v>203</v>
      </c>
      <c r="K3403" t="s">
        <v>785</v>
      </c>
      <c r="O3403">
        <v>0</v>
      </c>
      <c r="U3403" t="s">
        <v>81</v>
      </c>
    </row>
    <row r="3404" spans="1:21" x14ac:dyDescent="0.25">
      <c r="A3404" s="33">
        <v>3421</v>
      </c>
      <c r="B3404" s="24">
        <v>44270</v>
      </c>
      <c r="C3404" t="s">
        <v>181</v>
      </c>
      <c r="D3404" t="s">
        <v>41</v>
      </c>
      <c r="E3404">
        <v>2000717643</v>
      </c>
      <c r="F3404">
        <v>1800</v>
      </c>
      <c r="G3404">
        <v>720</v>
      </c>
      <c r="H3404">
        <v>0</v>
      </c>
      <c r="I3404" t="s">
        <v>198</v>
      </c>
      <c r="J3404" t="s">
        <v>745</v>
      </c>
      <c r="K3404" t="s">
        <v>746</v>
      </c>
      <c r="O3404">
        <v>0</v>
      </c>
      <c r="U3404" t="s">
        <v>81</v>
      </c>
    </row>
    <row r="3405" spans="1:21" x14ac:dyDescent="0.25">
      <c r="A3405" s="33">
        <v>3422</v>
      </c>
      <c r="B3405" s="24">
        <v>44270</v>
      </c>
      <c r="C3405" t="s">
        <v>181</v>
      </c>
      <c r="D3405" t="s">
        <v>41</v>
      </c>
      <c r="E3405">
        <v>2000718172</v>
      </c>
      <c r="F3405">
        <v>1400</v>
      </c>
      <c r="G3405">
        <v>590</v>
      </c>
      <c r="H3405">
        <v>0</v>
      </c>
      <c r="I3405" t="s">
        <v>184</v>
      </c>
      <c r="J3405" t="s">
        <v>203</v>
      </c>
      <c r="K3405" t="s">
        <v>891</v>
      </c>
      <c r="O3405">
        <v>0</v>
      </c>
      <c r="U3405" t="s">
        <v>81</v>
      </c>
    </row>
    <row r="3406" spans="1:21" x14ac:dyDescent="0.25">
      <c r="A3406" s="33">
        <v>3423</v>
      </c>
      <c r="B3406" s="24">
        <v>44270</v>
      </c>
      <c r="C3406" t="s">
        <v>181</v>
      </c>
      <c r="D3406" t="s">
        <v>41</v>
      </c>
      <c r="E3406">
        <v>2000718170</v>
      </c>
      <c r="F3406">
        <v>670</v>
      </c>
      <c r="G3406">
        <v>30</v>
      </c>
      <c r="H3406">
        <v>0</v>
      </c>
      <c r="I3406" t="s">
        <v>184</v>
      </c>
      <c r="J3406" t="s">
        <v>203</v>
      </c>
      <c r="K3406" t="s">
        <v>785</v>
      </c>
      <c r="O3406">
        <v>0</v>
      </c>
      <c r="U3406" t="s">
        <v>81</v>
      </c>
    </row>
    <row r="3407" spans="1:21" x14ac:dyDescent="0.25">
      <c r="A3407" s="33">
        <v>3424</v>
      </c>
      <c r="B3407" s="24">
        <v>44270</v>
      </c>
      <c r="C3407" t="s">
        <v>181</v>
      </c>
      <c r="D3407" t="s">
        <v>41</v>
      </c>
      <c r="E3407">
        <v>2000718462</v>
      </c>
      <c r="F3407">
        <v>1500</v>
      </c>
      <c r="G3407">
        <v>90</v>
      </c>
      <c r="H3407">
        <v>0</v>
      </c>
      <c r="I3407" t="s">
        <v>696</v>
      </c>
      <c r="J3407" t="s">
        <v>174</v>
      </c>
      <c r="K3407" t="s">
        <v>774</v>
      </c>
      <c r="O3407">
        <v>0</v>
      </c>
      <c r="U3407" t="s">
        <v>81</v>
      </c>
    </row>
    <row r="3408" spans="1:21" x14ac:dyDescent="0.25">
      <c r="A3408" s="33">
        <v>3425</v>
      </c>
      <c r="B3408" s="24">
        <v>44270</v>
      </c>
      <c r="C3408" t="s">
        <v>181</v>
      </c>
      <c r="D3408" t="s">
        <v>41</v>
      </c>
      <c r="E3408">
        <v>2000718661</v>
      </c>
      <c r="F3408">
        <v>340</v>
      </c>
      <c r="G3408">
        <v>340</v>
      </c>
      <c r="H3408">
        <v>0</v>
      </c>
      <c r="I3408" t="s">
        <v>696</v>
      </c>
      <c r="J3408" t="s">
        <v>174</v>
      </c>
      <c r="K3408" t="s">
        <v>722</v>
      </c>
      <c r="O3408">
        <v>0</v>
      </c>
      <c r="U3408" t="s">
        <v>81</v>
      </c>
    </row>
    <row r="3409" spans="1:21" x14ac:dyDescent="0.25">
      <c r="A3409" s="33">
        <v>3426</v>
      </c>
      <c r="B3409" s="24">
        <v>44270</v>
      </c>
      <c r="C3409" t="s">
        <v>181</v>
      </c>
      <c r="D3409" t="s">
        <v>41</v>
      </c>
      <c r="E3409">
        <v>2000718662</v>
      </c>
      <c r="F3409">
        <v>760</v>
      </c>
      <c r="G3409">
        <v>99</v>
      </c>
      <c r="H3409">
        <v>0</v>
      </c>
      <c r="I3409" t="s">
        <v>696</v>
      </c>
      <c r="J3409" t="s">
        <v>174</v>
      </c>
      <c r="K3409" t="s">
        <v>695</v>
      </c>
      <c r="O3409">
        <v>0</v>
      </c>
      <c r="U3409" t="s">
        <v>81</v>
      </c>
    </row>
    <row r="3410" spans="1:21" x14ac:dyDescent="0.25">
      <c r="A3410" s="33">
        <v>3427</v>
      </c>
      <c r="B3410" s="24">
        <v>44271</v>
      </c>
      <c r="C3410" t="s">
        <v>39</v>
      </c>
      <c r="D3410" t="s">
        <v>41</v>
      </c>
      <c r="E3410">
        <v>2000718096</v>
      </c>
      <c r="F3410">
        <v>1200</v>
      </c>
      <c r="G3410">
        <v>80</v>
      </c>
      <c r="H3410">
        <v>0</v>
      </c>
      <c r="I3410" t="s">
        <v>178</v>
      </c>
      <c r="J3410" t="s">
        <v>687</v>
      </c>
      <c r="K3410" t="s">
        <v>705</v>
      </c>
      <c r="O3410">
        <v>0</v>
      </c>
      <c r="U3410" t="s">
        <v>81</v>
      </c>
    </row>
    <row r="3411" spans="1:21" x14ac:dyDescent="0.25">
      <c r="A3411" s="33">
        <v>3428</v>
      </c>
      <c r="B3411" s="24">
        <v>44271</v>
      </c>
      <c r="C3411" t="s">
        <v>39</v>
      </c>
      <c r="D3411" t="s">
        <v>41</v>
      </c>
      <c r="E3411">
        <v>2000719087</v>
      </c>
      <c r="F3411">
        <v>280</v>
      </c>
      <c r="G3411">
        <v>20</v>
      </c>
      <c r="H3411">
        <v>0</v>
      </c>
      <c r="I3411" t="s">
        <v>178</v>
      </c>
      <c r="J3411" t="s">
        <v>175</v>
      </c>
      <c r="K3411" t="s">
        <v>886</v>
      </c>
      <c r="O3411">
        <v>0</v>
      </c>
      <c r="T3411" s="62"/>
      <c r="U3411" t="s">
        <v>81</v>
      </c>
    </row>
    <row r="3412" spans="1:21" x14ac:dyDescent="0.25">
      <c r="A3412" s="33">
        <v>3429</v>
      </c>
      <c r="B3412" s="24">
        <v>44271</v>
      </c>
      <c r="C3412" t="s">
        <v>39</v>
      </c>
      <c r="D3412" t="s">
        <v>41</v>
      </c>
      <c r="E3412">
        <v>2000718466</v>
      </c>
      <c r="F3412">
        <v>2384</v>
      </c>
      <c r="G3412">
        <v>120</v>
      </c>
      <c r="H3412">
        <v>0</v>
      </c>
      <c r="I3412" t="s">
        <v>178</v>
      </c>
      <c r="J3412" t="s">
        <v>655</v>
      </c>
      <c r="K3412" t="s">
        <v>939</v>
      </c>
      <c r="O3412">
        <v>0</v>
      </c>
      <c r="T3412" s="62"/>
      <c r="U3412" t="s">
        <v>81</v>
      </c>
    </row>
    <row r="3413" spans="1:21" x14ac:dyDescent="0.25">
      <c r="A3413" s="33">
        <v>3430</v>
      </c>
      <c r="B3413" s="24">
        <v>44271</v>
      </c>
      <c r="C3413" t="s">
        <v>39</v>
      </c>
      <c r="D3413" t="s">
        <v>41</v>
      </c>
      <c r="E3413">
        <v>2000718465</v>
      </c>
      <c r="F3413">
        <v>3200</v>
      </c>
      <c r="G3413">
        <v>120</v>
      </c>
      <c r="H3413">
        <v>0</v>
      </c>
      <c r="I3413" t="s">
        <v>178</v>
      </c>
      <c r="J3413" t="s">
        <v>200</v>
      </c>
      <c r="K3413" t="s">
        <v>653</v>
      </c>
      <c r="O3413">
        <v>0</v>
      </c>
      <c r="U3413" t="s">
        <v>81</v>
      </c>
    </row>
    <row r="3414" spans="1:21" x14ac:dyDescent="0.25">
      <c r="A3414" s="33">
        <v>3431</v>
      </c>
      <c r="B3414" s="24">
        <v>44271</v>
      </c>
      <c r="C3414" t="s">
        <v>39</v>
      </c>
      <c r="D3414" t="s">
        <v>41</v>
      </c>
      <c r="E3414">
        <v>2000718459</v>
      </c>
      <c r="F3414">
        <v>950</v>
      </c>
      <c r="G3414">
        <v>60</v>
      </c>
      <c r="H3414">
        <v>0</v>
      </c>
      <c r="I3414" t="s">
        <v>178</v>
      </c>
      <c r="J3414" t="s">
        <v>169</v>
      </c>
      <c r="K3414" t="s">
        <v>637</v>
      </c>
      <c r="O3414">
        <v>0</v>
      </c>
      <c r="U3414" t="s">
        <v>81</v>
      </c>
    </row>
    <row r="3415" spans="1:21" x14ac:dyDescent="0.25">
      <c r="A3415" s="33">
        <v>3432</v>
      </c>
      <c r="B3415" s="24">
        <v>44271</v>
      </c>
      <c r="C3415" t="s">
        <v>39</v>
      </c>
      <c r="D3415" t="s">
        <v>41</v>
      </c>
      <c r="E3415">
        <v>2000719089</v>
      </c>
      <c r="F3415">
        <v>1050</v>
      </c>
      <c r="G3415">
        <v>80</v>
      </c>
      <c r="H3415">
        <v>0</v>
      </c>
      <c r="I3415" t="s">
        <v>178</v>
      </c>
      <c r="J3415" t="s">
        <v>645</v>
      </c>
      <c r="K3415" t="s">
        <v>765</v>
      </c>
      <c r="O3415">
        <v>0</v>
      </c>
      <c r="U3415" t="s">
        <v>81</v>
      </c>
    </row>
    <row r="3416" spans="1:21" x14ac:dyDescent="0.25">
      <c r="A3416" s="33">
        <v>3433</v>
      </c>
      <c r="B3416" s="24">
        <v>44271</v>
      </c>
      <c r="C3416" t="s">
        <v>39</v>
      </c>
      <c r="D3416" t="s">
        <v>41</v>
      </c>
      <c r="E3416">
        <v>2000718439</v>
      </c>
      <c r="F3416">
        <v>1200</v>
      </c>
      <c r="G3416">
        <v>80</v>
      </c>
      <c r="H3416">
        <v>0</v>
      </c>
      <c r="I3416" t="s">
        <v>178</v>
      </c>
      <c r="J3416" t="s">
        <v>645</v>
      </c>
      <c r="K3416" t="s">
        <v>721</v>
      </c>
      <c r="O3416">
        <v>0</v>
      </c>
      <c r="U3416" t="s">
        <v>81</v>
      </c>
    </row>
    <row r="3417" spans="1:21" x14ac:dyDescent="0.25">
      <c r="A3417" s="33">
        <v>3434</v>
      </c>
      <c r="B3417" s="24">
        <v>44271</v>
      </c>
      <c r="C3417" t="s">
        <v>39</v>
      </c>
      <c r="D3417" t="s">
        <v>41</v>
      </c>
      <c r="E3417">
        <v>2000718241</v>
      </c>
      <c r="F3417">
        <v>300</v>
      </c>
      <c r="G3417">
        <v>80</v>
      </c>
      <c r="H3417">
        <v>0</v>
      </c>
      <c r="I3417" t="s">
        <v>178</v>
      </c>
      <c r="J3417" t="s">
        <v>645</v>
      </c>
      <c r="K3417" t="s">
        <v>719</v>
      </c>
      <c r="O3417">
        <v>0</v>
      </c>
      <c r="U3417" t="s">
        <v>81</v>
      </c>
    </row>
    <row r="3418" spans="1:21" x14ac:dyDescent="0.25">
      <c r="A3418" s="33">
        <v>3435</v>
      </c>
      <c r="B3418" s="24">
        <v>44271</v>
      </c>
      <c r="C3418" t="s">
        <v>39</v>
      </c>
      <c r="D3418" t="s">
        <v>41</v>
      </c>
      <c r="E3418">
        <v>2000718422</v>
      </c>
      <c r="F3418">
        <v>2000</v>
      </c>
      <c r="G3418">
        <v>120</v>
      </c>
      <c r="H3418">
        <v>0</v>
      </c>
      <c r="I3418" t="s">
        <v>178</v>
      </c>
      <c r="J3418" t="s">
        <v>172</v>
      </c>
      <c r="K3418" t="s">
        <v>692</v>
      </c>
      <c r="O3418">
        <v>0</v>
      </c>
      <c r="U3418" t="s">
        <v>81</v>
      </c>
    </row>
    <row r="3419" spans="1:21" x14ac:dyDescent="0.25">
      <c r="A3419" s="33">
        <v>3436</v>
      </c>
      <c r="B3419" s="24">
        <v>44271</v>
      </c>
      <c r="C3419" t="s">
        <v>39</v>
      </c>
      <c r="D3419" t="s">
        <v>41</v>
      </c>
      <c r="E3419">
        <v>2000718662</v>
      </c>
      <c r="F3419">
        <v>760</v>
      </c>
      <c r="G3419">
        <v>100</v>
      </c>
      <c r="H3419">
        <v>0</v>
      </c>
      <c r="I3419" t="s">
        <v>666</v>
      </c>
      <c r="J3419" t="s">
        <v>174</v>
      </c>
      <c r="K3419" t="s">
        <v>695</v>
      </c>
      <c r="O3419">
        <v>0</v>
      </c>
      <c r="U3419" t="s">
        <v>81</v>
      </c>
    </row>
    <row r="3420" spans="1:21" x14ac:dyDescent="0.25">
      <c r="A3420" s="33">
        <v>3437</v>
      </c>
      <c r="B3420" s="24">
        <v>44271</v>
      </c>
      <c r="C3420" t="s">
        <v>39</v>
      </c>
      <c r="D3420" t="s">
        <v>41</v>
      </c>
      <c r="E3420">
        <v>2000718747</v>
      </c>
      <c r="F3420">
        <v>600</v>
      </c>
      <c r="G3420">
        <v>480</v>
      </c>
      <c r="H3420">
        <v>0</v>
      </c>
      <c r="I3420" t="s">
        <v>666</v>
      </c>
      <c r="J3420" t="s">
        <v>174</v>
      </c>
      <c r="K3420" t="s">
        <v>695</v>
      </c>
      <c r="O3420">
        <v>0</v>
      </c>
      <c r="T3420" s="62"/>
      <c r="U3420" t="s">
        <v>81</v>
      </c>
    </row>
    <row r="3421" spans="1:21" x14ac:dyDescent="0.25">
      <c r="A3421" s="33">
        <v>3438</v>
      </c>
      <c r="B3421" s="24">
        <v>44271</v>
      </c>
      <c r="C3421" t="s">
        <v>39</v>
      </c>
      <c r="D3421" t="s">
        <v>41</v>
      </c>
      <c r="E3421">
        <v>2000717861</v>
      </c>
      <c r="F3421">
        <v>760</v>
      </c>
      <c r="G3421">
        <v>40</v>
      </c>
      <c r="H3421">
        <v>0</v>
      </c>
      <c r="I3421" t="s">
        <v>666</v>
      </c>
      <c r="J3421" t="s">
        <v>174</v>
      </c>
      <c r="K3421" t="s">
        <v>644</v>
      </c>
      <c r="O3421">
        <v>0</v>
      </c>
      <c r="U3421" t="s">
        <v>81</v>
      </c>
    </row>
    <row r="3422" spans="1:21" x14ac:dyDescent="0.25">
      <c r="A3422" s="33">
        <v>3439</v>
      </c>
      <c r="B3422" s="24">
        <v>44271</v>
      </c>
      <c r="C3422" t="s">
        <v>39</v>
      </c>
      <c r="D3422" t="s">
        <v>41</v>
      </c>
      <c r="E3422">
        <v>2000718746</v>
      </c>
      <c r="F3422">
        <v>580</v>
      </c>
      <c r="G3422">
        <v>80</v>
      </c>
      <c r="H3422">
        <v>0</v>
      </c>
      <c r="I3422" t="s">
        <v>666</v>
      </c>
      <c r="J3422" t="s">
        <v>174</v>
      </c>
      <c r="K3422" t="s">
        <v>177</v>
      </c>
      <c r="O3422">
        <v>0</v>
      </c>
      <c r="U3422" t="s">
        <v>81</v>
      </c>
    </row>
    <row r="3423" spans="1:21" x14ac:dyDescent="0.25">
      <c r="A3423" s="33">
        <v>3440</v>
      </c>
      <c r="B3423" s="24">
        <v>44271</v>
      </c>
      <c r="C3423" t="s">
        <v>39</v>
      </c>
      <c r="D3423" t="s">
        <v>41</v>
      </c>
      <c r="E3423">
        <v>2000718172</v>
      </c>
      <c r="F3423">
        <v>1400</v>
      </c>
      <c r="G3423">
        <v>233</v>
      </c>
      <c r="H3423">
        <v>0</v>
      </c>
      <c r="I3423" t="s">
        <v>168</v>
      </c>
      <c r="J3423" t="s">
        <v>203</v>
      </c>
      <c r="K3423" t="s">
        <v>891</v>
      </c>
      <c r="O3423">
        <v>0</v>
      </c>
      <c r="U3423" t="s">
        <v>81</v>
      </c>
    </row>
    <row r="3424" spans="1:21" x14ac:dyDescent="0.25">
      <c r="A3424" s="33">
        <v>3441</v>
      </c>
      <c r="B3424" s="24">
        <v>44271</v>
      </c>
      <c r="C3424" t="s">
        <v>39</v>
      </c>
      <c r="D3424" t="s">
        <v>41</v>
      </c>
      <c r="E3424">
        <v>2000717622</v>
      </c>
      <c r="F3424">
        <v>700</v>
      </c>
      <c r="G3424">
        <v>30</v>
      </c>
      <c r="H3424">
        <v>0</v>
      </c>
      <c r="I3424" t="s">
        <v>168</v>
      </c>
      <c r="J3424" t="s">
        <v>203</v>
      </c>
      <c r="K3424" t="s">
        <v>785</v>
      </c>
      <c r="O3424">
        <v>0</v>
      </c>
      <c r="U3424" t="s">
        <v>81</v>
      </c>
    </row>
    <row r="3425" spans="1:21" x14ac:dyDescent="0.25">
      <c r="A3425" s="33">
        <v>3442</v>
      </c>
      <c r="B3425" s="24">
        <v>44271</v>
      </c>
      <c r="C3425" t="s">
        <v>39</v>
      </c>
      <c r="D3425" t="s">
        <v>41</v>
      </c>
      <c r="E3425">
        <v>2000718170</v>
      </c>
      <c r="F3425">
        <v>670</v>
      </c>
      <c r="G3425">
        <v>30</v>
      </c>
      <c r="H3425">
        <v>0</v>
      </c>
      <c r="I3425" t="s">
        <v>168</v>
      </c>
      <c r="J3425" t="s">
        <v>203</v>
      </c>
      <c r="K3425" t="s">
        <v>785</v>
      </c>
      <c r="O3425">
        <v>0</v>
      </c>
      <c r="U3425" t="s">
        <v>81</v>
      </c>
    </row>
    <row r="3426" spans="1:21" x14ac:dyDescent="0.25">
      <c r="A3426" s="33">
        <v>3443</v>
      </c>
      <c r="B3426" s="24">
        <v>44271</v>
      </c>
      <c r="C3426" t="s">
        <v>39</v>
      </c>
      <c r="D3426" t="s">
        <v>41</v>
      </c>
      <c r="E3426">
        <v>2000718445</v>
      </c>
      <c r="F3426">
        <v>1060</v>
      </c>
      <c r="G3426">
        <v>230</v>
      </c>
      <c r="H3426">
        <v>0</v>
      </c>
      <c r="I3426" t="s">
        <v>168</v>
      </c>
      <c r="J3426" t="s">
        <v>203</v>
      </c>
      <c r="K3426" t="s">
        <v>785</v>
      </c>
      <c r="O3426">
        <v>0</v>
      </c>
      <c r="U3426" t="s">
        <v>81</v>
      </c>
    </row>
    <row r="3427" spans="1:21" x14ac:dyDescent="0.25">
      <c r="A3427" s="33">
        <v>3444</v>
      </c>
      <c r="B3427" s="24">
        <v>44271</v>
      </c>
      <c r="C3427" t="s">
        <v>39</v>
      </c>
      <c r="D3427" t="s">
        <v>41</v>
      </c>
      <c r="E3427">
        <v>2000718662</v>
      </c>
      <c r="F3427">
        <v>760</v>
      </c>
      <c r="G3427">
        <v>80</v>
      </c>
      <c r="H3427">
        <v>0</v>
      </c>
      <c r="I3427" t="s">
        <v>194</v>
      </c>
      <c r="J3427" t="s">
        <v>174</v>
      </c>
      <c r="K3427" t="s">
        <v>695</v>
      </c>
      <c r="O3427">
        <v>0</v>
      </c>
      <c r="T3427" s="62"/>
      <c r="U3427" t="s">
        <v>81</v>
      </c>
    </row>
    <row r="3428" spans="1:21" x14ac:dyDescent="0.25">
      <c r="A3428" s="33">
        <v>3445</v>
      </c>
      <c r="B3428" s="24">
        <v>44271</v>
      </c>
      <c r="C3428" t="s">
        <v>39</v>
      </c>
      <c r="D3428" t="s">
        <v>41</v>
      </c>
      <c r="E3428">
        <v>2000718746</v>
      </c>
      <c r="F3428">
        <v>580</v>
      </c>
      <c r="G3428">
        <v>360</v>
      </c>
      <c r="H3428">
        <v>0</v>
      </c>
      <c r="I3428" t="s">
        <v>194</v>
      </c>
      <c r="J3428" t="s">
        <v>174</v>
      </c>
      <c r="K3428" t="s">
        <v>177</v>
      </c>
      <c r="O3428">
        <v>0</v>
      </c>
      <c r="U3428" t="s">
        <v>81</v>
      </c>
    </row>
    <row r="3429" spans="1:21" x14ac:dyDescent="0.25">
      <c r="A3429" s="33">
        <v>3446</v>
      </c>
      <c r="B3429" s="24">
        <v>44271</v>
      </c>
      <c r="C3429" t="s">
        <v>39</v>
      </c>
      <c r="D3429" t="s">
        <v>41</v>
      </c>
      <c r="E3429">
        <v>2000718547</v>
      </c>
      <c r="F3429">
        <v>446</v>
      </c>
      <c r="G3429">
        <v>1</v>
      </c>
      <c r="H3429">
        <v>0</v>
      </c>
      <c r="I3429" t="s">
        <v>194</v>
      </c>
      <c r="J3429" t="s">
        <v>174</v>
      </c>
      <c r="K3429" t="s">
        <v>662</v>
      </c>
      <c r="O3429">
        <v>0</v>
      </c>
      <c r="U3429" t="s">
        <v>81</v>
      </c>
    </row>
    <row r="3430" spans="1:21" x14ac:dyDescent="0.25">
      <c r="A3430" s="33">
        <v>3447</v>
      </c>
      <c r="B3430" s="24">
        <v>44271</v>
      </c>
      <c r="C3430" t="s">
        <v>39</v>
      </c>
      <c r="D3430" t="s">
        <v>41</v>
      </c>
      <c r="E3430">
        <v>2000718463</v>
      </c>
      <c r="F3430">
        <v>540</v>
      </c>
      <c r="G3430">
        <v>180</v>
      </c>
      <c r="H3430">
        <v>0</v>
      </c>
      <c r="I3430" t="s">
        <v>194</v>
      </c>
      <c r="J3430" t="s">
        <v>698</v>
      </c>
      <c r="K3430" t="s">
        <v>699</v>
      </c>
      <c r="O3430">
        <v>0</v>
      </c>
      <c r="U3430" t="s">
        <v>81</v>
      </c>
    </row>
    <row r="3431" spans="1:21" x14ac:dyDescent="0.25">
      <c r="A3431" s="33">
        <v>3448</v>
      </c>
      <c r="B3431" s="24">
        <v>44271</v>
      </c>
      <c r="C3431" t="s">
        <v>39</v>
      </c>
      <c r="D3431" t="s">
        <v>41</v>
      </c>
      <c r="E3431">
        <v>2000717729</v>
      </c>
      <c r="F3431">
        <v>1000</v>
      </c>
      <c r="G3431">
        <v>200</v>
      </c>
      <c r="H3431">
        <v>0</v>
      </c>
      <c r="I3431" t="s">
        <v>201</v>
      </c>
      <c r="J3431" t="s">
        <v>193</v>
      </c>
      <c r="K3431" t="s">
        <v>683</v>
      </c>
      <c r="O3431">
        <v>0</v>
      </c>
      <c r="U3431" t="s">
        <v>81</v>
      </c>
    </row>
    <row r="3432" spans="1:21" x14ac:dyDescent="0.25">
      <c r="A3432" s="33">
        <v>3449</v>
      </c>
      <c r="B3432" s="24">
        <v>44271</v>
      </c>
      <c r="C3432" t="s">
        <v>39</v>
      </c>
      <c r="D3432" t="s">
        <v>41</v>
      </c>
      <c r="E3432">
        <v>2000718420</v>
      </c>
      <c r="F3432">
        <v>1000</v>
      </c>
      <c r="G3432">
        <v>200</v>
      </c>
      <c r="H3432">
        <v>0</v>
      </c>
      <c r="I3432" t="s">
        <v>201</v>
      </c>
      <c r="J3432" t="s">
        <v>172</v>
      </c>
      <c r="K3432" t="s">
        <v>725</v>
      </c>
      <c r="O3432">
        <v>0</v>
      </c>
      <c r="U3432" t="s">
        <v>81</v>
      </c>
    </row>
    <row r="3433" spans="1:21" x14ac:dyDescent="0.25">
      <c r="A3433" s="33">
        <v>3450</v>
      </c>
      <c r="B3433" s="24">
        <v>44271</v>
      </c>
      <c r="C3433" t="s">
        <v>39</v>
      </c>
      <c r="D3433" t="s">
        <v>41</v>
      </c>
      <c r="E3433">
        <v>2000718260</v>
      </c>
      <c r="F3433">
        <v>1200</v>
      </c>
      <c r="G3433">
        <v>200</v>
      </c>
      <c r="H3433">
        <v>0</v>
      </c>
      <c r="I3433" t="s">
        <v>201</v>
      </c>
      <c r="J3433" t="s">
        <v>196</v>
      </c>
      <c r="K3433" t="s">
        <v>684</v>
      </c>
      <c r="O3433">
        <v>0</v>
      </c>
      <c r="U3433" t="s">
        <v>81</v>
      </c>
    </row>
    <row r="3434" spans="1:21" x14ac:dyDescent="0.25">
      <c r="A3434" s="33">
        <v>3451</v>
      </c>
      <c r="B3434" s="24">
        <v>44271</v>
      </c>
      <c r="C3434" t="s">
        <v>39</v>
      </c>
      <c r="D3434" t="s">
        <v>41</v>
      </c>
      <c r="E3434">
        <v>2000715607</v>
      </c>
      <c r="F3434">
        <v>450</v>
      </c>
      <c r="G3434">
        <v>300</v>
      </c>
      <c r="H3434">
        <v>0</v>
      </c>
      <c r="I3434" t="s">
        <v>201</v>
      </c>
      <c r="J3434" t="s">
        <v>651</v>
      </c>
      <c r="K3434" t="s">
        <v>847</v>
      </c>
      <c r="O3434">
        <v>0</v>
      </c>
      <c r="T3434" s="62"/>
      <c r="U3434" t="s">
        <v>81</v>
      </c>
    </row>
    <row r="3435" spans="1:21" x14ac:dyDescent="0.25">
      <c r="A3435" s="33">
        <v>3452</v>
      </c>
      <c r="B3435" s="24">
        <v>44271</v>
      </c>
      <c r="C3435" t="s">
        <v>39</v>
      </c>
      <c r="D3435" t="s">
        <v>41</v>
      </c>
      <c r="E3435">
        <v>2000718262</v>
      </c>
      <c r="F3435">
        <v>1200</v>
      </c>
      <c r="G3435">
        <v>300</v>
      </c>
      <c r="H3435">
        <v>0</v>
      </c>
      <c r="I3435" t="s">
        <v>201</v>
      </c>
      <c r="J3435" t="s">
        <v>196</v>
      </c>
      <c r="K3435" t="s">
        <v>685</v>
      </c>
      <c r="O3435">
        <v>0</v>
      </c>
      <c r="T3435" s="62"/>
      <c r="U3435" t="s">
        <v>81</v>
      </c>
    </row>
    <row r="3436" spans="1:21" x14ac:dyDescent="0.25">
      <c r="A3436" s="33">
        <v>3453</v>
      </c>
      <c r="B3436" s="24">
        <v>44271</v>
      </c>
      <c r="C3436" t="s">
        <v>39</v>
      </c>
      <c r="D3436" t="s">
        <v>41</v>
      </c>
      <c r="E3436">
        <v>2000717731</v>
      </c>
      <c r="F3436">
        <v>1000</v>
      </c>
      <c r="G3436">
        <v>200</v>
      </c>
      <c r="H3436">
        <v>0</v>
      </c>
      <c r="I3436" t="s">
        <v>201</v>
      </c>
      <c r="J3436" t="s">
        <v>193</v>
      </c>
      <c r="K3436" t="s">
        <v>686</v>
      </c>
      <c r="O3436">
        <v>0</v>
      </c>
      <c r="T3436" s="62"/>
      <c r="U3436" t="s">
        <v>81</v>
      </c>
    </row>
    <row r="3437" spans="1:21" x14ac:dyDescent="0.25">
      <c r="A3437" s="33">
        <v>3454</v>
      </c>
      <c r="B3437" s="24">
        <v>44271</v>
      </c>
      <c r="C3437" t="s">
        <v>39</v>
      </c>
      <c r="D3437" t="s">
        <v>41</v>
      </c>
      <c r="E3437">
        <v>2000718820</v>
      </c>
      <c r="F3437">
        <v>3609</v>
      </c>
      <c r="G3437">
        <v>240</v>
      </c>
      <c r="H3437">
        <v>0</v>
      </c>
      <c r="I3437" t="s">
        <v>201</v>
      </c>
      <c r="J3437" t="s">
        <v>169</v>
      </c>
      <c r="K3437" t="s">
        <v>652</v>
      </c>
      <c r="O3437">
        <v>0</v>
      </c>
      <c r="U3437" t="s">
        <v>81</v>
      </c>
    </row>
    <row r="3438" spans="1:21" x14ac:dyDescent="0.25">
      <c r="A3438" s="33">
        <v>3455</v>
      </c>
      <c r="B3438" s="24">
        <v>44271</v>
      </c>
      <c r="C3438" t="s">
        <v>39</v>
      </c>
      <c r="D3438" t="s">
        <v>41</v>
      </c>
      <c r="E3438">
        <v>2000716803</v>
      </c>
      <c r="F3438">
        <v>2000</v>
      </c>
      <c r="G3438">
        <v>300</v>
      </c>
      <c r="H3438">
        <v>0</v>
      </c>
      <c r="I3438" t="s">
        <v>201</v>
      </c>
      <c r="J3438" t="s">
        <v>172</v>
      </c>
      <c r="K3438" t="s">
        <v>725</v>
      </c>
      <c r="O3438">
        <v>0</v>
      </c>
      <c r="U3438" t="s">
        <v>81</v>
      </c>
    </row>
    <row r="3439" spans="1:21" x14ac:dyDescent="0.25">
      <c r="A3439" s="33">
        <v>3456</v>
      </c>
      <c r="B3439" s="24">
        <v>44271</v>
      </c>
      <c r="C3439" t="s">
        <v>39</v>
      </c>
      <c r="D3439" t="s">
        <v>41</v>
      </c>
      <c r="E3439">
        <v>2000716802</v>
      </c>
      <c r="F3439">
        <v>540</v>
      </c>
      <c r="G3439">
        <v>200</v>
      </c>
      <c r="H3439">
        <v>0</v>
      </c>
      <c r="I3439" t="s">
        <v>201</v>
      </c>
      <c r="J3439" t="s">
        <v>172</v>
      </c>
      <c r="K3439" t="s">
        <v>725</v>
      </c>
      <c r="O3439">
        <v>0</v>
      </c>
      <c r="U3439" t="s">
        <v>81</v>
      </c>
    </row>
    <row r="3440" spans="1:21" x14ac:dyDescent="0.25">
      <c r="A3440" s="33">
        <v>3457</v>
      </c>
      <c r="B3440" s="24">
        <v>44271</v>
      </c>
      <c r="C3440" t="s">
        <v>39</v>
      </c>
      <c r="D3440" t="s">
        <v>41</v>
      </c>
      <c r="E3440">
        <v>2000718819</v>
      </c>
      <c r="F3440">
        <v>1800</v>
      </c>
      <c r="G3440">
        <v>120</v>
      </c>
      <c r="H3440">
        <v>0</v>
      </c>
      <c r="I3440" t="s">
        <v>201</v>
      </c>
      <c r="J3440" t="s">
        <v>745</v>
      </c>
      <c r="K3440" t="s">
        <v>746</v>
      </c>
      <c r="O3440">
        <v>0</v>
      </c>
      <c r="U3440" t="s">
        <v>81</v>
      </c>
    </row>
    <row r="3441" spans="1:21" x14ac:dyDescent="0.25">
      <c r="A3441" s="33">
        <v>3458</v>
      </c>
      <c r="B3441" s="24">
        <v>44271</v>
      </c>
      <c r="C3441" t="s">
        <v>39</v>
      </c>
      <c r="D3441" t="s">
        <v>41</v>
      </c>
      <c r="E3441">
        <v>2000718212</v>
      </c>
      <c r="F3441">
        <v>1800</v>
      </c>
      <c r="G3441">
        <v>160</v>
      </c>
      <c r="H3441">
        <v>0</v>
      </c>
      <c r="I3441" t="s">
        <v>1065</v>
      </c>
      <c r="J3441" t="s">
        <v>193</v>
      </c>
      <c r="K3441" t="s">
        <v>686</v>
      </c>
      <c r="O3441">
        <v>0</v>
      </c>
      <c r="U3441" t="s">
        <v>81</v>
      </c>
    </row>
    <row r="3442" spans="1:21" x14ac:dyDescent="0.25">
      <c r="A3442" s="33">
        <v>3459</v>
      </c>
      <c r="B3442" s="24">
        <v>44271</v>
      </c>
      <c r="C3442" t="s">
        <v>39</v>
      </c>
      <c r="D3442" t="s">
        <v>41</v>
      </c>
      <c r="E3442">
        <v>2000717643</v>
      </c>
      <c r="F3442">
        <v>1800</v>
      </c>
      <c r="G3442">
        <v>120</v>
      </c>
      <c r="H3442">
        <v>0</v>
      </c>
      <c r="I3442" t="s">
        <v>1065</v>
      </c>
      <c r="J3442" t="s">
        <v>745</v>
      </c>
      <c r="K3442" t="s">
        <v>746</v>
      </c>
      <c r="O3442">
        <v>0</v>
      </c>
      <c r="U3442" t="s">
        <v>81</v>
      </c>
    </row>
    <row r="3443" spans="1:21" x14ac:dyDescent="0.25">
      <c r="A3443" s="33">
        <v>3460</v>
      </c>
      <c r="B3443" s="24">
        <v>44271</v>
      </c>
      <c r="C3443" t="s">
        <v>39</v>
      </c>
      <c r="D3443" t="s">
        <v>41</v>
      </c>
      <c r="E3443">
        <v>2000718819</v>
      </c>
      <c r="F3443">
        <v>1800</v>
      </c>
      <c r="G3443">
        <v>240</v>
      </c>
      <c r="H3443">
        <v>0</v>
      </c>
      <c r="I3443" t="s">
        <v>1065</v>
      </c>
      <c r="J3443" t="s">
        <v>745</v>
      </c>
      <c r="K3443" t="s">
        <v>746</v>
      </c>
      <c r="O3443">
        <v>0</v>
      </c>
      <c r="U3443" t="s">
        <v>81</v>
      </c>
    </row>
    <row r="3444" spans="1:21" x14ac:dyDescent="0.25">
      <c r="A3444" s="33">
        <v>3461</v>
      </c>
      <c r="B3444" s="24">
        <v>44271</v>
      </c>
      <c r="C3444" t="s">
        <v>39</v>
      </c>
      <c r="D3444" t="s">
        <v>41</v>
      </c>
      <c r="E3444">
        <v>2000715193</v>
      </c>
      <c r="F3444">
        <v>1680</v>
      </c>
      <c r="G3444">
        <v>240</v>
      </c>
      <c r="H3444">
        <v>0</v>
      </c>
      <c r="I3444" t="s">
        <v>1065</v>
      </c>
      <c r="J3444" t="s">
        <v>203</v>
      </c>
      <c r="K3444" t="s">
        <v>640</v>
      </c>
      <c r="O3444">
        <v>0</v>
      </c>
      <c r="U3444" t="s">
        <v>81</v>
      </c>
    </row>
    <row r="3445" spans="1:21" x14ac:dyDescent="0.25">
      <c r="A3445" s="33">
        <v>3462</v>
      </c>
      <c r="B3445" s="24">
        <v>44271</v>
      </c>
      <c r="C3445" t="s">
        <v>39</v>
      </c>
      <c r="D3445" t="s">
        <v>41</v>
      </c>
      <c r="E3445">
        <v>2000718261</v>
      </c>
      <c r="F3445">
        <v>1200</v>
      </c>
      <c r="G3445">
        <v>100</v>
      </c>
      <c r="H3445">
        <v>0</v>
      </c>
      <c r="I3445" t="s">
        <v>1065</v>
      </c>
      <c r="J3445" t="s">
        <v>196</v>
      </c>
      <c r="K3445" t="s">
        <v>682</v>
      </c>
      <c r="O3445">
        <v>0</v>
      </c>
      <c r="U3445" t="s">
        <v>81</v>
      </c>
    </row>
    <row r="3446" spans="1:21" x14ac:dyDescent="0.25">
      <c r="A3446" s="33">
        <v>3463</v>
      </c>
      <c r="B3446" s="24">
        <v>44271</v>
      </c>
      <c r="C3446" t="s">
        <v>39</v>
      </c>
      <c r="D3446" t="s">
        <v>41</v>
      </c>
      <c r="E3446">
        <v>2000714220</v>
      </c>
      <c r="F3446">
        <v>576</v>
      </c>
      <c r="G3446">
        <v>1</v>
      </c>
      <c r="H3446">
        <v>0</v>
      </c>
      <c r="I3446" t="s">
        <v>661</v>
      </c>
      <c r="J3446" t="s">
        <v>698</v>
      </c>
      <c r="K3446" t="s">
        <v>700</v>
      </c>
      <c r="O3446">
        <v>0</v>
      </c>
      <c r="U3446" t="s">
        <v>81</v>
      </c>
    </row>
    <row r="3447" spans="1:21" x14ac:dyDescent="0.25">
      <c r="A3447" s="33">
        <v>3464</v>
      </c>
      <c r="B3447" s="24">
        <v>44271</v>
      </c>
      <c r="C3447" t="s">
        <v>39</v>
      </c>
      <c r="D3447" t="s">
        <v>41</v>
      </c>
      <c r="E3447">
        <v>2000718462</v>
      </c>
      <c r="F3447">
        <v>1500</v>
      </c>
      <c r="G3447">
        <v>188</v>
      </c>
      <c r="H3447">
        <v>0</v>
      </c>
      <c r="I3447" t="s">
        <v>661</v>
      </c>
      <c r="J3447" t="s">
        <v>174</v>
      </c>
      <c r="K3447" t="s">
        <v>774</v>
      </c>
      <c r="O3447">
        <v>0</v>
      </c>
      <c r="U3447" t="s">
        <v>81</v>
      </c>
    </row>
    <row r="3448" spans="1:21" x14ac:dyDescent="0.25">
      <c r="A3448" s="33">
        <v>3465</v>
      </c>
      <c r="B3448" s="24">
        <v>44271</v>
      </c>
      <c r="C3448" t="s">
        <v>39</v>
      </c>
      <c r="D3448" t="s">
        <v>41</v>
      </c>
      <c r="E3448">
        <v>2000718463</v>
      </c>
      <c r="F3448">
        <v>540</v>
      </c>
      <c r="G3448">
        <v>347</v>
      </c>
      <c r="H3448">
        <v>0</v>
      </c>
      <c r="I3448" t="s">
        <v>661</v>
      </c>
      <c r="J3448" t="s">
        <v>698</v>
      </c>
      <c r="K3448" t="s">
        <v>700</v>
      </c>
      <c r="O3448">
        <v>0</v>
      </c>
      <c r="U3448" t="s">
        <v>81</v>
      </c>
    </row>
    <row r="3449" spans="1:21" x14ac:dyDescent="0.25">
      <c r="A3449" s="33">
        <v>3466</v>
      </c>
      <c r="B3449" s="24">
        <v>44271</v>
      </c>
      <c r="C3449" t="s">
        <v>39</v>
      </c>
      <c r="D3449" t="s">
        <v>41</v>
      </c>
      <c r="E3449">
        <v>2000718464</v>
      </c>
      <c r="F3449">
        <v>2000</v>
      </c>
      <c r="G3449">
        <v>120</v>
      </c>
      <c r="H3449">
        <v>0</v>
      </c>
      <c r="I3449" t="s">
        <v>661</v>
      </c>
      <c r="J3449" t="s">
        <v>170</v>
      </c>
      <c r="K3449" t="s">
        <v>732</v>
      </c>
      <c r="O3449">
        <v>0</v>
      </c>
      <c r="P3449" t="s">
        <v>1085</v>
      </c>
      <c r="Q3449" t="s">
        <v>1086</v>
      </c>
      <c r="U3449" t="s">
        <v>81</v>
      </c>
    </row>
    <row r="3450" spans="1:21" x14ac:dyDescent="0.25">
      <c r="A3450" s="33">
        <v>3467</v>
      </c>
      <c r="B3450" s="24">
        <v>44271</v>
      </c>
      <c r="C3450" t="s">
        <v>39</v>
      </c>
      <c r="D3450" t="s">
        <v>51</v>
      </c>
      <c r="E3450">
        <v>2000718409</v>
      </c>
      <c r="F3450">
        <v>600</v>
      </c>
      <c r="G3450">
        <v>80</v>
      </c>
      <c r="H3450">
        <v>0</v>
      </c>
      <c r="I3450" t="s">
        <v>191</v>
      </c>
      <c r="J3450" t="s">
        <v>669</v>
      </c>
      <c r="K3450" t="s">
        <v>755</v>
      </c>
      <c r="O3450">
        <v>0</v>
      </c>
      <c r="U3450" t="s">
        <v>81</v>
      </c>
    </row>
    <row r="3451" spans="1:21" x14ac:dyDescent="0.25">
      <c r="A3451" s="33">
        <v>3468</v>
      </c>
      <c r="B3451" s="24">
        <v>44271</v>
      </c>
      <c r="C3451" t="s">
        <v>39</v>
      </c>
      <c r="D3451" t="s">
        <v>51</v>
      </c>
      <c r="E3451">
        <v>2000718022</v>
      </c>
      <c r="F3451">
        <v>420</v>
      </c>
      <c r="G3451">
        <v>105</v>
      </c>
      <c r="H3451">
        <v>0</v>
      </c>
      <c r="I3451" t="s">
        <v>191</v>
      </c>
      <c r="J3451" t="s">
        <v>667</v>
      </c>
      <c r="K3451" t="s">
        <v>882</v>
      </c>
      <c r="O3451">
        <v>0</v>
      </c>
      <c r="U3451" t="s">
        <v>81</v>
      </c>
    </row>
    <row r="3452" spans="1:21" x14ac:dyDescent="0.25">
      <c r="A3452" s="33">
        <v>3469</v>
      </c>
      <c r="B3452" s="24">
        <v>44271</v>
      </c>
      <c r="C3452" t="s">
        <v>39</v>
      </c>
      <c r="D3452" t="s">
        <v>51</v>
      </c>
      <c r="E3452">
        <v>2000718408</v>
      </c>
      <c r="F3452">
        <v>480</v>
      </c>
      <c r="G3452">
        <v>90</v>
      </c>
      <c r="H3452">
        <v>0</v>
      </c>
      <c r="I3452" t="s">
        <v>191</v>
      </c>
      <c r="J3452" t="s">
        <v>770</v>
      </c>
      <c r="K3452" t="s">
        <v>771</v>
      </c>
      <c r="O3452">
        <v>0</v>
      </c>
      <c r="U3452" t="s">
        <v>81</v>
      </c>
    </row>
    <row r="3453" spans="1:21" x14ac:dyDescent="0.25">
      <c r="A3453" s="33">
        <v>3470</v>
      </c>
      <c r="B3453" s="24">
        <v>44271</v>
      </c>
      <c r="C3453" t="s">
        <v>39</v>
      </c>
      <c r="D3453" t="s">
        <v>51</v>
      </c>
      <c r="E3453">
        <v>2000718406</v>
      </c>
      <c r="F3453">
        <v>1000</v>
      </c>
      <c r="G3453">
        <v>150</v>
      </c>
      <c r="H3453">
        <v>0</v>
      </c>
      <c r="I3453" t="s">
        <v>191</v>
      </c>
      <c r="J3453" t="s">
        <v>667</v>
      </c>
      <c r="K3453" t="s">
        <v>769</v>
      </c>
      <c r="O3453">
        <v>0</v>
      </c>
      <c r="U3453" t="s">
        <v>81</v>
      </c>
    </row>
    <row r="3454" spans="1:21" x14ac:dyDescent="0.25">
      <c r="A3454" s="33">
        <v>3471</v>
      </c>
      <c r="B3454" s="24">
        <v>44271</v>
      </c>
      <c r="C3454" t="s">
        <v>39</v>
      </c>
      <c r="D3454" t="s">
        <v>51</v>
      </c>
      <c r="E3454">
        <v>2000718403</v>
      </c>
      <c r="F3454">
        <v>500</v>
      </c>
      <c r="G3454">
        <v>140</v>
      </c>
      <c r="H3454">
        <v>0</v>
      </c>
      <c r="I3454" t="s">
        <v>191</v>
      </c>
      <c r="J3454" t="s">
        <v>673</v>
      </c>
      <c r="K3454" t="s">
        <v>672</v>
      </c>
      <c r="O3454">
        <v>0</v>
      </c>
      <c r="U3454" t="s">
        <v>81</v>
      </c>
    </row>
    <row r="3455" spans="1:21" x14ac:dyDescent="0.25">
      <c r="A3455" s="33">
        <v>3472</v>
      </c>
      <c r="B3455" s="24">
        <v>44271</v>
      </c>
      <c r="C3455" t="s">
        <v>39</v>
      </c>
      <c r="D3455" t="s">
        <v>51</v>
      </c>
      <c r="E3455">
        <v>2000718023</v>
      </c>
      <c r="F3455">
        <v>400</v>
      </c>
      <c r="G3455">
        <v>175</v>
      </c>
      <c r="H3455">
        <v>0</v>
      </c>
      <c r="I3455" t="s">
        <v>191</v>
      </c>
      <c r="J3455" t="s">
        <v>667</v>
      </c>
      <c r="K3455" t="s">
        <v>671</v>
      </c>
      <c r="O3455">
        <v>0</v>
      </c>
      <c r="U3455" t="s">
        <v>81</v>
      </c>
    </row>
    <row r="3456" spans="1:21" x14ac:dyDescent="0.25">
      <c r="A3456" s="33">
        <v>3473</v>
      </c>
      <c r="B3456" s="24">
        <v>44271</v>
      </c>
      <c r="C3456" t="s">
        <v>39</v>
      </c>
      <c r="D3456" t="s">
        <v>51</v>
      </c>
      <c r="E3456">
        <v>2000718019</v>
      </c>
      <c r="F3456">
        <v>620</v>
      </c>
      <c r="G3456">
        <v>100</v>
      </c>
      <c r="H3456">
        <v>0</v>
      </c>
      <c r="I3456" t="s">
        <v>191</v>
      </c>
      <c r="J3456" t="s">
        <v>669</v>
      </c>
      <c r="K3456" t="s">
        <v>712</v>
      </c>
      <c r="O3456">
        <v>0</v>
      </c>
      <c r="U3456" t="s">
        <v>81</v>
      </c>
    </row>
    <row r="3457" spans="1:21" x14ac:dyDescent="0.25">
      <c r="A3457" s="33">
        <v>3474</v>
      </c>
      <c r="B3457" s="24">
        <v>44271</v>
      </c>
      <c r="C3457" t="s">
        <v>39</v>
      </c>
      <c r="D3457" t="s">
        <v>51</v>
      </c>
      <c r="E3457">
        <v>2000716866</v>
      </c>
      <c r="F3457">
        <v>90</v>
      </c>
      <c r="G3457">
        <v>66</v>
      </c>
      <c r="H3457">
        <v>0</v>
      </c>
      <c r="I3457" t="s">
        <v>191</v>
      </c>
      <c r="J3457" t="s">
        <v>669</v>
      </c>
      <c r="K3457" t="s">
        <v>810</v>
      </c>
      <c r="O3457">
        <v>0</v>
      </c>
      <c r="U3457" t="s">
        <v>81</v>
      </c>
    </row>
    <row r="3458" spans="1:21" x14ac:dyDescent="0.25">
      <c r="A3458" s="33">
        <v>3475</v>
      </c>
      <c r="B3458" s="24">
        <v>44271</v>
      </c>
      <c r="C3458" t="s">
        <v>181</v>
      </c>
      <c r="D3458" t="s">
        <v>41</v>
      </c>
      <c r="E3458">
        <v>2000718445</v>
      </c>
      <c r="F3458">
        <v>1060</v>
      </c>
      <c r="G3458">
        <v>160</v>
      </c>
      <c r="H3458">
        <v>0</v>
      </c>
      <c r="I3458" t="s">
        <v>184</v>
      </c>
      <c r="J3458" t="s">
        <v>203</v>
      </c>
      <c r="K3458" t="s">
        <v>785</v>
      </c>
      <c r="O3458">
        <v>0</v>
      </c>
      <c r="U3458" t="s">
        <v>81</v>
      </c>
    </row>
    <row r="3459" spans="1:21" x14ac:dyDescent="0.25">
      <c r="A3459" s="33">
        <v>3476</v>
      </c>
      <c r="B3459" s="24">
        <v>44271</v>
      </c>
      <c r="C3459" t="s">
        <v>181</v>
      </c>
      <c r="D3459" t="s">
        <v>41</v>
      </c>
      <c r="E3459">
        <v>2000717738</v>
      </c>
      <c r="F3459">
        <v>780</v>
      </c>
      <c r="G3459">
        <v>120</v>
      </c>
      <c r="H3459">
        <v>0</v>
      </c>
      <c r="I3459" t="s">
        <v>184</v>
      </c>
      <c r="J3459" t="s">
        <v>203</v>
      </c>
      <c r="K3459" t="s">
        <v>768</v>
      </c>
      <c r="O3459">
        <v>0</v>
      </c>
      <c r="U3459" t="s">
        <v>81</v>
      </c>
    </row>
    <row r="3460" spans="1:21" x14ac:dyDescent="0.25">
      <c r="A3460" s="33">
        <v>3477</v>
      </c>
      <c r="B3460" s="24">
        <v>44271</v>
      </c>
      <c r="C3460" t="s">
        <v>181</v>
      </c>
      <c r="D3460" t="s">
        <v>41</v>
      </c>
      <c r="E3460">
        <v>2000718171</v>
      </c>
      <c r="F3460">
        <v>720</v>
      </c>
      <c r="G3460">
        <v>390</v>
      </c>
      <c r="H3460">
        <v>0</v>
      </c>
      <c r="I3460" t="s">
        <v>184</v>
      </c>
      <c r="J3460" t="s">
        <v>203</v>
      </c>
      <c r="K3460" t="s">
        <v>891</v>
      </c>
      <c r="O3460">
        <v>0</v>
      </c>
      <c r="U3460" t="s">
        <v>81</v>
      </c>
    </row>
    <row r="3461" spans="1:21" x14ac:dyDescent="0.25">
      <c r="A3461" s="33">
        <v>3478</v>
      </c>
      <c r="B3461" s="24">
        <v>44271</v>
      </c>
      <c r="C3461" t="s">
        <v>181</v>
      </c>
      <c r="D3461" t="s">
        <v>41</v>
      </c>
      <c r="E3461">
        <v>2000718722</v>
      </c>
      <c r="F3461">
        <v>950</v>
      </c>
      <c r="G3461">
        <v>30</v>
      </c>
      <c r="H3461">
        <v>0</v>
      </c>
      <c r="I3461" t="s">
        <v>185</v>
      </c>
      <c r="J3461" t="s">
        <v>169</v>
      </c>
      <c r="K3461" t="s">
        <v>179</v>
      </c>
      <c r="O3461">
        <v>0</v>
      </c>
      <c r="U3461" t="s">
        <v>81</v>
      </c>
    </row>
    <row r="3462" spans="1:21" x14ac:dyDescent="0.25">
      <c r="A3462" s="33">
        <v>3479</v>
      </c>
      <c r="B3462" s="24">
        <v>44271</v>
      </c>
      <c r="C3462" t="s">
        <v>181</v>
      </c>
      <c r="D3462" t="s">
        <v>41</v>
      </c>
      <c r="E3462">
        <v>2000718421</v>
      </c>
      <c r="F3462">
        <v>1000</v>
      </c>
      <c r="G3462">
        <v>80</v>
      </c>
      <c r="H3462">
        <v>0</v>
      </c>
      <c r="I3462" t="s">
        <v>185</v>
      </c>
      <c r="J3462" t="s">
        <v>172</v>
      </c>
      <c r="K3462" t="s">
        <v>173</v>
      </c>
      <c r="O3462">
        <v>0</v>
      </c>
      <c r="U3462" t="s">
        <v>81</v>
      </c>
    </row>
    <row r="3463" spans="1:21" x14ac:dyDescent="0.25">
      <c r="A3463" s="33">
        <v>3480</v>
      </c>
      <c r="B3463" s="24">
        <v>44271</v>
      </c>
      <c r="C3463" t="s">
        <v>181</v>
      </c>
      <c r="D3463" t="s">
        <v>41</v>
      </c>
      <c r="E3463">
        <v>2000718414</v>
      </c>
      <c r="F3463">
        <v>900</v>
      </c>
      <c r="G3463">
        <v>80</v>
      </c>
      <c r="H3463">
        <v>0</v>
      </c>
      <c r="I3463" t="s">
        <v>185</v>
      </c>
      <c r="J3463" t="s">
        <v>169</v>
      </c>
      <c r="K3463" t="s">
        <v>190</v>
      </c>
      <c r="O3463">
        <v>0</v>
      </c>
      <c r="U3463" t="s">
        <v>81</v>
      </c>
    </row>
    <row r="3464" spans="1:21" x14ac:dyDescent="0.25">
      <c r="A3464" s="33">
        <v>3481</v>
      </c>
      <c r="B3464" s="24">
        <v>44271</v>
      </c>
      <c r="C3464" t="s">
        <v>181</v>
      </c>
      <c r="D3464" t="s">
        <v>41</v>
      </c>
      <c r="E3464">
        <v>2000718770</v>
      </c>
      <c r="F3464">
        <v>840</v>
      </c>
      <c r="G3464">
        <v>80</v>
      </c>
      <c r="H3464">
        <v>0</v>
      </c>
      <c r="I3464" t="s">
        <v>185</v>
      </c>
      <c r="J3464" t="s">
        <v>645</v>
      </c>
      <c r="K3464" t="s">
        <v>734</v>
      </c>
      <c r="O3464">
        <v>0</v>
      </c>
      <c r="U3464" t="s">
        <v>81</v>
      </c>
    </row>
    <row r="3465" spans="1:21" x14ac:dyDescent="0.25">
      <c r="A3465" s="33">
        <v>3482</v>
      </c>
      <c r="B3465" s="24">
        <v>44271</v>
      </c>
      <c r="C3465" t="s">
        <v>181</v>
      </c>
      <c r="D3465" t="s">
        <v>41</v>
      </c>
      <c r="E3465">
        <v>2000718713</v>
      </c>
      <c r="F3465">
        <v>2368</v>
      </c>
      <c r="G3465">
        <v>120</v>
      </c>
      <c r="H3465">
        <v>0</v>
      </c>
      <c r="I3465" t="s">
        <v>185</v>
      </c>
      <c r="J3465" t="s">
        <v>655</v>
      </c>
      <c r="K3465" t="s">
        <v>656</v>
      </c>
      <c r="O3465">
        <v>0</v>
      </c>
      <c r="U3465" t="s">
        <v>81</v>
      </c>
    </row>
    <row r="3466" spans="1:21" x14ac:dyDescent="0.25">
      <c r="A3466" s="33">
        <v>3483</v>
      </c>
      <c r="B3466" s="24">
        <v>44271</v>
      </c>
      <c r="C3466" t="s">
        <v>181</v>
      </c>
      <c r="D3466" t="s">
        <v>41</v>
      </c>
      <c r="E3466">
        <v>2000718427</v>
      </c>
      <c r="F3466">
        <v>1100</v>
      </c>
      <c r="G3466">
        <v>80</v>
      </c>
      <c r="H3466">
        <v>0</v>
      </c>
      <c r="I3466" t="s">
        <v>185</v>
      </c>
      <c r="J3466" t="s">
        <v>645</v>
      </c>
      <c r="K3466" t="s">
        <v>790</v>
      </c>
      <c r="O3466">
        <v>0</v>
      </c>
      <c r="U3466" t="s">
        <v>81</v>
      </c>
    </row>
    <row r="3467" spans="1:21" x14ac:dyDescent="0.25">
      <c r="A3467" s="33">
        <v>3484</v>
      </c>
      <c r="B3467" s="24">
        <v>44271</v>
      </c>
      <c r="C3467" t="s">
        <v>181</v>
      </c>
      <c r="D3467" t="s">
        <v>41</v>
      </c>
      <c r="E3467">
        <v>2000718784</v>
      </c>
      <c r="F3467">
        <v>1200</v>
      </c>
      <c r="G3467">
        <v>120</v>
      </c>
      <c r="H3467">
        <v>0</v>
      </c>
      <c r="I3467" t="s">
        <v>185</v>
      </c>
      <c r="J3467" t="s">
        <v>196</v>
      </c>
      <c r="K3467" t="s">
        <v>648</v>
      </c>
      <c r="O3467">
        <v>0</v>
      </c>
      <c r="U3467" t="s">
        <v>81</v>
      </c>
    </row>
    <row r="3468" spans="1:21" x14ac:dyDescent="0.25">
      <c r="A3468" s="33">
        <v>3485</v>
      </c>
      <c r="B3468" s="24">
        <v>44271</v>
      </c>
      <c r="C3468" t="s">
        <v>181</v>
      </c>
      <c r="D3468" t="s">
        <v>41</v>
      </c>
      <c r="E3468">
        <v>2000718756</v>
      </c>
      <c r="F3468">
        <v>2000</v>
      </c>
      <c r="G3468">
        <v>60</v>
      </c>
      <c r="H3468">
        <v>0</v>
      </c>
      <c r="I3468" t="s">
        <v>185</v>
      </c>
      <c r="J3468" t="s">
        <v>172</v>
      </c>
      <c r="K3468" t="s">
        <v>724</v>
      </c>
      <c r="O3468">
        <v>0</v>
      </c>
      <c r="U3468" t="s">
        <v>81</v>
      </c>
    </row>
    <row r="3469" spans="1:21" x14ac:dyDescent="0.25">
      <c r="A3469" s="33">
        <v>3486</v>
      </c>
      <c r="B3469" s="24">
        <v>44271</v>
      </c>
      <c r="C3469" t="s">
        <v>181</v>
      </c>
      <c r="D3469" t="s">
        <v>41</v>
      </c>
      <c r="E3469">
        <v>2000719088</v>
      </c>
      <c r="F3469">
        <v>20</v>
      </c>
      <c r="G3469">
        <v>20</v>
      </c>
      <c r="H3469">
        <v>0</v>
      </c>
      <c r="I3469" t="s">
        <v>185</v>
      </c>
      <c r="J3469" t="s">
        <v>645</v>
      </c>
      <c r="K3469" t="s">
        <v>853</v>
      </c>
      <c r="O3469">
        <v>0</v>
      </c>
      <c r="U3469" t="s">
        <v>81</v>
      </c>
    </row>
    <row r="3470" spans="1:21" x14ac:dyDescent="0.25">
      <c r="A3470" s="33">
        <v>3487</v>
      </c>
      <c r="B3470" s="24">
        <v>44271</v>
      </c>
      <c r="C3470" t="s">
        <v>181</v>
      </c>
      <c r="D3470" t="s">
        <v>41</v>
      </c>
      <c r="E3470">
        <v>2000717835</v>
      </c>
      <c r="F3470">
        <v>3000</v>
      </c>
      <c r="G3470">
        <v>120</v>
      </c>
      <c r="H3470">
        <v>0</v>
      </c>
      <c r="I3470" t="s">
        <v>185</v>
      </c>
      <c r="J3470" t="s">
        <v>687</v>
      </c>
      <c r="K3470" t="s">
        <v>688</v>
      </c>
      <c r="O3470">
        <v>0</v>
      </c>
      <c r="U3470" t="s">
        <v>81</v>
      </c>
    </row>
    <row r="3471" spans="1:21" x14ac:dyDescent="0.25">
      <c r="A3471" s="33">
        <v>3488</v>
      </c>
      <c r="B3471" s="24">
        <v>44271</v>
      </c>
      <c r="C3471" t="s">
        <v>181</v>
      </c>
      <c r="D3471" t="s">
        <v>41</v>
      </c>
      <c r="E3471">
        <v>2000718748</v>
      </c>
      <c r="F3471">
        <v>560</v>
      </c>
      <c r="G3471">
        <v>354</v>
      </c>
      <c r="H3471">
        <v>0</v>
      </c>
      <c r="I3471" t="s">
        <v>183</v>
      </c>
      <c r="J3471" t="s">
        <v>174</v>
      </c>
      <c r="K3471" t="s">
        <v>204</v>
      </c>
      <c r="O3471">
        <v>0</v>
      </c>
      <c r="U3471" t="s">
        <v>81</v>
      </c>
    </row>
    <row r="3472" spans="1:21" x14ac:dyDescent="0.25">
      <c r="A3472" s="33">
        <v>3489</v>
      </c>
      <c r="B3472" s="24">
        <v>44271</v>
      </c>
      <c r="C3472" t="s">
        <v>181</v>
      </c>
      <c r="D3472" t="s">
        <v>41</v>
      </c>
      <c r="E3472">
        <v>2000718464</v>
      </c>
      <c r="F3472">
        <v>2000</v>
      </c>
      <c r="G3472">
        <v>90</v>
      </c>
      <c r="H3472">
        <v>0</v>
      </c>
      <c r="I3472" t="s">
        <v>183</v>
      </c>
      <c r="J3472" t="s">
        <v>170</v>
      </c>
      <c r="K3472" t="s">
        <v>732</v>
      </c>
      <c r="O3472">
        <v>0</v>
      </c>
      <c r="U3472" t="s">
        <v>81</v>
      </c>
    </row>
    <row r="3473" spans="1:21" x14ac:dyDescent="0.25">
      <c r="A3473" s="33">
        <v>3490</v>
      </c>
      <c r="B3473" s="24">
        <v>44271</v>
      </c>
      <c r="C3473" t="s">
        <v>181</v>
      </c>
      <c r="D3473" t="s">
        <v>41</v>
      </c>
      <c r="E3473">
        <v>2000718328</v>
      </c>
      <c r="F3473">
        <v>1240</v>
      </c>
      <c r="G3473">
        <v>220</v>
      </c>
      <c r="H3473">
        <v>0</v>
      </c>
      <c r="I3473" t="s">
        <v>183</v>
      </c>
      <c r="J3473" t="s">
        <v>174</v>
      </c>
      <c r="K3473" t="s">
        <v>644</v>
      </c>
      <c r="O3473">
        <v>0</v>
      </c>
      <c r="U3473" t="s">
        <v>81</v>
      </c>
    </row>
    <row r="3474" spans="1:21" x14ac:dyDescent="0.25">
      <c r="A3474" s="33">
        <v>3491</v>
      </c>
      <c r="B3474" s="24">
        <v>44271</v>
      </c>
      <c r="C3474" t="s">
        <v>181</v>
      </c>
      <c r="D3474" t="s">
        <v>41</v>
      </c>
      <c r="E3474">
        <v>2000717861</v>
      </c>
      <c r="F3474">
        <v>760</v>
      </c>
      <c r="G3474">
        <v>80</v>
      </c>
      <c r="H3474">
        <v>0</v>
      </c>
      <c r="I3474" t="s">
        <v>183</v>
      </c>
      <c r="J3474" t="s">
        <v>174</v>
      </c>
      <c r="K3474" t="s">
        <v>644</v>
      </c>
      <c r="O3474">
        <v>0</v>
      </c>
      <c r="U3474" t="s">
        <v>81</v>
      </c>
    </row>
    <row r="3475" spans="1:21" x14ac:dyDescent="0.25">
      <c r="A3475" s="33">
        <v>3492</v>
      </c>
      <c r="B3475" s="24">
        <v>44271</v>
      </c>
      <c r="C3475" t="s">
        <v>181</v>
      </c>
      <c r="D3475" t="s">
        <v>41</v>
      </c>
      <c r="E3475">
        <v>2000718464</v>
      </c>
      <c r="F3475">
        <v>2000</v>
      </c>
      <c r="G3475">
        <v>90</v>
      </c>
      <c r="H3475">
        <v>0</v>
      </c>
      <c r="I3475" t="s">
        <v>706</v>
      </c>
      <c r="J3475" t="s">
        <v>170</v>
      </c>
      <c r="K3475" t="s">
        <v>732</v>
      </c>
      <c r="O3475">
        <v>0</v>
      </c>
      <c r="U3475" t="s">
        <v>81</v>
      </c>
    </row>
    <row r="3476" spans="1:21" x14ac:dyDescent="0.25">
      <c r="A3476" s="33">
        <v>3493</v>
      </c>
      <c r="B3476" s="24">
        <v>44271</v>
      </c>
      <c r="C3476" t="s">
        <v>181</v>
      </c>
      <c r="D3476" t="s">
        <v>41</v>
      </c>
      <c r="E3476">
        <v>2000718464</v>
      </c>
      <c r="F3476">
        <v>2000</v>
      </c>
      <c r="G3476">
        <v>735</v>
      </c>
      <c r="H3476">
        <v>0</v>
      </c>
      <c r="I3476" t="s">
        <v>693</v>
      </c>
      <c r="J3476" t="s">
        <v>170</v>
      </c>
      <c r="K3476" t="s">
        <v>732</v>
      </c>
      <c r="O3476">
        <v>0</v>
      </c>
      <c r="U3476" t="s">
        <v>81</v>
      </c>
    </row>
    <row r="3477" spans="1:21" x14ac:dyDescent="0.25">
      <c r="A3477" s="33">
        <v>3494</v>
      </c>
      <c r="B3477" s="24">
        <v>44271</v>
      </c>
      <c r="C3477" t="s">
        <v>181</v>
      </c>
      <c r="D3477" t="s">
        <v>41</v>
      </c>
      <c r="E3477">
        <v>2000718333</v>
      </c>
      <c r="F3477">
        <v>3200</v>
      </c>
      <c r="G3477">
        <v>400</v>
      </c>
      <c r="H3477">
        <v>0</v>
      </c>
      <c r="I3477" t="s">
        <v>680</v>
      </c>
      <c r="J3477" t="s">
        <v>203</v>
      </c>
      <c r="K3477" t="s">
        <v>788</v>
      </c>
      <c r="O3477">
        <v>0</v>
      </c>
      <c r="U3477" t="s">
        <v>81</v>
      </c>
    </row>
    <row r="3478" spans="1:21" x14ac:dyDescent="0.25">
      <c r="A3478" s="33">
        <v>3495</v>
      </c>
      <c r="B3478" s="24">
        <v>44271</v>
      </c>
      <c r="C3478" t="s">
        <v>181</v>
      </c>
      <c r="D3478" t="s">
        <v>41</v>
      </c>
      <c r="E3478">
        <v>2000718432</v>
      </c>
      <c r="F3478">
        <v>1200</v>
      </c>
      <c r="G3478">
        <v>200</v>
      </c>
      <c r="H3478">
        <v>0</v>
      </c>
      <c r="I3478" t="s">
        <v>680</v>
      </c>
      <c r="J3478" t="s">
        <v>645</v>
      </c>
      <c r="K3478" t="s">
        <v>756</v>
      </c>
      <c r="O3478">
        <v>0</v>
      </c>
      <c r="U3478" t="s">
        <v>81</v>
      </c>
    </row>
    <row r="3479" spans="1:21" x14ac:dyDescent="0.25">
      <c r="A3479" s="33">
        <v>3496</v>
      </c>
      <c r="B3479" s="24">
        <v>44271</v>
      </c>
      <c r="C3479" t="s">
        <v>181</v>
      </c>
      <c r="D3479" t="s">
        <v>41</v>
      </c>
      <c r="E3479">
        <v>2000715607</v>
      </c>
      <c r="F3479">
        <v>450</v>
      </c>
      <c r="G3479">
        <v>147</v>
      </c>
      <c r="H3479">
        <v>0</v>
      </c>
      <c r="I3479" t="s">
        <v>680</v>
      </c>
      <c r="J3479" t="s">
        <v>169</v>
      </c>
      <c r="K3479" t="s">
        <v>847</v>
      </c>
      <c r="O3479">
        <v>0</v>
      </c>
      <c r="U3479" t="s">
        <v>81</v>
      </c>
    </row>
    <row r="3480" spans="1:21" x14ac:dyDescent="0.25">
      <c r="A3480" s="33">
        <v>3497</v>
      </c>
      <c r="B3480" s="24">
        <v>44271</v>
      </c>
      <c r="C3480" t="s">
        <v>181</v>
      </c>
      <c r="D3480" t="s">
        <v>41</v>
      </c>
      <c r="E3480">
        <v>2000718819</v>
      </c>
      <c r="F3480">
        <v>1800</v>
      </c>
      <c r="G3480">
        <v>640</v>
      </c>
      <c r="H3480">
        <v>0</v>
      </c>
      <c r="I3480" t="s">
        <v>680</v>
      </c>
      <c r="J3480" t="s">
        <v>745</v>
      </c>
      <c r="K3480" t="s">
        <v>746</v>
      </c>
      <c r="O3480">
        <v>0</v>
      </c>
      <c r="U3480" t="s">
        <v>81</v>
      </c>
    </row>
    <row r="3481" spans="1:21" x14ac:dyDescent="0.25">
      <c r="A3481" s="33">
        <v>3498</v>
      </c>
      <c r="B3481" s="24">
        <v>44271</v>
      </c>
      <c r="C3481" t="s">
        <v>181</v>
      </c>
      <c r="D3481" t="s">
        <v>41</v>
      </c>
      <c r="E3481">
        <v>2000712816</v>
      </c>
      <c r="F3481">
        <v>752</v>
      </c>
      <c r="G3481">
        <v>54</v>
      </c>
      <c r="H3481">
        <v>0</v>
      </c>
      <c r="I3481" t="s">
        <v>680</v>
      </c>
      <c r="J3481" t="s">
        <v>169</v>
      </c>
      <c r="K3481" t="s">
        <v>867</v>
      </c>
      <c r="O3481">
        <v>0</v>
      </c>
      <c r="U3481" t="s">
        <v>81</v>
      </c>
    </row>
    <row r="3482" spans="1:21" x14ac:dyDescent="0.25">
      <c r="A3482" s="33">
        <v>3499</v>
      </c>
      <c r="B3482" s="24">
        <v>44271</v>
      </c>
      <c r="C3482" t="s">
        <v>181</v>
      </c>
      <c r="D3482" t="s">
        <v>41</v>
      </c>
      <c r="E3482">
        <v>2000718748</v>
      </c>
      <c r="F3482">
        <v>560</v>
      </c>
      <c r="G3482">
        <v>120</v>
      </c>
      <c r="H3482">
        <v>0</v>
      </c>
      <c r="I3482" t="s">
        <v>180</v>
      </c>
      <c r="J3482" t="s">
        <v>174</v>
      </c>
      <c r="K3482" t="s">
        <v>204</v>
      </c>
      <c r="O3482">
        <v>0</v>
      </c>
      <c r="U3482" t="s">
        <v>81</v>
      </c>
    </row>
    <row r="3483" spans="1:21" x14ac:dyDescent="0.25">
      <c r="A3483" s="33">
        <v>3500</v>
      </c>
      <c r="B3483" s="24">
        <v>44271</v>
      </c>
      <c r="C3483" t="s">
        <v>181</v>
      </c>
      <c r="D3483" t="s">
        <v>41</v>
      </c>
      <c r="E3483">
        <v>2000718746</v>
      </c>
      <c r="F3483">
        <v>580</v>
      </c>
      <c r="G3483">
        <v>143</v>
      </c>
      <c r="H3483">
        <v>0</v>
      </c>
      <c r="I3483" t="s">
        <v>180</v>
      </c>
      <c r="J3483" t="s">
        <v>174</v>
      </c>
      <c r="K3483" t="s">
        <v>177</v>
      </c>
      <c r="O3483">
        <v>0</v>
      </c>
      <c r="U3483" t="s">
        <v>81</v>
      </c>
    </row>
    <row r="3484" spans="1:21" x14ac:dyDescent="0.25">
      <c r="A3484" s="33">
        <v>3501</v>
      </c>
      <c r="B3484" s="24">
        <v>44271</v>
      </c>
      <c r="C3484" t="s">
        <v>181</v>
      </c>
      <c r="D3484" t="s">
        <v>41</v>
      </c>
      <c r="E3484">
        <v>2000718464</v>
      </c>
      <c r="F3484">
        <v>2000</v>
      </c>
      <c r="G3484">
        <v>180</v>
      </c>
      <c r="H3484">
        <v>0</v>
      </c>
      <c r="I3484" t="s">
        <v>180</v>
      </c>
      <c r="J3484" t="s">
        <v>170</v>
      </c>
      <c r="K3484" t="s">
        <v>732</v>
      </c>
      <c r="O3484">
        <v>0</v>
      </c>
      <c r="U3484" t="s">
        <v>81</v>
      </c>
    </row>
    <row r="3485" spans="1:21" x14ac:dyDescent="0.25">
      <c r="A3485" s="33">
        <v>3502</v>
      </c>
      <c r="B3485" s="24">
        <v>44271</v>
      </c>
      <c r="C3485" t="s">
        <v>181</v>
      </c>
      <c r="D3485" t="s">
        <v>41</v>
      </c>
      <c r="E3485">
        <v>2000719021</v>
      </c>
      <c r="F3485">
        <v>602</v>
      </c>
      <c r="G3485">
        <v>200</v>
      </c>
      <c r="H3485">
        <v>0</v>
      </c>
      <c r="I3485" t="s">
        <v>180</v>
      </c>
      <c r="J3485" t="s">
        <v>174</v>
      </c>
      <c r="K3485" t="s">
        <v>792</v>
      </c>
      <c r="O3485">
        <v>0</v>
      </c>
      <c r="U3485" t="s">
        <v>81</v>
      </c>
    </row>
    <row r="3486" spans="1:21" x14ac:dyDescent="0.25">
      <c r="A3486" s="33">
        <v>3503</v>
      </c>
      <c r="B3486" s="24">
        <v>44271</v>
      </c>
      <c r="C3486" t="s">
        <v>181</v>
      </c>
      <c r="D3486" t="s">
        <v>41</v>
      </c>
      <c r="E3486">
        <v>2000718747</v>
      </c>
      <c r="F3486">
        <v>600</v>
      </c>
      <c r="G3486">
        <v>119</v>
      </c>
      <c r="H3486">
        <v>0</v>
      </c>
      <c r="I3486" t="s">
        <v>198</v>
      </c>
      <c r="J3486" t="s">
        <v>174</v>
      </c>
      <c r="K3486" t="s">
        <v>695</v>
      </c>
      <c r="O3486">
        <v>0</v>
      </c>
      <c r="T3486" s="62"/>
      <c r="U3486" t="s">
        <v>81</v>
      </c>
    </row>
    <row r="3487" spans="1:21" x14ac:dyDescent="0.25">
      <c r="A3487" s="33">
        <v>3504</v>
      </c>
      <c r="B3487" s="24">
        <v>44271</v>
      </c>
      <c r="C3487" t="s">
        <v>181</v>
      </c>
      <c r="D3487" t="s">
        <v>41</v>
      </c>
      <c r="E3487">
        <v>2000718445</v>
      </c>
      <c r="F3487">
        <v>1060</v>
      </c>
      <c r="G3487">
        <v>420</v>
      </c>
      <c r="H3487">
        <v>0</v>
      </c>
      <c r="I3487" t="s">
        <v>198</v>
      </c>
      <c r="J3487" t="s">
        <v>203</v>
      </c>
      <c r="K3487" t="s">
        <v>785</v>
      </c>
      <c r="O3487">
        <v>0</v>
      </c>
      <c r="U3487" t="s">
        <v>81</v>
      </c>
    </row>
    <row r="3488" spans="1:21" x14ac:dyDescent="0.25">
      <c r="A3488" s="33">
        <v>3505</v>
      </c>
      <c r="B3488" s="24">
        <v>44271</v>
      </c>
      <c r="C3488" t="s">
        <v>181</v>
      </c>
      <c r="D3488" t="s">
        <v>41</v>
      </c>
      <c r="E3488">
        <v>2000717622</v>
      </c>
      <c r="F3488">
        <v>700</v>
      </c>
      <c r="G3488">
        <v>14</v>
      </c>
      <c r="H3488">
        <v>0</v>
      </c>
      <c r="I3488" t="s">
        <v>198</v>
      </c>
      <c r="J3488" t="s">
        <v>203</v>
      </c>
      <c r="K3488" t="s">
        <v>785</v>
      </c>
      <c r="O3488">
        <v>0</v>
      </c>
      <c r="U3488" t="s">
        <v>81</v>
      </c>
    </row>
    <row r="3489" spans="1:21" x14ac:dyDescent="0.25">
      <c r="A3489" s="33">
        <v>3506</v>
      </c>
      <c r="B3489" s="24">
        <v>44271</v>
      </c>
      <c r="C3489" t="s">
        <v>181</v>
      </c>
      <c r="D3489" t="s">
        <v>41</v>
      </c>
      <c r="E3489">
        <v>2000718819</v>
      </c>
      <c r="F3489">
        <v>1800</v>
      </c>
      <c r="G3489">
        <v>160</v>
      </c>
      <c r="H3489">
        <v>0</v>
      </c>
      <c r="I3489" t="s">
        <v>198</v>
      </c>
      <c r="J3489" t="s">
        <v>745</v>
      </c>
      <c r="K3489" t="s">
        <v>746</v>
      </c>
      <c r="O3489">
        <v>0</v>
      </c>
      <c r="U3489" t="s">
        <v>81</v>
      </c>
    </row>
    <row r="3490" spans="1:21" x14ac:dyDescent="0.25">
      <c r="A3490" s="33">
        <v>3507</v>
      </c>
      <c r="B3490" s="24">
        <v>44271</v>
      </c>
      <c r="C3490" t="s">
        <v>181</v>
      </c>
      <c r="D3490" t="s">
        <v>41</v>
      </c>
      <c r="E3490">
        <v>2000718464</v>
      </c>
      <c r="F3490">
        <v>2000</v>
      </c>
      <c r="G3490">
        <v>90</v>
      </c>
      <c r="H3490">
        <v>0</v>
      </c>
      <c r="I3490" t="s">
        <v>198</v>
      </c>
      <c r="J3490" t="s">
        <v>170</v>
      </c>
      <c r="K3490" t="s">
        <v>732</v>
      </c>
      <c r="O3490">
        <v>0</v>
      </c>
      <c r="U3490" t="s">
        <v>81</v>
      </c>
    </row>
    <row r="3491" spans="1:21" x14ac:dyDescent="0.25">
      <c r="A3491" s="33">
        <v>3508</v>
      </c>
      <c r="B3491" s="24">
        <v>44271</v>
      </c>
      <c r="C3491" t="s">
        <v>181</v>
      </c>
      <c r="D3491" t="s">
        <v>41</v>
      </c>
      <c r="E3491">
        <v>2000718748</v>
      </c>
      <c r="F3491">
        <v>560</v>
      </c>
      <c r="G3491">
        <v>80</v>
      </c>
      <c r="H3491">
        <v>0</v>
      </c>
      <c r="I3491" t="s">
        <v>696</v>
      </c>
      <c r="J3491" t="s">
        <v>174</v>
      </c>
      <c r="K3491" t="s">
        <v>204</v>
      </c>
      <c r="O3491">
        <v>0</v>
      </c>
      <c r="U3491" t="s">
        <v>81</v>
      </c>
    </row>
    <row r="3492" spans="1:21" x14ac:dyDescent="0.25">
      <c r="A3492" s="33">
        <v>3509</v>
      </c>
      <c r="B3492" s="24">
        <v>44271</v>
      </c>
      <c r="C3492" t="s">
        <v>181</v>
      </c>
      <c r="D3492" t="s">
        <v>41</v>
      </c>
      <c r="E3492">
        <v>2000718833</v>
      </c>
      <c r="F3492">
        <v>280</v>
      </c>
      <c r="G3492">
        <v>277</v>
      </c>
      <c r="H3492">
        <v>0</v>
      </c>
      <c r="I3492" t="s">
        <v>696</v>
      </c>
      <c r="J3492" t="s">
        <v>174</v>
      </c>
      <c r="K3492" t="s">
        <v>187</v>
      </c>
      <c r="O3492">
        <v>0</v>
      </c>
      <c r="U3492" t="s">
        <v>81</v>
      </c>
    </row>
    <row r="3493" spans="1:21" x14ac:dyDescent="0.25">
      <c r="A3493" s="33">
        <v>3510</v>
      </c>
      <c r="B3493" s="24">
        <v>44271</v>
      </c>
      <c r="C3493" t="s">
        <v>181</v>
      </c>
      <c r="D3493" t="s">
        <v>41</v>
      </c>
      <c r="E3493">
        <v>2000708365</v>
      </c>
      <c r="F3493">
        <v>600</v>
      </c>
      <c r="G3493">
        <v>3</v>
      </c>
      <c r="H3493">
        <v>0</v>
      </c>
      <c r="I3493" t="s">
        <v>696</v>
      </c>
      <c r="J3493" t="s">
        <v>174</v>
      </c>
      <c r="K3493" t="s">
        <v>792</v>
      </c>
      <c r="O3493">
        <v>0</v>
      </c>
      <c r="U3493" t="s">
        <v>81</v>
      </c>
    </row>
    <row r="3494" spans="1:21" x14ac:dyDescent="0.25">
      <c r="A3494" s="33">
        <v>3511</v>
      </c>
      <c r="B3494" s="24">
        <v>44271</v>
      </c>
      <c r="C3494" t="s">
        <v>181</v>
      </c>
      <c r="D3494" t="s">
        <v>41</v>
      </c>
      <c r="E3494">
        <v>2000718322</v>
      </c>
      <c r="F3494">
        <v>400</v>
      </c>
      <c r="G3494">
        <v>8</v>
      </c>
      <c r="H3494">
        <v>0</v>
      </c>
      <c r="I3494" t="s">
        <v>696</v>
      </c>
      <c r="J3494" t="s">
        <v>174</v>
      </c>
      <c r="K3494" t="s">
        <v>187</v>
      </c>
      <c r="O3494">
        <v>0</v>
      </c>
      <c r="U3494" t="s">
        <v>81</v>
      </c>
    </row>
    <row r="3495" spans="1:21" x14ac:dyDescent="0.25">
      <c r="A3495" s="33">
        <v>3512</v>
      </c>
      <c r="B3495" s="24">
        <v>44271</v>
      </c>
      <c r="C3495" t="s">
        <v>181</v>
      </c>
      <c r="D3495" t="s">
        <v>41</v>
      </c>
      <c r="E3495">
        <v>2000719021</v>
      </c>
      <c r="F3495">
        <v>602</v>
      </c>
      <c r="G3495">
        <v>40</v>
      </c>
      <c r="H3495">
        <v>0</v>
      </c>
      <c r="I3495" t="s">
        <v>696</v>
      </c>
      <c r="J3495" t="s">
        <v>174</v>
      </c>
      <c r="K3495" t="s">
        <v>792</v>
      </c>
      <c r="O3495">
        <v>0</v>
      </c>
      <c r="U3495" t="s">
        <v>81</v>
      </c>
    </row>
    <row r="3496" spans="1:21" x14ac:dyDescent="0.25">
      <c r="A3496" s="33">
        <v>3513</v>
      </c>
      <c r="B3496" s="24">
        <v>44271</v>
      </c>
      <c r="C3496" t="s">
        <v>181</v>
      </c>
      <c r="D3496" t="s">
        <v>51</v>
      </c>
      <c r="E3496">
        <v>2000716867</v>
      </c>
      <c r="F3496">
        <v>260</v>
      </c>
      <c r="G3496">
        <v>100</v>
      </c>
      <c r="H3496">
        <v>0</v>
      </c>
      <c r="I3496" t="s">
        <v>706</v>
      </c>
      <c r="J3496" t="s">
        <v>669</v>
      </c>
      <c r="K3496" t="s">
        <v>670</v>
      </c>
      <c r="O3496">
        <v>0</v>
      </c>
      <c r="U3496" t="s">
        <v>81</v>
      </c>
    </row>
    <row r="3497" spans="1:21" x14ac:dyDescent="0.25">
      <c r="A3497" s="33">
        <v>3514</v>
      </c>
      <c r="B3497" s="24">
        <v>44271</v>
      </c>
      <c r="C3497" t="s">
        <v>181</v>
      </c>
      <c r="D3497" t="s">
        <v>51</v>
      </c>
      <c r="E3497">
        <v>2000718021</v>
      </c>
      <c r="F3497">
        <v>800</v>
      </c>
      <c r="G3497">
        <v>180</v>
      </c>
      <c r="H3497">
        <v>0</v>
      </c>
      <c r="I3497" t="s">
        <v>706</v>
      </c>
      <c r="J3497" t="s">
        <v>667</v>
      </c>
      <c r="K3497" t="s">
        <v>730</v>
      </c>
      <c r="O3497">
        <v>0</v>
      </c>
      <c r="U3497" t="s">
        <v>81</v>
      </c>
    </row>
    <row r="3498" spans="1:21" x14ac:dyDescent="0.25">
      <c r="A3498" s="33">
        <v>3515</v>
      </c>
      <c r="B3498" s="24">
        <v>44271</v>
      </c>
      <c r="C3498" t="s">
        <v>181</v>
      </c>
      <c r="D3498" t="s">
        <v>51</v>
      </c>
      <c r="E3498">
        <v>2000718406</v>
      </c>
      <c r="F3498">
        <v>1000</v>
      </c>
      <c r="G3498">
        <v>150</v>
      </c>
      <c r="H3498">
        <v>0</v>
      </c>
      <c r="I3498" t="s">
        <v>706</v>
      </c>
      <c r="J3498" t="s">
        <v>667</v>
      </c>
      <c r="K3498" t="s">
        <v>769</v>
      </c>
      <c r="O3498">
        <v>0</v>
      </c>
      <c r="U3498" t="s">
        <v>81</v>
      </c>
    </row>
    <row r="3499" spans="1:21" x14ac:dyDescent="0.25">
      <c r="A3499" s="33">
        <v>3516</v>
      </c>
      <c r="B3499" s="24">
        <v>44271</v>
      </c>
      <c r="C3499" t="s">
        <v>181</v>
      </c>
      <c r="D3499" t="s">
        <v>51</v>
      </c>
      <c r="E3499">
        <v>2000718407</v>
      </c>
      <c r="F3499">
        <v>700</v>
      </c>
      <c r="G3499">
        <v>140</v>
      </c>
      <c r="H3499">
        <v>0</v>
      </c>
      <c r="I3499" t="s">
        <v>706</v>
      </c>
      <c r="J3499" t="s">
        <v>667</v>
      </c>
      <c r="K3499" t="s">
        <v>671</v>
      </c>
      <c r="O3499">
        <v>0</v>
      </c>
      <c r="U3499" t="s">
        <v>81</v>
      </c>
    </row>
    <row r="3500" spans="1:21" x14ac:dyDescent="0.25">
      <c r="A3500" s="33">
        <v>3517</v>
      </c>
      <c r="B3500" s="24">
        <v>44271</v>
      </c>
      <c r="C3500" t="s">
        <v>181</v>
      </c>
      <c r="D3500" t="s">
        <v>51</v>
      </c>
      <c r="E3500">
        <v>2000718908</v>
      </c>
      <c r="F3500">
        <v>400</v>
      </c>
      <c r="G3500">
        <v>140</v>
      </c>
      <c r="H3500">
        <v>0</v>
      </c>
      <c r="I3500" t="s">
        <v>706</v>
      </c>
      <c r="J3500" t="s">
        <v>673</v>
      </c>
      <c r="K3500" t="s">
        <v>672</v>
      </c>
      <c r="O3500">
        <v>0</v>
      </c>
      <c r="U3500" t="s">
        <v>81</v>
      </c>
    </row>
    <row r="3501" spans="1:21" x14ac:dyDescent="0.25">
      <c r="A3501" s="33">
        <v>3518</v>
      </c>
      <c r="B3501" s="24">
        <v>44271</v>
      </c>
      <c r="C3501" t="s">
        <v>181</v>
      </c>
      <c r="D3501" t="s">
        <v>51</v>
      </c>
      <c r="E3501">
        <v>2000718697</v>
      </c>
      <c r="F3501">
        <v>540</v>
      </c>
      <c r="G3501">
        <v>180</v>
      </c>
      <c r="H3501">
        <v>0</v>
      </c>
      <c r="I3501" t="s">
        <v>706</v>
      </c>
      <c r="J3501" t="s">
        <v>770</v>
      </c>
      <c r="K3501" t="s">
        <v>771</v>
      </c>
      <c r="O3501">
        <v>0</v>
      </c>
      <c r="U3501" t="s">
        <v>81</v>
      </c>
    </row>
    <row r="3502" spans="1:21" x14ac:dyDescent="0.25">
      <c r="A3502" s="33">
        <v>3519</v>
      </c>
      <c r="B3502" s="24">
        <v>44272</v>
      </c>
      <c r="C3502" t="s">
        <v>39</v>
      </c>
      <c r="D3502" t="s">
        <v>41</v>
      </c>
      <c r="E3502">
        <v>2000718328</v>
      </c>
      <c r="F3502">
        <v>1240</v>
      </c>
      <c r="G3502">
        <v>40</v>
      </c>
      <c r="H3502">
        <v>0</v>
      </c>
      <c r="I3502" t="s">
        <v>666</v>
      </c>
      <c r="J3502" t="s">
        <v>174</v>
      </c>
      <c r="K3502" t="s">
        <v>644</v>
      </c>
      <c r="O3502">
        <v>0</v>
      </c>
      <c r="U3502" t="s">
        <v>81</v>
      </c>
    </row>
    <row r="3503" spans="1:21" x14ac:dyDescent="0.25">
      <c r="A3503" s="33">
        <v>3520</v>
      </c>
      <c r="B3503" s="24">
        <v>44272</v>
      </c>
      <c r="C3503" t="s">
        <v>39</v>
      </c>
      <c r="D3503" t="s">
        <v>41</v>
      </c>
      <c r="E3503">
        <v>2000718834</v>
      </c>
      <c r="F3503">
        <v>360</v>
      </c>
      <c r="G3503">
        <v>318</v>
      </c>
      <c r="H3503">
        <v>0</v>
      </c>
      <c r="I3503" t="s">
        <v>666</v>
      </c>
      <c r="J3503" t="s">
        <v>174</v>
      </c>
      <c r="K3503" t="s">
        <v>186</v>
      </c>
      <c r="O3503">
        <v>0</v>
      </c>
      <c r="U3503" t="s">
        <v>81</v>
      </c>
    </row>
    <row r="3504" spans="1:21" x14ac:dyDescent="0.25">
      <c r="A3504" s="33">
        <v>3521</v>
      </c>
      <c r="B3504" s="24">
        <v>44272</v>
      </c>
      <c r="C3504" t="s">
        <v>39</v>
      </c>
      <c r="D3504" t="s">
        <v>41</v>
      </c>
      <c r="E3504">
        <v>2000715193</v>
      </c>
      <c r="F3504">
        <v>1680</v>
      </c>
      <c r="G3504">
        <v>240</v>
      </c>
      <c r="H3504">
        <v>0</v>
      </c>
      <c r="I3504" t="s">
        <v>666</v>
      </c>
      <c r="J3504" t="s">
        <v>203</v>
      </c>
      <c r="K3504" t="s">
        <v>1087</v>
      </c>
      <c r="O3504">
        <v>0</v>
      </c>
      <c r="U3504" t="s">
        <v>81</v>
      </c>
    </row>
    <row r="3505" spans="1:21" x14ac:dyDescent="0.25">
      <c r="A3505" s="33">
        <v>3522</v>
      </c>
      <c r="B3505" s="24">
        <v>44272</v>
      </c>
      <c r="C3505" t="s">
        <v>39</v>
      </c>
      <c r="D3505" t="s">
        <v>41</v>
      </c>
      <c r="E3505">
        <v>2000718754</v>
      </c>
      <c r="F3505">
        <v>1306</v>
      </c>
      <c r="G3505">
        <v>228</v>
      </c>
      <c r="H3505">
        <v>0</v>
      </c>
      <c r="I3505" t="s">
        <v>666</v>
      </c>
      <c r="J3505" t="s">
        <v>174</v>
      </c>
      <c r="K3505" t="s">
        <v>695</v>
      </c>
      <c r="O3505">
        <v>0</v>
      </c>
      <c r="U3505" t="s">
        <v>81</v>
      </c>
    </row>
    <row r="3506" spans="1:21" x14ac:dyDescent="0.25">
      <c r="A3506" s="33">
        <v>3523</v>
      </c>
      <c r="B3506" s="24">
        <v>44272</v>
      </c>
      <c r="C3506" t="s">
        <v>39</v>
      </c>
      <c r="D3506" t="s">
        <v>41</v>
      </c>
      <c r="E3506">
        <v>2000719022</v>
      </c>
      <c r="F3506">
        <v>1680</v>
      </c>
      <c r="G3506">
        <v>40</v>
      </c>
      <c r="H3506">
        <v>0</v>
      </c>
      <c r="I3506" t="s">
        <v>666</v>
      </c>
      <c r="J3506" t="s">
        <v>174</v>
      </c>
      <c r="K3506" t="s">
        <v>763</v>
      </c>
      <c r="O3506">
        <v>0</v>
      </c>
      <c r="U3506" t="s">
        <v>81</v>
      </c>
    </row>
    <row r="3507" spans="1:21" x14ac:dyDescent="0.25">
      <c r="A3507" s="33">
        <v>3524</v>
      </c>
      <c r="B3507" s="24">
        <v>44272</v>
      </c>
      <c r="C3507" t="s">
        <v>39</v>
      </c>
      <c r="D3507" t="s">
        <v>41</v>
      </c>
      <c r="E3507">
        <v>2000718328</v>
      </c>
      <c r="F3507">
        <v>1240</v>
      </c>
      <c r="G3507">
        <v>20</v>
      </c>
      <c r="H3507">
        <v>0</v>
      </c>
      <c r="I3507" t="s">
        <v>194</v>
      </c>
      <c r="J3507" t="s">
        <v>174</v>
      </c>
      <c r="K3507" t="s">
        <v>644</v>
      </c>
      <c r="O3507">
        <v>0</v>
      </c>
      <c r="U3507" t="s">
        <v>81</v>
      </c>
    </row>
    <row r="3508" spans="1:21" x14ac:dyDescent="0.25">
      <c r="A3508" s="33">
        <v>3525</v>
      </c>
      <c r="B3508" s="24">
        <v>44272</v>
      </c>
      <c r="C3508" t="s">
        <v>39</v>
      </c>
      <c r="D3508" t="s">
        <v>41</v>
      </c>
      <c r="E3508">
        <v>2000718834</v>
      </c>
      <c r="F3508">
        <v>360</v>
      </c>
      <c r="G3508">
        <v>40</v>
      </c>
      <c r="H3508">
        <v>0</v>
      </c>
      <c r="I3508" t="s">
        <v>194</v>
      </c>
      <c r="J3508" t="s">
        <v>174</v>
      </c>
      <c r="K3508" t="s">
        <v>186</v>
      </c>
      <c r="O3508">
        <v>0</v>
      </c>
      <c r="U3508" t="s">
        <v>81</v>
      </c>
    </row>
    <row r="3509" spans="1:21" x14ac:dyDescent="0.25">
      <c r="A3509" s="33">
        <v>3526</v>
      </c>
      <c r="B3509" s="24">
        <v>44272</v>
      </c>
      <c r="C3509" t="s">
        <v>39</v>
      </c>
      <c r="D3509" t="s">
        <v>41</v>
      </c>
      <c r="E3509">
        <v>2000718186</v>
      </c>
      <c r="F3509">
        <v>280</v>
      </c>
      <c r="G3509">
        <v>200</v>
      </c>
      <c r="H3509">
        <v>0</v>
      </c>
      <c r="I3509" t="s">
        <v>194</v>
      </c>
      <c r="J3509" t="s">
        <v>169</v>
      </c>
      <c r="K3509" t="s">
        <v>826</v>
      </c>
      <c r="O3509">
        <v>0</v>
      </c>
      <c r="U3509" t="s">
        <v>81</v>
      </c>
    </row>
    <row r="3510" spans="1:21" x14ac:dyDescent="0.25">
      <c r="A3510" s="33">
        <v>3527</v>
      </c>
      <c r="B3510" s="24">
        <v>44272</v>
      </c>
      <c r="C3510" t="s">
        <v>39</v>
      </c>
      <c r="D3510" t="s">
        <v>41</v>
      </c>
      <c r="E3510">
        <v>2000718754</v>
      </c>
      <c r="F3510">
        <v>1306</v>
      </c>
      <c r="G3510">
        <v>80</v>
      </c>
      <c r="H3510">
        <v>0</v>
      </c>
      <c r="I3510" t="s">
        <v>194</v>
      </c>
      <c r="J3510" t="s">
        <v>174</v>
      </c>
      <c r="K3510" t="s">
        <v>695</v>
      </c>
      <c r="O3510">
        <v>0</v>
      </c>
      <c r="U3510" t="s">
        <v>81</v>
      </c>
    </row>
    <row r="3511" spans="1:21" x14ac:dyDescent="0.25">
      <c r="A3511" s="33">
        <v>3528</v>
      </c>
      <c r="B3511" s="24">
        <v>44272</v>
      </c>
      <c r="C3511" t="s">
        <v>39</v>
      </c>
      <c r="D3511" t="s">
        <v>41</v>
      </c>
      <c r="E3511">
        <v>2000718788</v>
      </c>
      <c r="F3511">
        <v>1600</v>
      </c>
      <c r="G3511">
        <v>120</v>
      </c>
      <c r="H3511">
        <v>0</v>
      </c>
      <c r="I3511" t="s">
        <v>194</v>
      </c>
      <c r="J3511" t="s">
        <v>174</v>
      </c>
      <c r="K3511" t="s">
        <v>721</v>
      </c>
      <c r="O3511">
        <v>0</v>
      </c>
      <c r="U3511" t="s">
        <v>81</v>
      </c>
    </row>
    <row r="3512" spans="1:21" x14ac:dyDescent="0.25">
      <c r="A3512" s="33">
        <v>3529</v>
      </c>
      <c r="B3512" s="24">
        <v>44272</v>
      </c>
      <c r="C3512" t="s">
        <v>39</v>
      </c>
      <c r="D3512" t="s">
        <v>41</v>
      </c>
      <c r="E3512">
        <v>2000719022</v>
      </c>
      <c r="F3512">
        <v>1680</v>
      </c>
      <c r="G3512">
        <v>40</v>
      </c>
      <c r="H3512">
        <v>0</v>
      </c>
      <c r="I3512" t="s">
        <v>194</v>
      </c>
      <c r="J3512" t="s">
        <v>174</v>
      </c>
      <c r="K3512" t="s">
        <v>763</v>
      </c>
      <c r="O3512">
        <v>0</v>
      </c>
      <c r="U3512" t="s">
        <v>81</v>
      </c>
    </row>
    <row r="3513" spans="1:21" x14ac:dyDescent="0.25">
      <c r="A3513" s="33">
        <v>3530</v>
      </c>
      <c r="B3513" s="24">
        <v>44272</v>
      </c>
      <c r="C3513" t="s">
        <v>39</v>
      </c>
      <c r="D3513" t="s">
        <v>41</v>
      </c>
      <c r="E3513">
        <v>2000718464</v>
      </c>
      <c r="F3513">
        <v>2000</v>
      </c>
      <c r="G3513">
        <v>45</v>
      </c>
      <c r="H3513">
        <v>0</v>
      </c>
      <c r="I3513" t="s">
        <v>178</v>
      </c>
      <c r="J3513" t="s">
        <v>170</v>
      </c>
      <c r="K3513" t="s">
        <v>1088</v>
      </c>
      <c r="O3513">
        <v>0</v>
      </c>
      <c r="U3513" t="s">
        <v>81</v>
      </c>
    </row>
    <row r="3514" spans="1:21" x14ac:dyDescent="0.25">
      <c r="A3514" s="33">
        <v>3531</v>
      </c>
      <c r="B3514" s="24">
        <v>44272</v>
      </c>
      <c r="C3514" t="s">
        <v>39</v>
      </c>
      <c r="D3514" t="s">
        <v>41</v>
      </c>
      <c r="E3514">
        <v>2000719005</v>
      </c>
      <c r="F3514">
        <v>990</v>
      </c>
      <c r="G3514">
        <v>75</v>
      </c>
      <c r="H3514">
        <v>0</v>
      </c>
      <c r="I3514" t="s">
        <v>178</v>
      </c>
      <c r="J3514" t="s">
        <v>170</v>
      </c>
      <c r="K3514" t="s">
        <v>171</v>
      </c>
      <c r="O3514">
        <v>0</v>
      </c>
      <c r="U3514" t="s">
        <v>81</v>
      </c>
    </row>
    <row r="3515" spans="1:21" x14ac:dyDescent="0.25">
      <c r="A3515" s="33">
        <v>3532</v>
      </c>
      <c r="B3515" s="24">
        <v>44272</v>
      </c>
      <c r="C3515" t="s">
        <v>39</v>
      </c>
      <c r="D3515" t="s">
        <v>41</v>
      </c>
      <c r="E3515">
        <v>2000718722</v>
      </c>
      <c r="F3515">
        <v>950</v>
      </c>
      <c r="G3515">
        <v>60</v>
      </c>
      <c r="H3515">
        <v>0</v>
      </c>
      <c r="I3515" t="s">
        <v>178</v>
      </c>
      <c r="J3515" t="s">
        <v>169</v>
      </c>
      <c r="K3515" t="s">
        <v>179</v>
      </c>
      <c r="O3515">
        <v>0</v>
      </c>
      <c r="U3515" t="s">
        <v>81</v>
      </c>
    </row>
    <row r="3516" spans="1:21" x14ac:dyDescent="0.25">
      <c r="A3516" s="33">
        <v>3533</v>
      </c>
      <c r="B3516" s="24">
        <v>44272</v>
      </c>
      <c r="C3516" t="s">
        <v>39</v>
      </c>
      <c r="D3516" t="s">
        <v>41</v>
      </c>
      <c r="E3516">
        <v>2000718725</v>
      </c>
      <c r="F3516">
        <v>650</v>
      </c>
      <c r="G3516">
        <v>80</v>
      </c>
      <c r="H3516">
        <v>0</v>
      </c>
      <c r="I3516" t="s">
        <v>178</v>
      </c>
      <c r="J3516" t="s">
        <v>169</v>
      </c>
      <c r="K3516" t="s">
        <v>663</v>
      </c>
      <c r="O3516">
        <v>0</v>
      </c>
      <c r="U3516" t="s">
        <v>81</v>
      </c>
    </row>
    <row r="3517" spans="1:21" x14ac:dyDescent="0.25">
      <c r="A3517" s="33">
        <v>3534</v>
      </c>
      <c r="B3517" s="24">
        <v>44272</v>
      </c>
      <c r="C3517" t="s">
        <v>39</v>
      </c>
      <c r="D3517" t="s">
        <v>41</v>
      </c>
      <c r="E3517">
        <v>2000719056</v>
      </c>
      <c r="F3517">
        <v>170</v>
      </c>
      <c r="G3517">
        <v>20</v>
      </c>
      <c r="H3517">
        <v>0</v>
      </c>
      <c r="I3517" t="s">
        <v>178</v>
      </c>
      <c r="J3517" t="s">
        <v>216</v>
      </c>
      <c r="K3517" t="s">
        <v>733</v>
      </c>
      <c r="O3517">
        <v>0</v>
      </c>
      <c r="U3517" t="s">
        <v>81</v>
      </c>
    </row>
    <row r="3518" spans="1:21" x14ac:dyDescent="0.25">
      <c r="A3518" s="33">
        <v>3535</v>
      </c>
      <c r="B3518" s="24">
        <v>44272</v>
      </c>
      <c r="C3518" t="s">
        <v>39</v>
      </c>
      <c r="D3518" t="s">
        <v>41</v>
      </c>
      <c r="E3518">
        <v>2000714730</v>
      </c>
      <c r="F3518">
        <v>400</v>
      </c>
      <c r="G3518">
        <v>2</v>
      </c>
      <c r="H3518">
        <v>0</v>
      </c>
      <c r="I3518" t="s">
        <v>178</v>
      </c>
      <c r="J3518" t="s">
        <v>174</v>
      </c>
      <c r="K3518" t="s">
        <v>792</v>
      </c>
      <c r="O3518">
        <v>0</v>
      </c>
      <c r="U3518" t="s">
        <v>81</v>
      </c>
    </row>
    <row r="3519" spans="1:21" x14ac:dyDescent="0.25">
      <c r="A3519" s="33">
        <v>3536</v>
      </c>
      <c r="B3519" s="24">
        <v>44272</v>
      </c>
      <c r="C3519" t="s">
        <v>39</v>
      </c>
      <c r="D3519" t="s">
        <v>41</v>
      </c>
      <c r="E3519">
        <v>2000718868</v>
      </c>
      <c r="F3519">
        <v>1300</v>
      </c>
      <c r="G3519">
        <v>270</v>
      </c>
      <c r="H3519">
        <v>0</v>
      </c>
      <c r="I3519" t="s">
        <v>178</v>
      </c>
      <c r="J3519" t="s">
        <v>174</v>
      </c>
      <c r="K3519" t="s">
        <v>205</v>
      </c>
      <c r="O3519">
        <v>0</v>
      </c>
      <c r="U3519" t="s">
        <v>81</v>
      </c>
    </row>
    <row r="3520" spans="1:21" x14ac:dyDescent="0.25">
      <c r="A3520" s="33">
        <v>3537</v>
      </c>
      <c r="B3520" s="24">
        <v>44272</v>
      </c>
      <c r="C3520" t="s">
        <v>39</v>
      </c>
      <c r="D3520" t="s">
        <v>41</v>
      </c>
      <c r="E3520">
        <v>2000718712</v>
      </c>
      <c r="F3520">
        <v>3808</v>
      </c>
      <c r="G3520">
        <v>200</v>
      </c>
      <c r="H3520">
        <v>0</v>
      </c>
      <c r="I3520" t="s">
        <v>178</v>
      </c>
      <c r="J3520" t="s">
        <v>200</v>
      </c>
      <c r="K3520" t="s">
        <v>653</v>
      </c>
      <c r="O3520">
        <v>0</v>
      </c>
      <c r="U3520" t="s">
        <v>81</v>
      </c>
    </row>
    <row r="3521" spans="1:21" x14ac:dyDescent="0.25">
      <c r="A3521" s="33">
        <v>3538</v>
      </c>
      <c r="B3521" s="24">
        <v>44272</v>
      </c>
      <c r="C3521" t="s">
        <v>39</v>
      </c>
      <c r="D3521" t="s">
        <v>41</v>
      </c>
      <c r="E3521">
        <v>2000718781</v>
      </c>
      <c r="F3521">
        <v>1200</v>
      </c>
      <c r="G3521">
        <v>100</v>
      </c>
      <c r="H3521">
        <v>0</v>
      </c>
      <c r="I3521" t="s">
        <v>789</v>
      </c>
      <c r="J3521" t="s">
        <v>196</v>
      </c>
      <c r="K3521" t="s">
        <v>684</v>
      </c>
      <c r="O3521">
        <v>0</v>
      </c>
      <c r="U3521" t="s">
        <v>81</v>
      </c>
    </row>
    <row r="3522" spans="1:21" x14ac:dyDescent="0.25">
      <c r="A3522" s="33">
        <v>3539</v>
      </c>
      <c r="B3522" s="24">
        <v>44272</v>
      </c>
      <c r="C3522" t="s">
        <v>39</v>
      </c>
      <c r="D3522" t="s">
        <v>41</v>
      </c>
      <c r="E3522">
        <v>2000718783</v>
      </c>
      <c r="F3522">
        <v>1200</v>
      </c>
      <c r="G3522">
        <v>150</v>
      </c>
      <c r="H3522">
        <v>0</v>
      </c>
      <c r="I3522" t="s">
        <v>789</v>
      </c>
      <c r="J3522" t="s">
        <v>196</v>
      </c>
      <c r="K3522" t="s">
        <v>685</v>
      </c>
      <c r="O3522">
        <v>0</v>
      </c>
      <c r="T3522" s="62"/>
      <c r="U3522" t="s">
        <v>81</v>
      </c>
    </row>
    <row r="3523" spans="1:21" x14ac:dyDescent="0.25">
      <c r="A3523" s="33">
        <v>3540</v>
      </c>
      <c r="B3523" s="24">
        <v>44272</v>
      </c>
      <c r="C3523" t="s">
        <v>39</v>
      </c>
      <c r="D3523" t="s">
        <v>41</v>
      </c>
      <c r="E3523">
        <v>2000718219</v>
      </c>
      <c r="F3523">
        <v>2000</v>
      </c>
      <c r="G3523">
        <v>160</v>
      </c>
      <c r="H3523">
        <v>0</v>
      </c>
      <c r="I3523" t="s">
        <v>789</v>
      </c>
      <c r="J3523" t="s">
        <v>193</v>
      </c>
      <c r="K3523" t="s">
        <v>686</v>
      </c>
      <c r="O3523">
        <v>0</v>
      </c>
      <c r="T3523" s="62"/>
      <c r="U3523" t="s">
        <v>81</v>
      </c>
    </row>
    <row r="3524" spans="1:21" x14ac:dyDescent="0.25">
      <c r="A3524" s="33">
        <v>3541</v>
      </c>
      <c r="B3524" s="24">
        <v>44272</v>
      </c>
      <c r="C3524" t="s">
        <v>39</v>
      </c>
      <c r="D3524" t="s">
        <v>41</v>
      </c>
      <c r="E3524">
        <v>2000716805</v>
      </c>
      <c r="F3524">
        <v>2000</v>
      </c>
      <c r="G3524">
        <v>200</v>
      </c>
      <c r="H3524">
        <v>0</v>
      </c>
      <c r="I3524" t="s">
        <v>789</v>
      </c>
      <c r="J3524" t="s">
        <v>172</v>
      </c>
      <c r="K3524" t="s">
        <v>725</v>
      </c>
      <c r="O3524">
        <v>0</v>
      </c>
      <c r="T3524" s="62"/>
      <c r="U3524" t="s">
        <v>81</v>
      </c>
    </row>
    <row r="3525" spans="1:21" x14ac:dyDescent="0.25">
      <c r="A3525" s="33">
        <v>3542</v>
      </c>
      <c r="B3525" s="24">
        <v>44272</v>
      </c>
      <c r="C3525" t="s">
        <v>39</v>
      </c>
      <c r="D3525" t="s">
        <v>41</v>
      </c>
      <c r="E3525">
        <v>2000718444</v>
      </c>
      <c r="F3525">
        <v>340</v>
      </c>
      <c r="G3525">
        <v>293</v>
      </c>
      <c r="H3525">
        <v>0</v>
      </c>
      <c r="I3525" t="s">
        <v>168</v>
      </c>
      <c r="J3525" t="s">
        <v>203</v>
      </c>
      <c r="K3525" t="s">
        <v>638</v>
      </c>
      <c r="O3525">
        <v>0</v>
      </c>
      <c r="U3525" t="s">
        <v>81</v>
      </c>
    </row>
    <row r="3526" spans="1:21" x14ac:dyDescent="0.25">
      <c r="A3526" s="33">
        <v>3543</v>
      </c>
      <c r="B3526" s="24">
        <v>44272</v>
      </c>
      <c r="C3526" t="s">
        <v>39</v>
      </c>
      <c r="D3526" t="s">
        <v>41</v>
      </c>
      <c r="E3526">
        <v>2000719075</v>
      </c>
      <c r="F3526">
        <v>442</v>
      </c>
      <c r="G3526">
        <v>240</v>
      </c>
      <c r="H3526">
        <v>0</v>
      </c>
      <c r="I3526" t="s">
        <v>168</v>
      </c>
      <c r="J3526" t="s">
        <v>203</v>
      </c>
      <c r="K3526" t="s">
        <v>793</v>
      </c>
      <c r="O3526">
        <v>0</v>
      </c>
      <c r="U3526" t="s">
        <v>81</v>
      </c>
    </row>
    <row r="3527" spans="1:21" x14ac:dyDescent="0.25">
      <c r="A3527" s="33">
        <v>3544</v>
      </c>
      <c r="B3527" s="24">
        <v>44272</v>
      </c>
      <c r="C3527" t="s">
        <v>39</v>
      </c>
      <c r="D3527" t="s">
        <v>41</v>
      </c>
      <c r="E3527">
        <v>2000718756</v>
      </c>
      <c r="F3527">
        <v>2000</v>
      </c>
      <c r="G3527">
        <v>70</v>
      </c>
      <c r="H3527">
        <v>0</v>
      </c>
      <c r="I3527" t="s">
        <v>642</v>
      </c>
      <c r="J3527" t="s">
        <v>172</v>
      </c>
      <c r="K3527" t="s">
        <v>724</v>
      </c>
      <c r="O3527">
        <v>0</v>
      </c>
      <c r="U3527" t="s">
        <v>81</v>
      </c>
    </row>
    <row r="3528" spans="1:21" x14ac:dyDescent="0.25">
      <c r="A3528" s="33">
        <v>3545</v>
      </c>
      <c r="B3528" s="24">
        <v>44272</v>
      </c>
      <c r="C3528" t="s">
        <v>39</v>
      </c>
      <c r="D3528" t="s">
        <v>41</v>
      </c>
      <c r="E3528">
        <v>2000718775</v>
      </c>
      <c r="F3528">
        <v>490</v>
      </c>
      <c r="G3528">
        <v>80</v>
      </c>
      <c r="H3528">
        <v>0</v>
      </c>
      <c r="I3528" t="s">
        <v>642</v>
      </c>
      <c r="J3528" t="s">
        <v>197</v>
      </c>
      <c r="K3528" t="s">
        <v>764</v>
      </c>
      <c r="O3528">
        <v>0</v>
      </c>
      <c r="U3528" t="s">
        <v>81</v>
      </c>
    </row>
    <row r="3529" spans="1:21" x14ac:dyDescent="0.25">
      <c r="A3529" s="33">
        <v>3546</v>
      </c>
      <c r="B3529" s="24">
        <v>44272</v>
      </c>
      <c r="C3529" t="s">
        <v>39</v>
      </c>
      <c r="D3529" t="s">
        <v>41</v>
      </c>
      <c r="E3529">
        <v>2000718757</v>
      </c>
      <c r="F3529">
        <v>850</v>
      </c>
      <c r="G3529">
        <v>80</v>
      </c>
      <c r="H3529">
        <v>0</v>
      </c>
      <c r="I3529" t="s">
        <v>642</v>
      </c>
      <c r="J3529" t="s">
        <v>172</v>
      </c>
      <c r="K3529" t="s">
        <v>692</v>
      </c>
      <c r="O3529">
        <v>0</v>
      </c>
      <c r="U3529" t="s">
        <v>81</v>
      </c>
    </row>
    <row r="3530" spans="1:21" x14ac:dyDescent="0.25">
      <c r="A3530" s="33">
        <v>3547</v>
      </c>
      <c r="B3530" s="24">
        <v>44272</v>
      </c>
      <c r="C3530" t="s">
        <v>39</v>
      </c>
      <c r="D3530" t="s">
        <v>41</v>
      </c>
      <c r="E3530">
        <v>2000718776</v>
      </c>
      <c r="F3530">
        <v>710</v>
      </c>
      <c r="G3530">
        <v>80</v>
      </c>
      <c r="H3530">
        <v>0</v>
      </c>
      <c r="I3530" t="s">
        <v>642</v>
      </c>
      <c r="J3530" t="s">
        <v>645</v>
      </c>
      <c r="K3530" t="s">
        <v>646</v>
      </c>
      <c r="O3530">
        <v>0</v>
      </c>
      <c r="U3530" t="s">
        <v>81</v>
      </c>
    </row>
    <row r="3531" spans="1:21" x14ac:dyDescent="0.25">
      <c r="A3531" s="33">
        <v>3548</v>
      </c>
      <c r="B3531" s="24">
        <v>44272</v>
      </c>
      <c r="C3531" t="s">
        <v>39</v>
      </c>
      <c r="D3531" t="s">
        <v>41</v>
      </c>
      <c r="E3531">
        <v>2000718220</v>
      </c>
      <c r="F3531">
        <v>2000</v>
      </c>
      <c r="G3531">
        <v>60</v>
      </c>
      <c r="H3531">
        <v>0</v>
      </c>
      <c r="I3531" t="s">
        <v>642</v>
      </c>
      <c r="J3531" t="s">
        <v>193</v>
      </c>
      <c r="K3531" t="s">
        <v>647</v>
      </c>
      <c r="O3531">
        <v>0</v>
      </c>
      <c r="U3531" t="s">
        <v>81</v>
      </c>
    </row>
    <row r="3532" spans="1:21" x14ac:dyDescent="0.25">
      <c r="A3532" s="33">
        <v>3549</v>
      </c>
      <c r="B3532" s="24">
        <v>44272</v>
      </c>
      <c r="C3532" t="s">
        <v>39</v>
      </c>
      <c r="D3532" t="s">
        <v>41</v>
      </c>
      <c r="E3532">
        <v>2000718464</v>
      </c>
      <c r="F3532">
        <v>2000</v>
      </c>
      <c r="G3532">
        <v>184</v>
      </c>
      <c r="H3532">
        <v>0</v>
      </c>
      <c r="I3532" t="s">
        <v>661</v>
      </c>
      <c r="J3532" t="s">
        <v>170</v>
      </c>
      <c r="K3532" t="s">
        <v>732</v>
      </c>
      <c r="O3532">
        <v>0</v>
      </c>
      <c r="U3532" t="s">
        <v>81</v>
      </c>
    </row>
    <row r="3533" spans="1:21" x14ac:dyDescent="0.25">
      <c r="A3533" s="33">
        <v>3550</v>
      </c>
      <c r="B3533" s="24">
        <v>44272</v>
      </c>
      <c r="C3533" t="s">
        <v>39</v>
      </c>
      <c r="D3533" t="s">
        <v>41</v>
      </c>
      <c r="E3533">
        <v>2000718868</v>
      </c>
      <c r="F3533">
        <v>1300</v>
      </c>
      <c r="G3533">
        <v>508</v>
      </c>
      <c r="H3533">
        <v>0</v>
      </c>
      <c r="I3533" t="s">
        <v>661</v>
      </c>
      <c r="J3533" t="s">
        <v>174</v>
      </c>
      <c r="K3533" t="s">
        <v>205</v>
      </c>
      <c r="O3533">
        <v>0</v>
      </c>
      <c r="U3533" t="s">
        <v>81</v>
      </c>
    </row>
    <row r="3534" spans="1:21" x14ac:dyDescent="0.25">
      <c r="A3534" s="33">
        <v>3551</v>
      </c>
      <c r="B3534" s="24">
        <v>44272</v>
      </c>
      <c r="C3534" t="s">
        <v>39</v>
      </c>
      <c r="D3534" t="s">
        <v>41</v>
      </c>
      <c r="E3534">
        <v>2000719005</v>
      </c>
      <c r="F3534">
        <v>990</v>
      </c>
      <c r="G3534">
        <v>60</v>
      </c>
      <c r="H3534">
        <v>0</v>
      </c>
      <c r="I3534" t="s">
        <v>661</v>
      </c>
      <c r="J3534" t="s">
        <v>170</v>
      </c>
      <c r="K3534" t="s">
        <v>171</v>
      </c>
      <c r="O3534">
        <v>0</v>
      </c>
      <c r="U3534" t="s">
        <v>81</v>
      </c>
    </row>
    <row r="3535" spans="1:21" x14ac:dyDescent="0.25">
      <c r="A3535" s="33">
        <v>3552</v>
      </c>
      <c r="B3535" s="24">
        <v>44272</v>
      </c>
      <c r="C3535" t="s">
        <v>39</v>
      </c>
      <c r="D3535" t="s">
        <v>41</v>
      </c>
      <c r="E3535">
        <v>2000718819</v>
      </c>
      <c r="F3535">
        <v>1800</v>
      </c>
      <c r="G3535">
        <v>440</v>
      </c>
      <c r="H3535">
        <v>0</v>
      </c>
      <c r="I3535" t="s">
        <v>1065</v>
      </c>
      <c r="J3535" t="s">
        <v>745</v>
      </c>
      <c r="K3535" t="s">
        <v>746</v>
      </c>
      <c r="O3535">
        <v>0</v>
      </c>
      <c r="U3535" t="s">
        <v>81</v>
      </c>
    </row>
    <row r="3536" spans="1:21" x14ac:dyDescent="0.25">
      <c r="A3536" s="33">
        <v>3553</v>
      </c>
      <c r="B3536" s="24">
        <v>44272</v>
      </c>
      <c r="C3536" t="s">
        <v>39</v>
      </c>
      <c r="D3536" t="s">
        <v>41</v>
      </c>
      <c r="E3536">
        <v>2000718818</v>
      </c>
      <c r="F3536">
        <v>7860</v>
      </c>
      <c r="G3536">
        <v>300</v>
      </c>
      <c r="H3536">
        <v>0</v>
      </c>
      <c r="I3536" t="s">
        <v>1065</v>
      </c>
      <c r="J3536" t="s">
        <v>200</v>
      </c>
      <c r="K3536" t="s">
        <v>737</v>
      </c>
      <c r="O3536">
        <v>0</v>
      </c>
      <c r="U3536" t="s">
        <v>81</v>
      </c>
    </row>
    <row r="3537" spans="1:21" x14ac:dyDescent="0.25">
      <c r="A3537" s="33">
        <v>3554</v>
      </c>
      <c r="B3537" s="24">
        <v>44272</v>
      </c>
      <c r="C3537" t="s">
        <v>39</v>
      </c>
      <c r="D3537" t="s">
        <v>41</v>
      </c>
      <c r="E3537">
        <v>2000718214</v>
      </c>
      <c r="F3537">
        <v>1800</v>
      </c>
      <c r="G3537">
        <v>150</v>
      </c>
      <c r="H3537">
        <v>0</v>
      </c>
      <c r="I3537" t="s">
        <v>1065</v>
      </c>
      <c r="J3537" t="s">
        <v>193</v>
      </c>
      <c r="K3537" t="s">
        <v>683</v>
      </c>
      <c r="O3537">
        <v>0</v>
      </c>
      <c r="U3537" t="s">
        <v>81</v>
      </c>
    </row>
    <row r="3538" spans="1:21" x14ac:dyDescent="0.25">
      <c r="A3538" s="33">
        <v>3555</v>
      </c>
      <c r="B3538" s="24">
        <v>44272</v>
      </c>
      <c r="C3538" t="s">
        <v>39</v>
      </c>
      <c r="D3538" t="s">
        <v>41</v>
      </c>
      <c r="E3538">
        <v>2000716804</v>
      </c>
      <c r="F3538">
        <v>800</v>
      </c>
      <c r="G3538">
        <v>100</v>
      </c>
      <c r="H3538">
        <v>0</v>
      </c>
      <c r="I3538" t="s">
        <v>1065</v>
      </c>
      <c r="J3538" t="s">
        <v>172</v>
      </c>
      <c r="K3538" t="s">
        <v>725</v>
      </c>
      <c r="O3538">
        <v>0</v>
      </c>
      <c r="U3538" t="s">
        <v>81</v>
      </c>
    </row>
    <row r="3539" spans="1:21" x14ac:dyDescent="0.25">
      <c r="A3539" s="33">
        <v>3556</v>
      </c>
      <c r="B3539" s="24">
        <v>44272</v>
      </c>
      <c r="C3539" t="s">
        <v>39</v>
      </c>
      <c r="D3539" t="s">
        <v>41</v>
      </c>
      <c r="E3539">
        <v>2000718433</v>
      </c>
      <c r="F3539">
        <v>1200</v>
      </c>
      <c r="G3539">
        <v>100</v>
      </c>
      <c r="H3539">
        <v>0</v>
      </c>
      <c r="I3539" t="s">
        <v>1065</v>
      </c>
      <c r="J3539" t="s">
        <v>645</v>
      </c>
      <c r="K3539" t="s">
        <v>1089</v>
      </c>
      <c r="O3539">
        <v>0</v>
      </c>
      <c r="U3539" t="s">
        <v>81</v>
      </c>
    </row>
    <row r="3540" spans="1:21" x14ac:dyDescent="0.25">
      <c r="A3540" s="33">
        <v>3557</v>
      </c>
      <c r="B3540" s="24">
        <v>44272</v>
      </c>
      <c r="C3540" t="s">
        <v>39</v>
      </c>
      <c r="D3540" t="s">
        <v>41</v>
      </c>
      <c r="E3540">
        <v>2000718434</v>
      </c>
      <c r="F3540">
        <v>1200</v>
      </c>
      <c r="G3540">
        <v>150</v>
      </c>
      <c r="H3540">
        <v>0</v>
      </c>
      <c r="I3540" t="s">
        <v>1065</v>
      </c>
      <c r="J3540" t="s">
        <v>645</v>
      </c>
      <c r="K3540" t="s">
        <v>658</v>
      </c>
      <c r="O3540">
        <v>0</v>
      </c>
      <c r="U3540" t="s">
        <v>81</v>
      </c>
    </row>
    <row r="3541" spans="1:21" x14ac:dyDescent="0.25">
      <c r="A3541" s="33">
        <v>3558</v>
      </c>
      <c r="B3541" s="24">
        <v>44272</v>
      </c>
      <c r="C3541" t="s">
        <v>39</v>
      </c>
      <c r="D3541" t="s">
        <v>41</v>
      </c>
      <c r="E3541">
        <v>2000715192</v>
      </c>
      <c r="F3541">
        <v>3960</v>
      </c>
      <c r="G3541">
        <v>200</v>
      </c>
      <c r="H3541">
        <v>0</v>
      </c>
      <c r="I3541" t="s">
        <v>1065</v>
      </c>
      <c r="J3541" t="s">
        <v>645</v>
      </c>
      <c r="K3541" t="s">
        <v>659</v>
      </c>
      <c r="O3541">
        <v>0</v>
      </c>
      <c r="T3541" s="62"/>
      <c r="U3541" t="s">
        <v>81</v>
      </c>
    </row>
    <row r="3542" spans="1:21" x14ac:dyDescent="0.25">
      <c r="A3542" s="33">
        <v>3559</v>
      </c>
      <c r="B3542" s="24">
        <v>44272</v>
      </c>
      <c r="C3542" t="s">
        <v>39</v>
      </c>
      <c r="D3542" t="s">
        <v>41</v>
      </c>
      <c r="E3542">
        <v>2000718782</v>
      </c>
      <c r="F3542">
        <v>1200</v>
      </c>
      <c r="G3542">
        <v>100</v>
      </c>
      <c r="H3542">
        <v>0</v>
      </c>
      <c r="I3542" t="s">
        <v>1065</v>
      </c>
      <c r="J3542" t="s">
        <v>196</v>
      </c>
      <c r="K3542" t="s">
        <v>1090</v>
      </c>
      <c r="O3542">
        <v>0</v>
      </c>
      <c r="U3542" t="s">
        <v>81</v>
      </c>
    </row>
    <row r="3543" spans="1:21" x14ac:dyDescent="0.25">
      <c r="A3543" s="33">
        <v>3560</v>
      </c>
      <c r="B3543" s="24">
        <v>44272</v>
      </c>
      <c r="C3543" t="s">
        <v>39</v>
      </c>
      <c r="D3543" t="s">
        <v>51</v>
      </c>
      <c r="E3543">
        <v>2000718407</v>
      </c>
      <c r="F3543">
        <v>700</v>
      </c>
      <c r="G3543">
        <v>175</v>
      </c>
      <c r="H3543">
        <v>0</v>
      </c>
      <c r="I3543" t="s">
        <v>191</v>
      </c>
      <c r="J3543" t="s">
        <v>667</v>
      </c>
      <c r="K3543" t="s">
        <v>671</v>
      </c>
      <c r="O3543">
        <v>0</v>
      </c>
      <c r="U3543" t="s">
        <v>81</v>
      </c>
    </row>
    <row r="3544" spans="1:21" x14ac:dyDescent="0.25">
      <c r="A3544" s="33">
        <v>3561</v>
      </c>
      <c r="B3544" s="24">
        <v>44272</v>
      </c>
      <c r="C3544" t="s">
        <v>39</v>
      </c>
      <c r="D3544" t="s">
        <v>51</v>
      </c>
      <c r="E3544">
        <v>2000718021</v>
      </c>
      <c r="F3544">
        <v>800</v>
      </c>
      <c r="G3544">
        <v>80</v>
      </c>
      <c r="H3544">
        <v>0</v>
      </c>
      <c r="I3544" t="s">
        <v>191</v>
      </c>
      <c r="J3544" t="s">
        <v>667</v>
      </c>
      <c r="K3544" t="s">
        <v>730</v>
      </c>
      <c r="O3544">
        <v>0</v>
      </c>
      <c r="U3544" t="s">
        <v>81</v>
      </c>
    </row>
    <row r="3545" spans="1:21" x14ac:dyDescent="0.25">
      <c r="A3545" s="33">
        <v>3562</v>
      </c>
      <c r="B3545" s="24">
        <v>44272</v>
      </c>
      <c r="C3545" t="s">
        <v>39</v>
      </c>
      <c r="D3545" t="s">
        <v>51</v>
      </c>
      <c r="E3545">
        <v>2000718697</v>
      </c>
      <c r="F3545">
        <v>540</v>
      </c>
      <c r="G3545">
        <v>360</v>
      </c>
      <c r="H3545">
        <v>0</v>
      </c>
      <c r="I3545" t="s">
        <v>191</v>
      </c>
      <c r="J3545" t="s">
        <v>770</v>
      </c>
      <c r="K3545" t="s">
        <v>771</v>
      </c>
      <c r="O3545">
        <v>0</v>
      </c>
      <c r="U3545" t="s">
        <v>81</v>
      </c>
    </row>
    <row r="3546" spans="1:21" x14ac:dyDescent="0.25">
      <c r="A3546" s="33">
        <v>3563</v>
      </c>
      <c r="B3546" s="24">
        <v>44272</v>
      </c>
      <c r="C3546" t="s">
        <v>39</v>
      </c>
      <c r="D3546" t="s">
        <v>51</v>
      </c>
      <c r="E3546">
        <v>2000718700</v>
      </c>
      <c r="F3546">
        <v>660</v>
      </c>
      <c r="G3546">
        <v>110</v>
      </c>
      <c r="H3546">
        <v>0</v>
      </c>
      <c r="I3546" t="s">
        <v>191</v>
      </c>
      <c r="J3546" t="s">
        <v>669</v>
      </c>
      <c r="K3546" t="s">
        <v>834</v>
      </c>
      <c r="O3546">
        <v>0</v>
      </c>
      <c r="U3546" t="s">
        <v>81</v>
      </c>
    </row>
    <row r="3547" spans="1:21" x14ac:dyDescent="0.25">
      <c r="A3547" s="33">
        <v>3564</v>
      </c>
      <c r="B3547" s="24">
        <v>44272</v>
      </c>
      <c r="C3547" t="s">
        <v>39</v>
      </c>
      <c r="D3547" t="s">
        <v>51</v>
      </c>
      <c r="E3547">
        <v>2000718698</v>
      </c>
      <c r="F3547">
        <v>270</v>
      </c>
      <c r="G3547">
        <v>90</v>
      </c>
      <c r="H3547">
        <v>0</v>
      </c>
      <c r="I3547" t="s">
        <v>191</v>
      </c>
      <c r="J3547" t="s">
        <v>770</v>
      </c>
      <c r="K3547" t="s">
        <v>777</v>
      </c>
      <c r="O3547">
        <v>0</v>
      </c>
      <c r="U3547" t="s">
        <v>81</v>
      </c>
    </row>
    <row r="3548" spans="1:21" x14ac:dyDescent="0.25">
      <c r="A3548" s="33">
        <v>3565</v>
      </c>
      <c r="B3548" s="24">
        <v>44272</v>
      </c>
      <c r="C3548" t="s">
        <v>39</v>
      </c>
      <c r="D3548" t="s">
        <v>51</v>
      </c>
      <c r="E3548">
        <v>2000718018</v>
      </c>
      <c r="F3548">
        <v>350</v>
      </c>
      <c r="G3548">
        <v>70</v>
      </c>
      <c r="H3548">
        <v>0</v>
      </c>
      <c r="I3548" t="s">
        <v>191</v>
      </c>
      <c r="J3548" t="s">
        <v>673</v>
      </c>
      <c r="K3548" t="s">
        <v>760</v>
      </c>
      <c r="O3548">
        <v>0</v>
      </c>
      <c r="U3548" t="s">
        <v>81</v>
      </c>
    </row>
    <row r="3549" spans="1:21" x14ac:dyDescent="0.25">
      <c r="A3549" s="33">
        <v>3566</v>
      </c>
      <c r="B3549" s="24">
        <v>44272</v>
      </c>
      <c r="C3549" t="s">
        <v>39</v>
      </c>
      <c r="D3549" t="s">
        <v>51</v>
      </c>
      <c r="E3549">
        <v>2000718692</v>
      </c>
      <c r="F3549">
        <v>300</v>
      </c>
      <c r="G3549">
        <v>60</v>
      </c>
      <c r="H3549">
        <v>0</v>
      </c>
      <c r="I3549" t="s">
        <v>191</v>
      </c>
      <c r="J3549" t="s">
        <v>673</v>
      </c>
      <c r="K3549" t="s">
        <v>760</v>
      </c>
      <c r="O3549">
        <v>0</v>
      </c>
      <c r="U3549" t="s">
        <v>81</v>
      </c>
    </row>
    <row r="3550" spans="1:21" x14ac:dyDescent="0.25">
      <c r="A3550" s="33">
        <v>3567</v>
      </c>
      <c r="B3550" s="24">
        <v>44272</v>
      </c>
      <c r="C3550" t="s">
        <v>39</v>
      </c>
      <c r="D3550" t="s">
        <v>51</v>
      </c>
      <c r="E3550">
        <v>2000718404</v>
      </c>
      <c r="F3550">
        <v>190</v>
      </c>
      <c r="G3550">
        <v>30</v>
      </c>
      <c r="H3550">
        <v>0</v>
      </c>
      <c r="I3550" t="s">
        <v>191</v>
      </c>
      <c r="J3550" t="s">
        <v>669</v>
      </c>
      <c r="K3550" t="s">
        <v>881</v>
      </c>
      <c r="O3550">
        <v>0</v>
      </c>
      <c r="U3550" t="s">
        <v>81</v>
      </c>
    </row>
    <row r="3551" spans="1:21" x14ac:dyDescent="0.25">
      <c r="A3551" s="33">
        <v>3568</v>
      </c>
      <c r="B3551" s="24">
        <v>44272</v>
      </c>
      <c r="C3551" t="s">
        <v>39</v>
      </c>
      <c r="D3551" t="s">
        <v>51</v>
      </c>
      <c r="E3551">
        <v>2000718981</v>
      </c>
      <c r="F3551">
        <v>945</v>
      </c>
      <c r="G3551">
        <v>90</v>
      </c>
      <c r="H3551">
        <v>0</v>
      </c>
      <c r="I3551" t="s">
        <v>191</v>
      </c>
      <c r="J3551" t="s">
        <v>673</v>
      </c>
      <c r="K3551" t="s">
        <v>951</v>
      </c>
      <c r="O3551">
        <v>0</v>
      </c>
      <c r="U3551" t="s">
        <v>81</v>
      </c>
    </row>
    <row r="3552" spans="1:21" ht="30" x14ac:dyDescent="0.25">
      <c r="A3552" s="33">
        <v>3569</v>
      </c>
      <c r="B3552" s="24">
        <v>44272</v>
      </c>
      <c r="C3552" t="s">
        <v>181</v>
      </c>
      <c r="D3552" t="s">
        <v>51</v>
      </c>
      <c r="E3552">
        <v>2000718692</v>
      </c>
      <c r="F3552">
        <v>300</v>
      </c>
      <c r="G3552">
        <v>90</v>
      </c>
      <c r="H3552">
        <v>0</v>
      </c>
      <c r="I3552" t="s">
        <v>706</v>
      </c>
      <c r="J3552" t="s">
        <v>673</v>
      </c>
      <c r="K3552" t="s">
        <v>760</v>
      </c>
      <c r="O3552">
        <v>0</v>
      </c>
      <c r="T3552" s="62" t="s">
        <v>723</v>
      </c>
      <c r="U3552" t="s">
        <v>81</v>
      </c>
    </row>
    <row r="3553" spans="1:21" x14ac:dyDescent="0.25">
      <c r="A3553" s="33">
        <v>3570</v>
      </c>
      <c r="B3553" s="24">
        <v>44272</v>
      </c>
      <c r="C3553" t="s">
        <v>181</v>
      </c>
      <c r="D3553" t="s">
        <v>51</v>
      </c>
      <c r="E3553">
        <v>2000718695</v>
      </c>
      <c r="F3553">
        <v>300</v>
      </c>
      <c r="G3553">
        <v>150</v>
      </c>
      <c r="H3553">
        <v>0</v>
      </c>
      <c r="I3553" t="s">
        <v>706</v>
      </c>
      <c r="J3553" t="s">
        <v>667</v>
      </c>
      <c r="K3553" t="s">
        <v>827</v>
      </c>
      <c r="O3553">
        <v>0</v>
      </c>
      <c r="U3553" t="s">
        <v>81</v>
      </c>
    </row>
    <row r="3554" spans="1:21" x14ac:dyDescent="0.25">
      <c r="A3554" s="33">
        <v>3571</v>
      </c>
      <c r="B3554" s="24">
        <v>44272</v>
      </c>
      <c r="C3554" t="s">
        <v>181</v>
      </c>
      <c r="D3554" t="s">
        <v>51</v>
      </c>
      <c r="E3554">
        <v>2000716867</v>
      </c>
      <c r="F3554">
        <v>260</v>
      </c>
      <c r="G3554">
        <v>50</v>
      </c>
      <c r="H3554">
        <v>0</v>
      </c>
      <c r="I3554" t="s">
        <v>706</v>
      </c>
      <c r="J3554" t="s">
        <v>669</v>
      </c>
      <c r="K3554" t="s">
        <v>670</v>
      </c>
      <c r="O3554">
        <v>0</v>
      </c>
      <c r="U3554" t="s">
        <v>81</v>
      </c>
    </row>
    <row r="3555" spans="1:21" x14ac:dyDescent="0.25">
      <c r="A3555" s="33">
        <v>3572</v>
      </c>
      <c r="B3555" s="24">
        <v>44272</v>
      </c>
      <c r="C3555" t="s">
        <v>181</v>
      </c>
      <c r="D3555" t="s">
        <v>51</v>
      </c>
      <c r="E3555">
        <v>2000718798</v>
      </c>
      <c r="F3555">
        <v>450</v>
      </c>
      <c r="G3555">
        <v>60</v>
      </c>
      <c r="H3555">
        <v>0</v>
      </c>
      <c r="I3555" t="s">
        <v>706</v>
      </c>
      <c r="J3555" t="s">
        <v>676</v>
      </c>
      <c r="K3555" t="s">
        <v>677</v>
      </c>
      <c r="O3555">
        <v>0</v>
      </c>
      <c r="U3555" t="s">
        <v>81</v>
      </c>
    </row>
    <row r="3556" spans="1:21" x14ac:dyDescent="0.25">
      <c r="A3556" s="33">
        <v>3573</v>
      </c>
      <c r="B3556" s="24">
        <v>44272</v>
      </c>
      <c r="C3556" t="s">
        <v>181</v>
      </c>
      <c r="D3556" t="s">
        <v>51</v>
      </c>
      <c r="E3556">
        <v>2000718693</v>
      </c>
      <c r="F3556">
        <v>148</v>
      </c>
      <c r="G3556">
        <v>60</v>
      </c>
      <c r="H3556">
        <v>0</v>
      </c>
      <c r="I3556" t="s">
        <v>706</v>
      </c>
      <c r="J3556" t="s">
        <v>781</v>
      </c>
      <c r="K3556" t="s">
        <v>782</v>
      </c>
      <c r="O3556">
        <v>0</v>
      </c>
      <c r="U3556" t="s">
        <v>81</v>
      </c>
    </row>
    <row r="3557" spans="1:21" x14ac:dyDescent="0.25">
      <c r="A3557" s="33">
        <v>3574</v>
      </c>
      <c r="B3557" s="24">
        <v>44272</v>
      </c>
      <c r="C3557" t="s">
        <v>181</v>
      </c>
      <c r="D3557" t="s">
        <v>51</v>
      </c>
      <c r="E3557">
        <v>2000718699</v>
      </c>
      <c r="F3557">
        <v>21</v>
      </c>
      <c r="G3557">
        <v>21</v>
      </c>
      <c r="H3557">
        <v>0</v>
      </c>
      <c r="I3557" t="s">
        <v>706</v>
      </c>
      <c r="J3557" t="s">
        <v>667</v>
      </c>
      <c r="K3557" t="s">
        <v>964</v>
      </c>
      <c r="O3557">
        <v>0</v>
      </c>
      <c r="U3557" t="s">
        <v>81</v>
      </c>
    </row>
    <row r="3558" spans="1:21" x14ac:dyDescent="0.25">
      <c r="A3558" s="33">
        <v>3575</v>
      </c>
      <c r="B3558" s="24">
        <v>44272</v>
      </c>
      <c r="C3558" t="s">
        <v>181</v>
      </c>
      <c r="D3558" t="s">
        <v>51</v>
      </c>
      <c r="E3558">
        <v>2000718694</v>
      </c>
      <c r="F3558">
        <v>96</v>
      </c>
      <c r="G3558">
        <v>96</v>
      </c>
      <c r="H3558">
        <v>0</v>
      </c>
      <c r="I3558" t="s">
        <v>706</v>
      </c>
      <c r="J3558" t="s">
        <v>667</v>
      </c>
      <c r="K3558" t="s">
        <v>711</v>
      </c>
      <c r="O3558">
        <v>0</v>
      </c>
      <c r="U3558" t="s">
        <v>81</v>
      </c>
    </row>
    <row r="3559" spans="1:21" x14ac:dyDescent="0.25">
      <c r="A3559" s="33">
        <v>3577</v>
      </c>
      <c r="B3559" s="24">
        <v>44272</v>
      </c>
      <c r="C3559" t="s">
        <v>181</v>
      </c>
      <c r="D3559" t="s">
        <v>51</v>
      </c>
      <c r="E3559">
        <v>2000718407</v>
      </c>
      <c r="F3559">
        <v>700</v>
      </c>
      <c r="G3559">
        <v>35</v>
      </c>
      <c r="H3559">
        <v>0</v>
      </c>
      <c r="I3559" t="s">
        <v>706</v>
      </c>
      <c r="J3559" t="s">
        <v>667</v>
      </c>
      <c r="K3559" t="s">
        <v>671</v>
      </c>
      <c r="O3559">
        <v>0</v>
      </c>
      <c r="U3559" t="s">
        <v>81</v>
      </c>
    </row>
    <row r="3560" spans="1:21" x14ac:dyDescent="0.25">
      <c r="A3560" s="33">
        <v>3578</v>
      </c>
      <c r="B3560" s="24">
        <v>44272</v>
      </c>
      <c r="C3560" t="s">
        <v>181</v>
      </c>
      <c r="D3560" t="s">
        <v>51</v>
      </c>
      <c r="E3560">
        <v>2000718696</v>
      </c>
      <c r="F3560">
        <v>700</v>
      </c>
      <c r="G3560">
        <v>35</v>
      </c>
      <c r="H3560">
        <v>0</v>
      </c>
      <c r="I3560" t="s">
        <v>706</v>
      </c>
      <c r="J3560" t="s">
        <v>667</v>
      </c>
      <c r="K3560" t="s">
        <v>671</v>
      </c>
      <c r="O3560">
        <v>0</v>
      </c>
      <c r="U3560" t="s">
        <v>81</v>
      </c>
    </row>
    <row r="3561" spans="1:21" x14ac:dyDescent="0.25">
      <c r="A3561" s="33">
        <v>3579</v>
      </c>
      <c r="B3561" s="24">
        <v>44272</v>
      </c>
      <c r="C3561" t="s">
        <v>181</v>
      </c>
      <c r="D3561" t="s">
        <v>41</v>
      </c>
      <c r="E3561">
        <v>2000713057</v>
      </c>
      <c r="F3561">
        <v>110</v>
      </c>
      <c r="G3561">
        <v>20</v>
      </c>
      <c r="H3561">
        <v>0</v>
      </c>
      <c r="I3561" t="s">
        <v>680</v>
      </c>
      <c r="J3561" t="s">
        <v>202</v>
      </c>
      <c r="K3561" t="s">
        <v>832</v>
      </c>
      <c r="O3561">
        <v>0</v>
      </c>
      <c r="U3561" t="s">
        <v>81</v>
      </c>
    </row>
    <row r="3562" spans="1:21" x14ac:dyDescent="0.25">
      <c r="A3562" s="33">
        <v>3580</v>
      </c>
      <c r="B3562" s="24">
        <v>44272</v>
      </c>
      <c r="C3562" t="s">
        <v>181</v>
      </c>
      <c r="D3562" t="s">
        <v>41</v>
      </c>
      <c r="E3562">
        <v>2000718822</v>
      </c>
      <c r="F3562">
        <v>4230</v>
      </c>
      <c r="G3562">
        <v>300</v>
      </c>
      <c r="H3562">
        <v>0</v>
      </c>
      <c r="I3562" t="s">
        <v>680</v>
      </c>
      <c r="J3562" t="s">
        <v>199</v>
      </c>
      <c r="K3562" t="s">
        <v>660</v>
      </c>
      <c r="O3562">
        <v>0</v>
      </c>
      <c r="U3562" t="s">
        <v>81</v>
      </c>
    </row>
    <row r="3563" spans="1:21" x14ac:dyDescent="0.25">
      <c r="A3563" s="33">
        <v>3581</v>
      </c>
      <c r="B3563" s="24">
        <v>44272</v>
      </c>
      <c r="C3563" t="s">
        <v>181</v>
      </c>
      <c r="D3563" t="s">
        <v>41</v>
      </c>
      <c r="E3563">
        <v>2000716808</v>
      </c>
      <c r="F3563">
        <v>200</v>
      </c>
      <c r="G3563">
        <v>100</v>
      </c>
      <c r="H3563">
        <v>0</v>
      </c>
      <c r="I3563" t="s">
        <v>680</v>
      </c>
      <c r="J3563" t="s">
        <v>172</v>
      </c>
      <c r="K3563" t="s">
        <v>725</v>
      </c>
      <c r="O3563">
        <v>0</v>
      </c>
      <c r="U3563" t="s">
        <v>81</v>
      </c>
    </row>
    <row r="3564" spans="1:21" x14ac:dyDescent="0.25">
      <c r="A3564" s="33">
        <v>3582</v>
      </c>
      <c r="B3564" s="24">
        <v>44272</v>
      </c>
      <c r="C3564" t="s">
        <v>181</v>
      </c>
      <c r="D3564" t="s">
        <v>41</v>
      </c>
      <c r="E3564">
        <v>2000718753</v>
      </c>
      <c r="F3564">
        <v>850</v>
      </c>
      <c r="G3564">
        <v>200</v>
      </c>
      <c r="H3564">
        <v>0</v>
      </c>
      <c r="I3564" t="s">
        <v>680</v>
      </c>
      <c r="J3564" t="s">
        <v>172</v>
      </c>
      <c r="K3564" t="s">
        <v>725</v>
      </c>
      <c r="O3564">
        <v>0</v>
      </c>
      <c r="U3564" t="s">
        <v>81</v>
      </c>
    </row>
    <row r="3565" spans="1:21" x14ac:dyDescent="0.25">
      <c r="A3565" s="33">
        <v>3583</v>
      </c>
      <c r="B3565" s="24">
        <v>44272</v>
      </c>
      <c r="C3565" t="s">
        <v>181</v>
      </c>
      <c r="D3565" t="s">
        <v>41</v>
      </c>
      <c r="E3565">
        <v>2000718436</v>
      </c>
      <c r="F3565">
        <v>1200</v>
      </c>
      <c r="G3565">
        <v>100</v>
      </c>
      <c r="H3565">
        <v>0</v>
      </c>
      <c r="I3565" t="s">
        <v>680</v>
      </c>
      <c r="J3565" t="s">
        <v>645</v>
      </c>
      <c r="K3565" t="s">
        <v>756</v>
      </c>
      <c r="O3565">
        <v>0</v>
      </c>
      <c r="U3565" t="s">
        <v>81</v>
      </c>
    </row>
    <row r="3566" spans="1:21" x14ac:dyDescent="0.25">
      <c r="A3566" s="33">
        <v>3584</v>
      </c>
      <c r="B3566" s="24">
        <v>44272</v>
      </c>
      <c r="C3566" t="s">
        <v>181</v>
      </c>
      <c r="D3566" t="s">
        <v>41</v>
      </c>
      <c r="E3566">
        <v>2000718216</v>
      </c>
      <c r="F3566">
        <v>2000</v>
      </c>
      <c r="G3566">
        <v>150</v>
      </c>
      <c r="H3566">
        <v>0</v>
      </c>
      <c r="I3566" t="s">
        <v>680</v>
      </c>
      <c r="J3566" t="s">
        <v>193</v>
      </c>
      <c r="K3566" t="s">
        <v>176</v>
      </c>
      <c r="O3566">
        <v>0</v>
      </c>
      <c r="U3566" t="s">
        <v>81</v>
      </c>
    </row>
    <row r="3567" spans="1:21" x14ac:dyDescent="0.25">
      <c r="A3567" s="33">
        <v>3585</v>
      </c>
      <c r="B3567" s="24">
        <v>44272</v>
      </c>
      <c r="C3567" t="s">
        <v>181</v>
      </c>
      <c r="D3567" t="s">
        <v>41</v>
      </c>
      <c r="E3567">
        <v>2000719057</v>
      </c>
      <c r="F3567">
        <v>170</v>
      </c>
      <c r="G3567">
        <v>40</v>
      </c>
      <c r="H3567">
        <v>0</v>
      </c>
      <c r="I3567" t="s">
        <v>680</v>
      </c>
      <c r="J3567" t="s">
        <v>216</v>
      </c>
      <c r="K3567" t="s">
        <v>784</v>
      </c>
      <c r="O3567">
        <v>0</v>
      </c>
      <c r="U3567" t="s">
        <v>81</v>
      </c>
    </row>
    <row r="3568" spans="1:21" x14ac:dyDescent="0.25">
      <c r="A3568" s="33">
        <v>3586</v>
      </c>
      <c r="B3568" s="24">
        <v>44272</v>
      </c>
      <c r="C3568" t="s">
        <v>181</v>
      </c>
      <c r="D3568" t="s">
        <v>41</v>
      </c>
      <c r="E3568">
        <v>2000715913</v>
      </c>
      <c r="F3568">
        <v>300</v>
      </c>
      <c r="G3568">
        <v>150</v>
      </c>
      <c r="H3568">
        <v>0</v>
      </c>
      <c r="I3568" t="s">
        <v>680</v>
      </c>
      <c r="J3568" t="s">
        <v>169</v>
      </c>
      <c r="K3568" t="s">
        <v>867</v>
      </c>
      <c r="O3568">
        <v>0</v>
      </c>
      <c r="U3568" t="s">
        <v>81</v>
      </c>
    </row>
    <row r="3569" spans="1:21" x14ac:dyDescent="0.25">
      <c r="A3569" s="33">
        <v>3587</v>
      </c>
      <c r="B3569" s="24">
        <v>44272</v>
      </c>
      <c r="C3569" t="s">
        <v>181</v>
      </c>
      <c r="D3569" t="s">
        <v>41</v>
      </c>
      <c r="E3569">
        <v>2000718438</v>
      </c>
      <c r="F3569">
        <v>1200</v>
      </c>
      <c r="G3569">
        <v>150</v>
      </c>
      <c r="H3569">
        <v>0</v>
      </c>
      <c r="I3569" t="s">
        <v>680</v>
      </c>
      <c r="J3569" t="s">
        <v>645</v>
      </c>
      <c r="K3569" t="s">
        <v>658</v>
      </c>
      <c r="O3569">
        <v>0</v>
      </c>
      <c r="U3569" t="s">
        <v>81</v>
      </c>
    </row>
    <row r="3570" spans="1:21" x14ac:dyDescent="0.25">
      <c r="A3570" s="33">
        <v>3588</v>
      </c>
      <c r="B3570" s="24">
        <v>44272</v>
      </c>
      <c r="C3570" t="s">
        <v>181</v>
      </c>
      <c r="D3570" t="s">
        <v>41</v>
      </c>
      <c r="E3570">
        <v>2000719055</v>
      </c>
      <c r="F3570">
        <v>170</v>
      </c>
      <c r="G3570">
        <v>100</v>
      </c>
      <c r="H3570">
        <v>0</v>
      </c>
      <c r="I3570" t="s">
        <v>680</v>
      </c>
      <c r="J3570" t="s">
        <v>216</v>
      </c>
      <c r="K3570" t="s">
        <v>839</v>
      </c>
      <c r="O3570">
        <v>0</v>
      </c>
      <c r="U3570" t="s">
        <v>81</v>
      </c>
    </row>
    <row r="3571" spans="1:21" x14ac:dyDescent="0.25">
      <c r="A3571" s="33">
        <v>3589</v>
      </c>
      <c r="B3571" s="24">
        <v>44272</v>
      </c>
      <c r="C3571" t="s">
        <v>181</v>
      </c>
      <c r="D3571" t="s">
        <v>41</v>
      </c>
      <c r="E3571">
        <v>2000718755</v>
      </c>
      <c r="F3571">
        <v>2000</v>
      </c>
      <c r="G3571">
        <v>200</v>
      </c>
      <c r="H3571">
        <v>0</v>
      </c>
      <c r="I3571" t="s">
        <v>680</v>
      </c>
      <c r="J3571" t="s">
        <v>172</v>
      </c>
      <c r="K3571" t="s">
        <v>725</v>
      </c>
      <c r="O3571">
        <v>0</v>
      </c>
      <c r="U3571" t="s">
        <v>81</v>
      </c>
    </row>
    <row r="3572" spans="1:21" x14ac:dyDescent="0.25">
      <c r="A3572" s="33">
        <v>3590</v>
      </c>
      <c r="B3572" s="24">
        <v>44272</v>
      </c>
      <c r="C3572" t="s">
        <v>181</v>
      </c>
      <c r="D3572" t="s">
        <v>41</v>
      </c>
      <c r="E3572">
        <v>2000718437</v>
      </c>
      <c r="F3572">
        <v>1200</v>
      </c>
      <c r="G3572">
        <v>200</v>
      </c>
      <c r="H3572">
        <v>0</v>
      </c>
      <c r="I3572" t="s">
        <v>680</v>
      </c>
      <c r="J3572" t="s">
        <v>645</v>
      </c>
      <c r="K3572" t="s">
        <v>739</v>
      </c>
      <c r="O3572">
        <v>0</v>
      </c>
      <c r="U3572" t="s">
        <v>81</v>
      </c>
    </row>
    <row r="3573" spans="1:21" x14ac:dyDescent="0.25">
      <c r="A3573" s="33">
        <v>3591</v>
      </c>
      <c r="B3573" s="24">
        <v>44272</v>
      </c>
      <c r="C3573" t="s">
        <v>181</v>
      </c>
      <c r="D3573" t="s">
        <v>41</v>
      </c>
      <c r="E3573">
        <v>2000718819</v>
      </c>
      <c r="F3573">
        <v>1800</v>
      </c>
      <c r="G3573">
        <v>120</v>
      </c>
      <c r="H3573">
        <v>0</v>
      </c>
      <c r="I3573" t="s">
        <v>680</v>
      </c>
      <c r="J3573" t="s">
        <v>745</v>
      </c>
      <c r="K3573" t="s">
        <v>746</v>
      </c>
      <c r="O3573">
        <v>0</v>
      </c>
      <c r="U3573" t="s">
        <v>81</v>
      </c>
    </row>
    <row r="3574" spans="1:21" x14ac:dyDescent="0.25">
      <c r="A3574" s="33">
        <v>3592</v>
      </c>
      <c r="B3574" s="24">
        <v>44272</v>
      </c>
      <c r="C3574" t="s">
        <v>181</v>
      </c>
      <c r="D3574" t="s">
        <v>41</v>
      </c>
      <c r="E3574">
        <v>2000719035</v>
      </c>
      <c r="F3574">
        <v>1302</v>
      </c>
      <c r="G3574">
        <v>100</v>
      </c>
      <c r="H3574">
        <v>0</v>
      </c>
      <c r="I3574" t="s">
        <v>680</v>
      </c>
      <c r="J3574" t="s">
        <v>745</v>
      </c>
      <c r="K3574" t="s">
        <v>857</v>
      </c>
      <c r="O3574">
        <v>0</v>
      </c>
      <c r="U3574" t="s">
        <v>81</v>
      </c>
    </row>
    <row r="3575" spans="1:21" x14ac:dyDescent="0.25">
      <c r="A3575" s="33">
        <v>3593</v>
      </c>
      <c r="B3575" s="24">
        <v>44272</v>
      </c>
      <c r="C3575" t="s">
        <v>181</v>
      </c>
      <c r="D3575" t="s">
        <v>41</v>
      </c>
      <c r="E3575">
        <v>2000718664</v>
      </c>
      <c r="F3575">
        <v>1000</v>
      </c>
      <c r="G3575">
        <v>100</v>
      </c>
      <c r="H3575">
        <v>0</v>
      </c>
      <c r="I3575" t="s">
        <v>680</v>
      </c>
      <c r="J3575" t="s">
        <v>195</v>
      </c>
      <c r="K3575" t="s">
        <v>1091</v>
      </c>
      <c r="O3575">
        <v>0</v>
      </c>
      <c r="U3575" t="s">
        <v>81</v>
      </c>
    </row>
    <row r="3576" spans="1:21" x14ac:dyDescent="0.25">
      <c r="A3576" s="33">
        <v>3594</v>
      </c>
      <c r="B3576" s="24">
        <v>44272</v>
      </c>
      <c r="C3576" t="s">
        <v>181</v>
      </c>
      <c r="D3576" t="s">
        <v>41</v>
      </c>
      <c r="E3576">
        <v>2000719022</v>
      </c>
      <c r="F3576">
        <v>1680</v>
      </c>
      <c r="G3576">
        <v>800</v>
      </c>
      <c r="H3576">
        <v>0</v>
      </c>
      <c r="I3576" t="s">
        <v>183</v>
      </c>
      <c r="J3576" t="s">
        <v>174</v>
      </c>
      <c r="K3576" t="s">
        <v>763</v>
      </c>
      <c r="O3576">
        <v>0</v>
      </c>
      <c r="U3576" t="s">
        <v>81</v>
      </c>
    </row>
    <row r="3577" spans="1:21" x14ac:dyDescent="0.25">
      <c r="A3577" s="33">
        <v>3595</v>
      </c>
      <c r="B3577" s="24">
        <v>44272</v>
      </c>
      <c r="C3577" t="s">
        <v>181</v>
      </c>
      <c r="D3577" t="s">
        <v>41</v>
      </c>
      <c r="E3577">
        <v>2000719022</v>
      </c>
      <c r="F3577">
        <v>1680</v>
      </c>
      <c r="G3577">
        <v>240</v>
      </c>
      <c r="H3577">
        <v>0</v>
      </c>
      <c r="I3577" t="s">
        <v>180</v>
      </c>
      <c r="J3577" t="s">
        <v>174</v>
      </c>
      <c r="K3577" t="s">
        <v>763</v>
      </c>
      <c r="O3577">
        <v>0</v>
      </c>
      <c r="U3577" t="s">
        <v>81</v>
      </c>
    </row>
    <row r="3578" spans="1:21" x14ac:dyDescent="0.25">
      <c r="A3578" s="33">
        <v>3596</v>
      </c>
      <c r="B3578" s="24">
        <v>44272</v>
      </c>
      <c r="C3578" t="s">
        <v>181</v>
      </c>
      <c r="D3578" t="s">
        <v>41</v>
      </c>
      <c r="E3578">
        <v>2000719075</v>
      </c>
      <c r="F3578">
        <v>442</v>
      </c>
      <c r="G3578">
        <v>205</v>
      </c>
      <c r="H3578">
        <v>0</v>
      </c>
      <c r="I3578" t="s">
        <v>184</v>
      </c>
      <c r="J3578" t="s">
        <v>203</v>
      </c>
      <c r="K3578" t="s">
        <v>793</v>
      </c>
      <c r="O3578">
        <v>0</v>
      </c>
      <c r="U3578" t="s">
        <v>81</v>
      </c>
    </row>
    <row r="3579" spans="1:21" x14ac:dyDescent="0.25">
      <c r="A3579" s="33">
        <v>3597</v>
      </c>
      <c r="B3579" s="24">
        <v>44272</v>
      </c>
      <c r="C3579" t="s">
        <v>181</v>
      </c>
      <c r="D3579" t="s">
        <v>41</v>
      </c>
      <c r="E3579">
        <v>2000718444</v>
      </c>
      <c r="F3579">
        <v>340</v>
      </c>
      <c r="G3579">
        <v>60</v>
      </c>
      <c r="H3579">
        <v>0</v>
      </c>
      <c r="I3579" t="s">
        <v>184</v>
      </c>
      <c r="J3579" t="s">
        <v>203</v>
      </c>
      <c r="K3579" t="s">
        <v>638</v>
      </c>
      <c r="O3579">
        <v>0</v>
      </c>
      <c r="U3579" t="s">
        <v>81</v>
      </c>
    </row>
    <row r="3580" spans="1:21" x14ac:dyDescent="0.25">
      <c r="A3580" s="33">
        <v>3598</v>
      </c>
      <c r="B3580" s="24">
        <v>44272</v>
      </c>
      <c r="C3580" t="s">
        <v>181</v>
      </c>
      <c r="D3580" t="s">
        <v>41</v>
      </c>
      <c r="E3580">
        <v>2000718765</v>
      </c>
      <c r="F3580">
        <v>660</v>
      </c>
      <c r="G3580">
        <v>360</v>
      </c>
      <c r="H3580">
        <v>1</v>
      </c>
      <c r="I3580" t="s">
        <v>184</v>
      </c>
      <c r="J3580" t="s">
        <v>203</v>
      </c>
      <c r="K3580" t="s">
        <v>891</v>
      </c>
      <c r="L3580" t="s">
        <v>112</v>
      </c>
      <c r="N3580" t="s">
        <v>1092</v>
      </c>
      <c r="O3580">
        <v>1</v>
      </c>
      <c r="P3580" t="s">
        <v>1093</v>
      </c>
      <c r="Q3580" t="s">
        <v>1094</v>
      </c>
      <c r="R3580">
        <v>4130001980</v>
      </c>
      <c r="S3580" s="36">
        <v>0.15555555555555556</v>
      </c>
      <c r="U3580" t="s">
        <v>81</v>
      </c>
    </row>
    <row r="3581" spans="1:21" x14ac:dyDescent="0.25">
      <c r="A3581" s="33">
        <v>3599</v>
      </c>
      <c r="B3581" s="24">
        <v>44272</v>
      </c>
      <c r="C3581" t="s">
        <v>181</v>
      </c>
      <c r="D3581" t="s">
        <v>41</v>
      </c>
      <c r="E3581">
        <v>2000718170</v>
      </c>
      <c r="F3581">
        <v>670</v>
      </c>
      <c r="G3581">
        <v>30</v>
      </c>
      <c r="H3581">
        <v>0</v>
      </c>
      <c r="I3581" t="s">
        <v>184</v>
      </c>
      <c r="J3581" t="s">
        <v>203</v>
      </c>
      <c r="K3581" t="s">
        <v>785</v>
      </c>
      <c r="O3581">
        <v>0</v>
      </c>
      <c r="U3581" t="s">
        <v>81</v>
      </c>
    </row>
    <row r="3582" spans="1:21" x14ac:dyDescent="0.25">
      <c r="A3582" s="33">
        <v>3600</v>
      </c>
      <c r="B3582" s="24">
        <v>44272</v>
      </c>
      <c r="C3582" t="s">
        <v>181</v>
      </c>
      <c r="D3582" t="s">
        <v>41</v>
      </c>
      <c r="E3582">
        <v>2000719005</v>
      </c>
      <c r="F3582">
        <v>990</v>
      </c>
      <c r="G3582">
        <v>618</v>
      </c>
      <c r="H3582">
        <v>0</v>
      </c>
      <c r="I3582" t="s">
        <v>693</v>
      </c>
      <c r="J3582" t="s">
        <v>170</v>
      </c>
      <c r="K3582" t="s">
        <v>171</v>
      </c>
      <c r="O3582">
        <v>0</v>
      </c>
      <c r="U3582" t="s">
        <v>81</v>
      </c>
    </row>
    <row r="3583" spans="1:21" x14ac:dyDescent="0.25">
      <c r="A3583" s="33">
        <v>3601</v>
      </c>
      <c r="B3583" s="24">
        <v>44272</v>
      </c>
      <c r="C3583" t="s">
        <v>181</v>
      </c>
      <c r="D3583" t="s">
        <v>41</v>
      </c>
      <c r="E3583">
        <v>2000718831</v>
      </c>
      <c r="F3583">
        <v>910</v>
      </c>
      <c r="G3583">
        <v>225</v>
      </c>
      <c r="H3583">
        <v>0</v>
      </c>
      <c r="I3583" t="s">
        <v>693</v>
      </c>
      <c r="J3583" t="s">
        <v>170</v>
      </c>
      <c r="K3583" t="s">
        <v>899</v>
      </c>
      <c r="O3583">
        <v>0</v>
      </c>
      <c r="U3583" t="s">
        <v>81</v>
      </c>
    </row>
    <row r="3584" spans="1:21" x14ac:dyDescent="0.25">
      <c r="A3584" s="33">
        <v>3602</v>
      </c>
      <c r="B3584" s="24">
        <v>44272</v>
      </c>
      <c r="C3584" t="s">
        <v>181</v>
      </c>
      <c r="D3584" t="s">
        <v>41</v>
      </c>
      <c r="E3584">
        <v>2000718868</v>
      </c>
      <c r="F3584">
        <v>1300</v>
      </c>
      <c r="G3584">
        <v>45</v>
      </c>
      <c r="H3584">
        <v>0</v>
      </c>
      <c r="I3584" t="s">
        <v>693</v>
      </c>
      <c r="J3584" t="s">
        <v>174</v>
      </c>
      <c r="K3584" t="s">
        <v>205</v>
      </c>
      <c r="O3584">
        <v>0</v>
      </c>
      <c r="U3584" t="s">
        <v>81</v>
      </c>
    </row>
    <row r="3585" spans="1:21" x14ac:dyDescent="0.25">
      <c r="A3585" s="33">
        <v>3603</v>
      </c>
      <c r="B3585" s="24">
        <v>44272</v>
      </c>
      <c r="C3585" t="s">
        <v>181</v>
      </c>
      <c r="D3585" t="s">
        <v>41</v>
      </c>
      <c r="E3585">
        <v>2000719005</v>
      </c>
      <c r="F3585">
        <v>990</v>
      </c>
      <c r="G3585">
        <v>225</v>
      </c>
      <c r="H3585">
        <v>0</v>
      </c>
      <c r="I3585" t="s">
        <v>706</v>
      </c>
      <c r="J3585" t="s">
        <v>170</v>
      </c>
      <c r="K3585" t="s">
        <v>171</v>
      </c>
      <c r="O3585">
        <v>0</v>
      </c>
      <c r="U3585" t="s">
        <v>81</v>
      </c>
    </row>
    <row r="3586" spans="1:21" x14ac:dyDescent="0.25">
      <c r="A3586" s="33">
        <v>3604</v>
      </c>
      <c r="B3586" s="24">
        <v>44272</v>
      </c>
      <c r="C3586" t="s">
        <v>181</v>
      </c>
      <c r="D3586" t="s">
        <v>41</v>
      </c>
      <c r="E3586">
        <v>2000718868</v>
      </c>
      <c r="F3586">
        <v>1300</v>
      </c>
      <c r="G3586">
        <v>450</v>
      </c>
      <c r="H3586">
        <v>0</v>
      </c>
      <c r="I3586" t="s">
        <v>706</v>
      </c>
      <c r="J3586" t="s">
        <v>174</v>
      </c>
      <c r="K3586" t="s">
        <v>205</v>
      </c>
      <c r="O3586">
        <v>0</v>
      </c>
      <c r="U3586" t="s">
        <v>81</v>
      </c>
    </row>
    <row r="3587" spans="1:21" x14ac:dyDescent="0.25">
      <c r="A3587" s="33">
        <v>3605</v>
      </c>
      <c r="B3587" s="24">
        <v>44272</v>
      </c>
      <c r="C3587" t="s">
        <v>181</v>
      </c>
      <c r="D3587" t="s">
        <v>41</v>
      </c>
      <c r="E3587">
        <v>2000718723</v>
      </c>
      <c r="F3587">
        <v>700</v>
      </c>
      <c r="G3587">
        <v>90</v>
      </c>
      <c r="H3587">
        <v>0</v>
      </c>
      <c r="I3587" t="s">
        <v>185</v>
      </c>
      <c r="J3587" t="s">
        <v>169</v>
      </c>
      <c r="K3587" t="s">
        <v>179</v>
      </c>
      <c r="O3587">
        <v>0</v>
      </c>
      <c r="U3587" t="s">
        <v>81</v>
      </c>
    </row>
    <row r="3588" spans="1:21" x14ac:dyDescent="0.25">
      <c r="A3588" s="33">
        <v>3606</v>
      </c>
      <c r="B3588" s="24">
        <v>44272</v>
      </c>
      <c r="C3588" t="s">
        <v>181</v>
      </c>
      <c r="D3588" t="s">
        <v>41</v>
      </c>
      <c r="E3588">
        <v>2000719074</v>
      </c>
      <c r="F3588">
        <v>900</v>
      </c>
      <c r="G3588">
        <v>80</v>
      </c>
      <c r="H3588">
        <v>0</v>
      </c>
      <c r="I3588" t="s">
        <v>185</v>
      </c>
      <c r="J3588" t="s">
        <v>169</v>
      </c>
      <c r="K3588" t="s">
        <v>190</v>
      </c>
      <c r="O3588">
        <v>0</v>
      </c>
      <c r="U3588" t="s">
        <v>81</v>
      </c>
    </row>
    <row r="3589" spans="1:21" x14ac:dyDescent="0.25">
      <c r="A3589" s="33">
        <v>3607</v>
      </c>
      <c r="B3589" s="24">
        <v>44272</v>
      </c>
      <c r="C3589" t="s">
        <v>181</v>
      </c>
      <c r="D3589" t="s">
        <v>41</v>
      </c>
      <c r="E3589">
        <v>2000719090</v>
      </c>
      <c r="F3589">
        <v>1000</v>
      </c>
      <c r="G3589">
        <v>80</v>
      </c>
      <c r="H3589">
        <v>0</v>
      </c>
      <c r="I3589" t="s">
        <v>185</v>
      </c>
      <c r="J3589" t="s">
        <v>645</v>
      </c>
      <c r="K3589" t="s">
        <v>649</v>
      </c>
      <c r="O3589">
        <v>0</v>
      </c>
      <c r="U3589" t="s">
        <v>81</v>
      </c>
    </row>
    <row r="3590" spans="1:21" x14ac:dyDescent="0.25">
      <c r="A3590" s="33">
        <v>3608</v>
      </c>
      <c r="B3590" s="24">
        <v>44272</v>
      </c>
      <c r="C3590" t="s">
        <v>181</v>
      </c>
      <c r="D3590" t="s">
        <v>41</v>
      </c>
      <c r="E3590">
        <v>2000718724</v>
      </c>
      <c r="F3590">
        <v>240</v>
      </c>
      <c r="G3590">
        <v>30</v>
      </c>
      <c r="H3590">
        <v>0</v>
      </c>
      <c r="I3590" t="s">
        <v>185</v>
      </c>
      <c r="J3590" t="s">
        <v>169</v>
      </c>
      <c r="K3590" t="s">
        <v>179</v>
      </c>
      <c r="O3590">
        <v>0</v>
      </c>
      <c r="U3590" t="s">
        <v>81</v>
      </c>
    </row>
    <row r="3591" spans="1:21" x14ac:dyDescent="0.25">
      <c r="A3591" s="33">
        <v>3609</v>
      </c>
      <c r="B3591" s="24">
        <v>44272</v>
      </c>
      <c r="C3591" t="s">
        <v>181</v>
      </c>
      <c r="D3591" t="s">
        <v>41</v>
      </c>
      <c r="E3591">
        <v>2000719071</v>
      </c>
      <c r="F3591">
        <v>950</v>
      </c>
      <c r="G3591">
        <v>80</v>
      </c>
      <c r="H3591">
        <v>0</v>
      </c>
      <c r="I3591" t="s">
        <v>185</v>
      </c>
      <c r="J3591" t="s">
        <v>172</v>
      </c>
      <c r="K3591" t="s">
        <v>692</v>
      </c>
      <c r="O3591">
        <v>0</v>
      </c>
      <c r="U3591" t="s">
        <v>81</v>
      </c>
    </row>
    <row r="3592" spans="1:21" x14ac:dyDescent="0.25">
      <c r="A3592" s="33">
        <v>3610</v>
      </c>
      <c r="B3592" s="24">
        <v>44272</v>
      </c>
      <c r="C3592" t="s">
        <v>181</v>
      </c>
      <c r="D3592" t="s">
        <v>41</v>
      </c>
      <c r="E3592">
        <v>2000718994</v>
      </c>
      <c r="F3592">
        <v>2352</v>
      </c>
      <c r="G3592">
        <v>120</v>
      </c>
      <c r="H3592">
        <v>0</v>
      </c>
      <c r="I3592" t="s">
        <v>185</v>
      </c>
      <c r="J3592" t="s">
        <v>655</v>
      </c>
      <c r="K3592" t="s">
        <v>656</v>
      </c>
      <c r="O3592">
        <v>0</v>
      </c>
      <c r="U3592" t="s">
        <v>81</v>
      </c>
    </row>
    <row r="3593" spans="1:21" x14ac:dyDescent="0.25">
      <c r="A3593" s="33">
        <v>3611</v>
      </c>
      <c r="B3593" s="24">
        <v>44272</v>
      </c>
      <c r="C3593" t="s">
        <v>181</v>
      </c>
      <c r="D3593" t="s">
        <v>41</v>
      </c>
      <c r="E3593">
        <v>2000718995</v>
      </c>
      <c r="F3593">
        <v>950</v>
      </c>
      <c r="G3593">
        <v>30</v>
      </c>
      <c r="H3593">
        <v>0</v>
      </c>
      <c r="I3593" t="s">
        <v>185</v>
      </c>
      <c r="J3593" t="s">
        <v>169</v>
      </c>
      <c r="K3593" t="s">
        <v>179</v>
      </c>
      <c r="O3593">
        <v>0</v>
      </c>
      <c r="U3593" t="s">
        <v>81</v>
      </c>
    </row>
    <row r="3594" spans="1:21" x14ac:dyDescent="0.25">
      <c r="A3594" s="33">
        <v>3612</v>
      </c>
      <c r="B3594" s="24">
        <v>44272</v>
      </c>
      <c r="C3594" t="s">
        <v>181</v>
      </c>
      <c r="D3594" t="s">
        <v>41</v>
      </c>
      <c r="E3594">
        <v>2000719309</v>
      </c>
      <c r="F3594">
        <v>1700</v>
      </c>
      <c r="G3594">
        <v>110</v>
      </c>
      <c r="H3594">
        <v>0</v>
      </c>
      <c r="I3594" t="s">
        <v>185</v>
      </c>
      <c r="J3594" t="s">
        <v>172</v>
      </c>
      <c r="K3594" t="s">
        <v>724</v>
      </c>
      <c r="O3594">
        <v>0</v>
      </c>
      <c r="U3594" t="s">
        <v>81</v>
      </c>
    </row>
    <row r="3595" spans="1:21" x14ac:dyDescent="0.25">
      <c r="A3595" s="33">
        <v>3613</v>
      </c>
      <c r="B3595" s="24">
        <v>44272</v>
      </c>
      <c r="C3595" t="s">
        <v>181</v>
      </c>
      <c r="D3595" t="s">
        <v>41</v>
      </c>
      <c r="E3595">
        <v>2000719022</v>
      </c>
      <c r="F3595">
        <v>1680</v>
      </c>
      <c r="G3595">
        <v>320</v>
      </c>
      <c r="H3595">
        <v>1</v>
      </c>
      <c r="I3595" t="s">
        <v>198</v>
      </c>
      <c r="J3595" t="s">
        <v>174</v>
      </c>
      <c r="K3595" t="s">
        <v>763</v>
      </c>
      <c r="L3595" t="s">
        <v>138</v>
      </c>
      <c r="N3595" t="s">
        <v>1095</v>
      </c>
      <c r="O3595">
        <v>1</v>
      </c>
      <c r="P3595" t="s">
        <v>1096</v>
      </c>
      <c r="Q3595" t="s">
        <v>1097</v>
      </c>
      <c r="R3595" t="s">
        <v>1098</v>
      </c>
      <c r="S3595" s="36">
        <v>0.33263888888888887</v>
      </c>
      <c r="U3595" t="s">
        <v>81</v>
      </c>
    </row>
    <row r="3596" spans="1:21" x14ac:dyDescent="0.25">
      <c r="A3596" s="33">
        <v>3614</v>
      </c>
      <c r="B3596" s="24">
        <v>44272</v>
      </c>
      <c r="C3596" t="s">
        <v>181</v>
      </c>
      <c r="D3596" t="s">
        <v>41</v>
      </c>
      <c r="E3596">
        <v>2000719117</v>
      </c>
      <c r="F3596">
        <v>210</v>
      </c>
      <c r="G3596">
        <v>209</v>
      </c>
      <c r="H3596">
        <v>0</v>
      </c>
      <c r="I3596" t="s">
        <v>198</v>
      </c>
      <c r="J3596" t="s">
        <v>169</v>
      </c>
      <c r="K3596" t="s">
        <v>852</v>
      </c>
      <c r="O3596">
        <v>0</v>
      </c>
      <c r="U3596" t="s">
        <v>81</v>
      </c>
    </row>
    <row r="3597" spans="1:21" x14ac:dyDescent="0.25">
      <c r="A3597" s="33">
        <v>3615</v>
      </c>
      <c r="B3597" s="24">
        <v>44272</v>
      </c>
      <c r="C3597" t="s">
        <v>181</v>
      </c>
      <c r="D3597" t="s">
        <v>41</v>
      </c>
      <c r="E3597">
        <v>2000718754</v>
      </c>
      <c r="F3597">
        <v>1306</v>
      </c>
      <c r="G3597">
        <v>160</v>
      </c>
      <c r="H3597">
        <v>0</v>
      </c>
      <c r="I3597" t="s">
        <v>198</v>
      </c>
      <c r="J3597" t="s">
        <v>174</v>
      </c>
      <c r="K3597" t="s">
        <v>695</v>
      </c>
      <c r="O3597">
        <v>0</v>
      </c>
      <c r="U3597" t="s">
        <v>81</v>
      </c>
    </row>
    <row r="3598" spans="1:21" x14ac:dyDescent="0.25">
      <c r="A3598" s="33">
        <v>3616</v>
      </c>
      <c r="B3598" s="24">
        <v>44273</v>
      </c>
      <c r="C3598" t="s">
        <v>39</v>
      </c>
      <c r="D3598" t="s">
        <v>41</v>
      </c>
      <c r="E3598">
        <v>2000718765</v>
      </c>
      <c r="F3598">
        <v>660</v>
      </c>
      <c r="G3598">
        <v>240</v>
      </c>
      <c r="H3598">
        <v>0</v>
      </c>
      <c r="I3598" t="s">
        <v>168</v>
      </c>
      <c r="J3598" t="s">
        <v>203</v>
      </c>
      <c r="K3598" t="s">
        <v>891</v>
      </c>
      <c r="O3598">
        <v>0</v>
      </c>
      <c r="T3598">
        <v>0</v>
      </c>
      <c r="U3598" t="s">
        <v>81</v>
      </c>
    </row>
    <row r="3599" spans="1:21" x14ac:dyDescent="0.25">
      <c r="A3599" s="33">
        <v>3617</v>
      </c>
      <c r="B3599" s="24">
        <v>44273</v>
      </c>
      <c r="C3599" t="s">
        <v>39</v>
      </c>
      <c r="D3599" t="s">
        <v>41</v>
      </c>
      <c r="E3599">
        <v>2000718764</v>
      </c>
      <c r="F3599">
        <v>300</v>
      </c>
      <c r="G3599">
        <v>156</v>
      </c>
      <c r="H3599">
        <v>0</v>
      </c>
      <c r="I3599" t="s">
        <v>168</v>
      </c>
      <c r="J3599" t="s">
        <v>203</v>
      </c>
      <c r="K3599" t="s">
        <v>768</v>
      </c>
      <c r="O3599">
        <v>0</v>
      </c>
      <c r="U3599" t="s">
        <v>81</v>
      </c>
    </row>
    <row r="3600" spans="1:21" x14ac:dyDescent="0.25">
      <c r="A3600" s="33">
        <v>3618</v>
      </c>
      <c r="B3600" s="24">
        <v>44273</v>
      </c>
      <c r="C3600" t="s">
        <v>39</v>
      </c>
      <c r="D3600" t="s">
        <v>41</v>
      </c>
      <c r="E3600">
        <v>2000719078</v>
      </c>
      <c r="F3600">
        <v>700</v>
      </c>
      <c r="G3600">
        <v>150</v>
      </c>
      <c r="H3600">
        <v>0</v>
      </c>
      <c r="I3600" t="s">
        <v>168</v>
      </c>
      <c r="J3600" t="s">
        <v>203</v>
      </c>
      <c r="K3600" t="s">
        <v>785</v>
      </c>
      <c r="O3600">
        <v>0</v>
      </c>
      <c r="U3600" t="s">
        <v>81</v>
      </c>
    </row>
    <row r="3601" spans="1:21" x14ac:dyDescent="0.25">
      <c r="A3601" s="33">
        <v>3619</v>
      </c>
      <c r="B3601" s="24">
        <v>44273</v>
      </c>
      <c r="C3601" t="s">
        <v>39</v>
      </c>
      <c r="D3601" t="s">
        <v>41</v>
      </c>
      <c r="E3601">
        <v>2000719309</v>
      </c>
      <c r="F3601">
        <v>1700</v>
      </c>
      <c r="G3601">
        <v>20</v>
      </c>
      <c r="H3601">
        <v>0</v>
      </c>
      <c r="I3601" t="s">
        <v>642</v>
      </c>
      <c r="J3601" t="s">
        <v>172</v>
      </c>
      <c r="K3601" t="s">
        <v>724</v>
      </c>
      <c r="O3601">
        <v>0</v>
      </c>
      <c r="U3601" t="s">
        <v>81</v>
      </c>
    </row>
    <row r="3602" spans="1:21" x14ac:dyDescent="0.25">
      <c r="A3602" s="33">
        <v>3620</v>
      </c>
      <c r="B3602" s="24">
        <v>44273</v>
      </c>
      <c r="C3602" t="s">
        <v>39</v>
      </c>
      <c r="D3602" t="s">
        <v>41</v>
      </c>
      <c r="E3602">
        <v>2000718220</v>
      </c>
      <c r="F3602">
        <v>2000</v>
      </c>
      <c r="G3602">
        <v>60</v>
      </c>
      <c r="H3602">
        <v>0</v>
      </c>
      <c r="I3602" t="s">
        <v>642</v>
      </c>
      <c r="J3602" t="s">
        <v>193</v>
      </c>
      <c r="K3602" t="s">
        <v>647</v>
      </c>
      <c r="O3602">
        <v>0</v>
      </c>
      <c r="U3602" t="s">
        <v>81</v>
      </c>
    </row>
    <row r="3603" spans="1:21" x14ac:dyDescent="0.25">
      <c r="A3603" s="33">
        <v>3621</v>
      </c>
      <c r="B3603" s="24">
        <v>44273</v>
      </c>
      <c r="C3603" t="s">
        <v>39</v>
      </c>
      <c r="D3603" t="s">
        <v>41</v>
      </c>
      <c r="E3603">
        <v>2000719098</v>
      </c>
      <c r="F3603">
        <v>570</v>
      </c>
      <c r="G3603">
        <v>80</v>
      </c>
      <c r="H3603">
        <v>0</v>
      </c>
      <c r="I3603" t="s">
        <v>642</v>
      </c>
      <c r="J3603" t="s">
        <v>645</v>
      </c>
      <c r="K3603" t="s">
        <v>790</v>
      </c>
      <c r="O3603">
        <v>0</v>
      </c>
      <c r="U3603" t="s">
        <v>81</v>
      </c>
    </row>
    <row r="3604" spans="1:21" x14ac:dyDescent="0.25">
      <c r="A3604" s="33">
        <v>3622</v>
      </c>
      <c r="B3604" s="24">
        <v>44273</v>
      </c>
      <c r="C3604" t="s">
        <v>39</v>
      </c>
      <c r="D3604" t="s">
        <v>41</v>
      </c>
      <c r="E3604">
        <v>2000719063</v>
      </c>
      <c r="F3604">
        <v>2800</v>
      </c>
      <c r="G3604">
        <v>120</v>
      </c>
      <c r="H3604">
        <v>0</v>
      </c>
      <c r="I3604" t="s">
        <v>642</v>
      </c>
      <c r="J3604" t="s">
        <v>645</v>
      </c>
      <c r="K3604" t="s">
        <v>721</v>
      </c>
      <c r="O3604">
        <v>0</v>
      </c>
      <c r="U3604" t="s">
        <v>81</v>
      </c>
    </row>
    <row r="3605" spans="1:21" x14ac:dyDescent="0.25">
      <c r="A3605" s="33">
        <v>3623</v>
      </c>
      <c r="B3605" s="24">
        <v>44273</v>
      </c>
      <c r="C3605" t="s">
        <v>39</v>
      </c>
      <c r="D3605" t="s">
        <v>41</v>
      </c>
      <c r="E3605">
        <v>2000719340</v>
      </c>
      <c r="F3605">
        <v>1830</v>
      </c>
      <c r="G3605">
        <v>120</v>
      </c>
      <c r="H3605">
        <v>0</v>
      </c>
      <c r="I3605" t="s">
        <v>642</v>
      </c>
      <c r="J3605" t="s">
        <v>645</v>
      </c>
      <c r="K3605" t="s">
        <v>790</v>
      </c>
      <c r="O3605">
        <v>0</v>
      </c>
      <c r="U3605" t="s">
        <v>81</v>
      </c>
    </row>
    <row r="3606" spans="1:21" x14ac:dyDescent="0.25">
      <c r="A3606" s="33">
        <v>3624</v>
      </c>
      <c r="B3606" s="24">
        <v>44273</v>
      </c>
      <c r="C3606" t="s">
        <v>39</v>
      </c>
      <c r="D3606" t="s">
        <v>41</v>
      </c>
      <c r="E3606">
        <v>2000719070</v>
      </c>
      <c r="F3606">
        <v>2000</v>
      </c>
      <c r="G3606">
        <v>70</v>
      </c>
      <c r="H3606">
        <v>0</v>
      </c>
      <c r="I3606" t="s">
        <v>642</v>
      </c>
      <c r="J3606" t="s">
        <v>172</v>
      </c>
      <c r="K3606" t="s">
        <v>173</v>
      </c>
      <c r="O3606">
        <v>0</v>
      </c>
      <c r="U3606" t="s">
        <v>81</v>
      </c>
    </row>
    <row r="3607" spans="1:21" x14ac:dyDescent="0.25">
      <c r="A3607" s="33">
        <v>3625</v>
      </c>
      <c r="B3607" s="24">
        <v>44273</v>
      </c>
      <c r="C3607" t="s">
        <v>39</v>
      </c>
      <c r="D3607" t="s">
        <v>41</v>
      </c>
      <c r="E3607">
        <v>2000719022</v>
      </c>
      <c r="F3607">
        <v>1680</v>
      </c>
      <c r="G3607">
        <v>80</v>
      </c>
      <c r="H3607">
        <v>0</v>
      </c>
      <c r="I3607" t="s">
        <v>194</v>
      </c>
      <c r="J3607" t="s">
        <v>174</v>
      </c>
      <c r="K3607" t="s">
        <v>763</v>
      </c>
      <c r="O3607">
        <v>0</v>
      </c>
      <c r="U3607" t="s">
        <v>81</v>
      </c>
    </row>
    <row r="3608" spans="1:21" x14ac:dyDescent="0.25">
      <c r="A3608" s="33">
        <v>3626</v>
      </c>
      <c r="B3608" s="24">
        <v>44273</v>
      </c>
      <c r="C3608" t="s">
        <v>39</v>
      </c>
      <c r="D3608" t="s">
        <v>41</v>
      </c>
      <c r="E3608">
        <v>2000718754</v>
      </c>
      <c r="F3608">
        <v>1306</v>
      </c>
      <c r="G3608">
        <v>80</v>
      </c>
      <c r="H3608">
        <v>0</v>
      </c>
      <c r="I3608" t="s">
        <v>194</v>
      </c>
      <c r="J3608" t="s">
        <v>174</v>
      </c>
      <c r="K3608" t="s">
        <v>1099</v>
      </c>
      <c r="O3608">
        <v>0</v>
      </c>
      <c r="U3608" t="s">
        <v>81</v>
      </c>
    </row>
    <row r="3609" spans="1:21" x14ac:dyDescent="0.25">
      <c r="A3609" s="33">
        <v>3627</v>
      </c>
      <c r="B3609" s="24">
        <v>44273</v>
      </c>
      <c r="C3609" t="s">
        <v>39</v>
      </c>
      <c r="D3609" t="s">
        <v>41</v>
      </c>
      <c r="E3609">
        <v>2000719563</v>
      </c>
      <c r="F3609">
        <v>356</v>
      </c>
      <c r="G3609">
        <v>40</v>
      </c>
      <c r="H3609">
        <v>0</v>
      </c>
      <c r="I3609" t="s">
        <v>194</v>
      </c>
      <c r="J3609" t="s">
        <v>169</v>
      </c>
      <c r="K3609" t="s">
        <v>892</v>
      </c>
      <c r="O3609">
        <v>0</v>
      </c>
      <c r="U3609" t="s">
        <v>81</v>
      </c>
    </row>
    <row r="3610" spans="1:21" x14ac:dyDescent="0.25">
      <c r="A3610" s="33">
        <v>3628</v>
      </c>
      <c r="B3610" s="24">
        <v>44273</v>
      </c>
      <c r="C3610" t="s">
        <v>39</v>
      </c>
      <c r="D3610" t="s">
        <v>41</v>
      </c>
      <c r="E3610">
        <v>2000719023</v>
      </c>
      <c r="F3610">
        <v>290</v>
      </c>
      <c r="G3610">
        <v>120</v>
      </c>
      <c r="H3610">
        <v>0</v>
      </c>
      <c r="I3610" t="s">
        <v>194</v>
      </c>
      <c r="J3610" t="s">
        <v>174</v>
      </c>
      <c r="K3610" t="s">
        <v>644</v>
      </c>
      <c r="O3610">
        <v>0</v>
      </c>
      <c r="U3610" t="s">
        <v>81</v>
      </c>
    </row>
    <row r="3611" spans="1:21" x14ac:dyDescent="0.25">
      <c r="A3611" s="33">
        <v>3629</v>
      </c>
      <c r="B3611" s="24">
        <v>44273</v>
      </c>
      <c r="C3611" t="s">
        <v>39</v>
      </c>
      <c r="D3611" t="s">
        <v>41</v>
      </c>
      <c r="E3611">
        <v>2000716466</v>
      </c>
      <c r="F3611">
        <v>360</v>
      </c>
      <c r="G3611">
        <v>2</v>
      </c>
      <c r="H3611">
        <v>0</v>
      </c>
      <c r="I3611" t="s">
        <v>194</v>
      </c>
      <c r="J3611" t="s">
        <v>174</v>
      </c>
      <c r="K3611" t="s">
        <v>662</v>
      </c>
      <c r="O3611">
        <v>0</v>
      </c>
      <c r="U3611" t="s">
        <v>81</v>
      </c>
    </row>
    <row r="3612" spans="1:21" x14ac:dyDescent="0.25">
      <c r="A3612" s="33">
        <v>3630</v>
      </c>
      <c r="B3612" s="24">
        <v>44273</v>
      </c>
      <c r="C3612" t="s">
        <v>39</v>
      </c>
      <c r="D3612" t="s">
        <v>41</v>
      </c>
      <c r="E3612">
        <v>2000719281</v>
      </c>
      <c r="F3612">
        <v>280</v>
      </c>
      <c r="G3612">
        <v>120</v>
      </c>
      <c r="H3612">
        <v>0</v>
      </c>
      <c r="I3612" t="s">
        <v>194</v>
      </c>
      <c r="J3612" t="s">
        <v>174</v>
      </c>
      <c r="K3612" t="s">
        <v>805</v>
      </c>
      <c r="O3612">
        <v>0</v>
      </c>
      <c r="U3612" t="s">
        <v>81</v>
      </c>
    </row>
    <row r="3613" spans="1:21" x14ac:dyDescent="0.25">
      <c r="A3613" s="33">
        <v>3631</v>
      </c>
      <c r="B3613" s="24">
        <v>44273</v>
      </c>
      <c r="C3613" t="s">
        <v>39</v>
      </c>
      <c r="D3613" t="s">
        <v>41</v>
      </c>
      <c r="E3613">
        <v>2000719504</v>
      </c>
      <c r="F3613">
        <v>48</v>
      </c>
      <c r="G3613">
        <v>48</v>
      </c>
      <c r="H3613">
        <v>0</v>
      </c>
      <c r="I3613" t="s">
        <v>194</v>
      </c>
      <c r="J3613" t="s">
        <v>169</v>
      </c>
      <c r="K3613" t="s">
        <v>663</v>
      </c>
      <c r="O3613">
        <v>0</v>
      </c>
      <c r="U3613" t="s">
        <v>81</v>
      </c>
    </row>
    <row r="3614" spans="1:21" x14ac:dyDescent="0.25">
      <c r="A3614" s="33">
        <v>3632</v>
      </c>
      <c r="B3614" s="24">
        <v>44273</v>
      </c>
      <c r="C3614" t="s">
        <v>39</v>
      </c>
      <c r="D3614" t="s">
        <v>41</v>
      </c>
      <c r="E3614">
        <v>2000719503</v>
      </c>
      <c r="F3614">
        <v>4</v>
      </c>
      <c r="G3614">
        <v>4</v>
      </c>
      <c r="H3614">
        <v>0</v>
      </c>
      <c r="I3614" t="s">
        <v>194</v>
      </c>
      <c r="J3614" t="s">
        <v>169</v>
      </c>
      <c r="K3614" t="s">
        <v>663</v>
      </c>
      <c r="O3614">
        <v>0</v>
      </c>
      <c r="U3614" t="s">
        <v>81</v>
      </c>
    </row>
    <row r="3615" spans="1:21" x14ac:dyDescent="0.25">
      <c r="A3615" s="33">
        <v>3633</v>
      </c>
      <c r="B3615" s="24">
        <v>44273</v>
      </c>
      <c r="C3615" t="s">
        <v>39</v>
      </c>
      <c r="D3615" t="s">
        <v>41</v>
      </c>
      <c r="E3615">
        <v>2000719505</v>
      </c>
      <c r="F3615">
        <v>4</v>
      </c>
      <c r="G3615">
        <v>4</v>
      </c>
      <c r="H3615">
        <v>0</v>
      </c>
      <c r="I3615" t="s">
        <v>194</v>
      </c>
      <c r="J3615" t="s">
        <v>169</v>
      </c>
      <c r="K3615" t="s">
        <v>826</v>
      </c>
      <c r="O3615">
        <v>0</v>
      </c>
      <c r="U3615" t="s">
        <v>81</v>
      </c>
    </row>
    <row r="3616" spans="1:21" x14ac:dyDescent="0.25">
      <c r="A3616" s="33">
        <v>3634</v>
      </c>
      <c r="B3616" s="24">
        <v>44273</v>
      </c>
      <c r="C3616" t="s">
        <v>39</v>
      </c>
      <c r="D3616" t="s">
        <v>41</v>
      </c>
      <c r="E3616">
        <v>2000719022</v>
      </c>
      <c r="F3616">
        <v>1680</v>
      </c>
      <c r="G3616">
        <v>147</v>
      </c>
      <c r="H3616">
        <v>0</v>
      </c>
      <c r="I3616" t="s">
        <v>666</v>
      </c>
      <c r="J3616" t="s">
        <v>174</v>
      </c>
      <c r="K3616" t="s">
        <v>763</v>
      </c>
      <c r="O3616">
        <v>0</v>
      </c>
      <c r="U3616" t="s">
        <v>81</v>
      </c>
    </row>
    <row r="3617" spans="1:21" x14ac:dyDescent="0.25">
      <c r="A3617" s="33">
        <v>3635</v>
      </c>
      <c r="B3617" s="24">
        <v>44273</v>
      </c>
      <c r="C3617" t="s">
        <v>39</v>
      </c>
      <c r="D3617" t="s">
        <v>41</v>
      </c>
      <c r="E3617">
        <v>2000718754</v>
      </c>
      <c r="F3617">
        <v>1306</v>
      </c>
      <c r="G3617">
        <v>413</v>
      </c>
      <c r="H3617">
        <v>0</v>
      </c>
      <c r="I3617" t="s">
        <v>666</v>
      </c>
      <c r="J3617" t="s">
        <v>174</v>
      </c>
      <c r="K3617" t="s">
        <v>695</v>
      </c>
      <c r="O3617">
        <v>0</v>
      </c>
      <c r="U3617" t="s">
        <v>81</v>
      </c>
    </row>
    <row r="3618" spans="1:21" x14ac:dyDescent="0.25">
      <c r="A3618" s="33">
        <v>3636</v>
      </c>
      <c r="B3618" s="24">
        <v>44273</v>
      </c>
      <c r="C3618" t="s">
        <v>39</v>
      </c>
      <c r="D3618" t="s">
        <v>41</v>
      </c>
      <c r="E3618">
        <v>2000719023</v>
      </c>
      <c r="F3618">
        <v>290</v>
      </c>
      <c r="G3618">
        <v>170</v>
      </c>
      <c r="H3618">
        <v>0</v>
      </c>
      <c r="I3618" t="s">
        <v>666</v>
      </c>
      <c r="J3618" t="s">
        <v>174</v>
      </c>
      <c r="K3618" t="s">
        <v>644</v>
      </c>
      <c r="O3618">
        <v>0</v>
      </c>
      <c r="U3618" t="s">
        <v>81</v>
      </c>
    </row>
    <row r="3619" spans="1:21" x14ac:dyDescent="0.25">
      <c r="A3619" s="33">
        <v>3637</v>
      </c>
      <c r="B3619" s="24">
        <v>44273</v>
      </c>
      <c r="C3619" t="s">
        <v>39</v>
      </c>
      <c r="D3619" t="s">
        <v>41</v>
      </c>
      <c r="E3619">
        <v>2000718831</v>
      </c>
      <c r="F3619">
        <v>910</v>
      </c>
      <c r="G3619">
        <v>505</v>
      </c>
      <c r="H3619">
        <v>0</v>
      </c>
      <c r="I3619" t="s">
        <v>661</v>
      </c>
      <c r="J3619" t="s">
        <v>170</v>
      </c>
      <c r="K3619" t="s">
        <v>899</v>
      </c>
      <c r="O3619">
        <v>0</v>
      </c>
      <c r="U3619" t="s">
        <v>81</v>
      </c>
    </row>
    <row r="3620" spans="1:21" x14ac:dyDescent="0.25">
      <c r="A3620" s="33">
        <v>3638</v>
      </c>
      <c r="B3620" s="24">
        <v>44273</v>
      </c>
      <c r="C3620" t="s">
        <v>39</v>
      </c>
      <c r="D3620" t="s">
        <v>41</v>
      </c>
      <c r="E3620">
        <v>2000719268</v>
      </c>
      <c r="F3620">
        <v>810</v>
      </c>
      <c r="G3620">
        <v>255</v>
      </c>
      <c r="H3620">
        <v>0</v>
      </c>
      <c r="I3620" t="s">
        <v>661</v>
      </c>
      <c r="J3620" t="s">
        <v>170</v>
      </c>
      <c r="K3620" t="s">
        <v>899</v>
      </c>
      <c r="O3620">
        <v>0</v>
      </c>
      <c r="U3620" t="s">
        <v>81</v>
      </c>
    </row>
    <row r="3621" spans="1:21" x14ac:dyDescent="0.25">
      <c r="A3621" s="33">
        <v>3639</v>
      </c>
      <c r="B3621" s="24">
        <v>44273</v>
      </c>
      <c r="C3621" t="s">
        <v>39</v>
      </c>
      <c r="D3621" t="s">
        <v>41</v>
      </c>
      <c r="E3621">
        <v>2000718831</v>
      </c>
      <c r="F3621">
        <v>910</v>
      </c>
      <c r="G3621">
        <v>45</v>
      </c>
      <c r="H3621">
        <v>0</v>
      </c>
      <c r="I3621" t="s">
        <v>178</v>
      </c>
      <c r="J3621" t="s">
        <v>170</v>
      </c>
      <c r="K3621" t="s">
        <v>899</v>
      </c>
      <c r="O3621">
        <v>0</v>
      </c>
      <c r="U3621" t="s">
        <v>81</v>
      </c>
    </row>
    <row r="3622" spans="1:21" ht="30" x14ac:dyDescent="0.25">
      <c r="A3622" s="33">
        <v>3640</v>
      </c>
      <c r="B3622" s="24">
        <v>44273</v>
      </c>
      <c r="C3622" t="s">
        <v>39</v>
      </c>
      <c r="D3622" t="s">
        <v>41</v>
      </c>
      <c r="E3622">
        <v>2000718325</v>
      </c>
      <c r="F3622">
        <v>2004</v>
      </c>
      <c r="G3622">
        <v>120</v>
      </c>
      <c r="H3622">
        <v>0</v>
      </c>
      <c r="I3622" t="s">
        <v>178</v>
      </c>
      <c r="J3622" t="s">
        <v>687</v>
      </c>
      <c r="K3622" t="s">
        <v>688</v>
      </c>
      <c r="O3622">
        <v>0</v>
      </c>
      <c r="T3622" s="62" t="s">
        <v>723</v>
      </c>
      <c r="U3622" t="s">
        <v>81</v>
      </c>
    </row>
    <row r="3623" spans="1:21" x14ac:dyDescent="0.25">
      <c r="A3623" s="33">
        <v>3641</v>
      </c>
      <c r="B3623" s="24">
        <v>44273</v>
      </c>
      <c r="C3623" t="s">
        <v>39</v>
      </c>
      <c r="D3623" t="s">
        <v>41</v>
      </c>
      <c r="E3623">
        <v>2000718714</v>
      </c>
      <c r="F3623">
        <v>1317</v>
      </c>
      <c r="G3623">
        <v>120</v>
      </c>
      <c r="H3623">
        <v>0</v>
      </c>
      <c r="I3623" t="s">
        <v>178</v>
      </c>
      <c r="J3623" t="s">
        <v>687</v>
      </c>
      <c r="K3623" t="s">
        <v>757</v>
      </c>
      <c r="O3623">
        <v>0</v>
      </c>
      <c r="U3623" t="s">
        <v>81</v>
      </c>
    </row>
    <row r="3624" spans="1:21" x14ac:dyDescent="0.25">
      <c r="A3624" s="33">
        <v>3642</v>
      </c>
      <c r="B3624" s="24">
        <v>44273</v>
      </c>
      <c r="C3624" t="s">
        <v>39</v>
      </c>
      <c r="D3624" t="s">
        <v>41</v>
      </c>
      <c r="E3624">
        <v>2000718995</v>
      </c>
      <c r="F3624">
        <v>950</v>
      </c>
      <c r="G3624">
        <v>60</v>
      </c>
      <c r="H3624">
        <v>0</v>
      </c>
      <c r="I3624" t="s">
        <v>178</v>
      </c>
      <c r="J3624" t="s">
        <v>169</v>
      </c>
      <c r="K3624" t="s">
        <v>179</v>
      </c>
      <c r="O3624">
        <v>0</v>
      </c>
      <c r="U3624" t="s">
        <v>81</v>
      </c>
    </row>
    <row r="3625" spans="1:21" x14ac:dyDescent="0.25">
      <c r="A3625" s="33">
        <v>3643</v>
      </c>
      <c r="B3625" s="24">
        <v>44273</v>
      </c>
      <c r="C3625" t="s">
        <v>39</v>
      </c>
      <c r="D3625" t="s">
        <v>41</v>
      </c>
      <c r="E3625">
        <v>2000718764</v>
      </c>
      <c r="F3625">
        <v>300</v>
      </c>
      <c r="G3625">
        <v>150</v>
      </c>
      <c r="H3625">
        <v>0</v>
      </c>
      <c r="I3625" t="s">
        <v>178</v>
      </c>
      <c r="J3625" t="s">
        <v>203</v>
      </c>
      <c r="K3625" t="s">
        <v>768</v>
      </c>
      <c r="O3625">
        <v>0</v>
      </c>
      <c r="U3625" t="s">
        <v>81</v>
      </c>
    </row>
    <row r="3626" spans="1:21" x14ac:dyDescent="0.25">
      <c r="A3626" s="33">
        <v>3644</v>
      </c>
      <c r="B3626" s="24">
        <v>44273</v>
      </c>
      <c r="C3626" t="s">
        <v>39</v>
      </c>
      <c r="D3626" t="s">
        <v>41</v>
      </c>
      <c r="E3626">
        <v>2000719078</v>
      </c>
      <c r="F3626">
        <v>700</v>
      </c>
      <c r="G3626">
        <v>150</v>
      </c>
      <c r="H3626">
        <v>0</v>
      </c>
      <c r="I3626" t="s">
        <v>178</v>
      </c>
      <c r="J3626" t="s">
        <v>203</v>
      </c>
      <c r="K3626" t="s">
        <v>1100</v>
      </c>
      <c r="O3626">
        <v>0</v>
      </c>
      <c r="U3626" t="s">
        <v>81</v>
      </c>
    </row>
    <row r="3627" spans="1:21" x14ac:dyDescent="0.25">
      <c r="A3627" s="33">
        <v>3645</v>
      </c>
      <c r="B3627" s="24">
        <v>44273</v>
      </c>
      <c r="C3627" t="s">
        <v>39</v>
      </c>
      <c r="D3627" t="s">
        <v>41</v>
      </c>
      <c r="E3627">
        <v>2000719035</v>
      </c>
      <c r="F3627">
        <v>1302</v>
      </c>
      <c r="G3627">
        <v>325</v>
      </c>
      <c r="H3627">
        <v>0</v>
      </c>
      <c r="I3627" t="s">
        <v>1065</v>
      </c>
      <c r="J3627" t="s">
        <v>745</v>
      </c>
      <c r="K3627" t="s">
        <v>857</v>
      </c>
      <c r="O3627">
        <v>0</v>
      </c>
      <c r="U3627" t="s">
        <v>81</v>
      </c>
    </row>
    <row r="3628" spans="1:21" x14ac:dyDescent="0.25">
      <c r="A3628" s="33">
        <v>3646</v>
      </c>
      <c r="B3628" s="24">
        <v>44273</v>
      </c>
      <c r="C3628" t="s">
        <v>39</v>
      </c>
      <c r="D3628" t="s">
        <v>41</v>
      </c>
      <c r="E3628">
        <v>2000718825</v>
      </c>
      <c r="F3628">
        <v>860</v>
      </c>
      <c r="G3628">
        <v>378</v>
      </c>
      <c r="H3628">
        <v>0</v>
      </c>
      <c r="I3628" t="s">
        <v>1065</v>
      </c>
      <c r="J3628" t="s">
        <v>745</v>
      </c>
      <c r="K3628" t="s">
        <v>879</v>
      </c>
      <c r="O3628">
        <v>0</v>
      </c>
      <c r="U3628" t="s">
        <v>81</v>
      </c>
    </row>
    <row r="3629" spans="1:21" x14ac:dyDescent="0.25">
      <c r="A3629" s="33">
        <v>3647</v>
      </c>
      <c r="B3629" s="24">
        <v>44273</v>
      </c>
      <c r="C3629" t="s">
        <v>39</v>
      </c>
      <c r="D3629" t="s">
        <v>41</v>
      </c>
      <c r="E3629">
        <v>2000718821</v>
      </c>
      <c r="F3629">
        <v>1480</v>
      </c>
      <c r="G3629">
        <v>240</v>
      </c>
      <c r="H3629">
        <v>0</v>
      </c>
      <c r="I3629" t="s">
        <v>1065</v>
      </c>
      <c r="J3629" t="s">
        <v>203</v>
      </c>
      <c r="K3629" t="s">
        <v>640</v>
      </c>
      <c r="O3629">
        <v>0</v>
      </c>
      <c r="U3629" t="s">
        <v>81</v>
      </c>
    </row>
    <row r="3630" spans="1:21" x14ac:dyDescent="0.25">
      <c r="A3630" s="33">
        <v>3648</v>
      </c>
      <c r="B3630" s="24">
        <v>44273</v>
      </c>
      <c r="C3630" t="s">
        <v>39</v>
      </c>
      <c r="D3630" t="s">
        <v>41</v>
      </c>
      <c r="E3630">
        <v>2000718785</v>
      </c>
      <c r="F3630">
        <v>160</v>
      </c>
      <c r="G3630">
        <v>200</v>
      </c>
      <c r="H3630">
        <v>0</v>
      </c>
      <c r="I3630" t="s">
        <v>1065</v>
      </c>
      <c r="J3630" t="s">
        <v>645</v>
      </c>
      <c r="K3630" t="s">
        <v>756</v>
      </c>
      <c r="O3630">
        <v>0</v>
      </c>
      <c r="U3630" t="s">
        <v>81</v>
      </c>
    </row>
    <row r="3631" spans="1:21" x14ac:dyDescent="0.25">
      <c r="A3631" s="33">
        <v>3649</v>
      </c>
      <c r="B3631" s="24">
        <v>44273</v>
      </c>
      <c r="C3631" t="s">
        <v>39</v>
      </c>
      <c r="D3631" t="s">
        <v>41</v>
      </c>
      <c r="E3631">
        <v>2000718787</v>
      </c>
      <c r="F3631">
        <v>1500</v>
      </c>
      <c r="G3631">
        <v>150</v>
      </c>
      <c r="H3631">
        <v>0</v>
      </c>
      <c r="I3631" t="s">
        <v>1065</v>
      </c>
      <c r="J3631" t="s">
        <v>645</v>
      </c>
      <c r="K3631" t="s">
        <v>658</v>
      </c>
      <c r="O3631">
        <v>0</v>
      </c>
      <c r="U3631" t="s">
        <v>81</v>
      </c>
    </row>
    <row r="3632" spans="1:21" x14ac:dyDescent="0.25">
      <c r="A3632" s="33">
        <v>3650</v>
      </c>
      <c r="B3632" s="24">
        <v>44273</v>
      </c>
      <c r="C3632" t="s">
        <v>39</v>
      </c>
      <c r="D3632" t="s">
        <v>41</v>
      </c>
      <c r="E3632">
        <v>2000718826</v>
      </c>
      <c r="F3632">
        <v>3000</v>
      </c>
      <c r="G3632">
        <v>300</v>
      </c>
      <c r="H3632">
        <v>0</v>
      </c>
      <c r="I3632" t="s">
        <v>201</v>
      </c>
      <c r="J3632" t="s">
        <v>172</v>
      </c>
      <c r="K3632" t="s">
        <v>814</v>
      </c>
      <c r="O3632">
        <v>0</v>
      </c>
      <c r="U3632" t="s">
        <v>81</v>
      </c>
    </row>
    <row r="3633" spans="1:21" x14ac:dyDescent="0.25">
      <c r="A3633" s="33">
        <v>3651</v>
      </c>
      <c r="B3633" s="24">
        <v>44273</v>
      </c>
      <c r="C3633" t="s">
        <v>39</v>
      </c>
      <c r="D3633" t="s">
        <v>41</v>
      </c>
      <c r="E3633">
        <v>2000718823</v>
      </c>
      <c r="F3633">
        <v>7830</v>
      </c>
      <c r="G3633">
        <v>300</v>
      </c>
      <c r="H3633">
        <v>0</v>
      </c>
      <c r="I3633" t="s">
        <v>201</v>
      </c>
      <c r="J3633" t="s">
        <v>200</v>
      </c>
      <c r="K3633" t="s">
        <v>737</v>
      </c>
      <c r="O3633">
        <v>0</v>
      </c>
      <c r="U3633" t="s">
        <v>81</v>
      </c>
    </row>
    <row r="3634" spans="1:21" x14ac:dyDescent="0.25">
      <c r="A3634" s="33">
        <v>3652</v>
      </c>
      <c r="B3634" s="24">
        <v>44273</v>
      </c>
      <c r="C3634" t="s">
        <v>39</v>
      </c>
      <c r="D3634" t="s">
        <v>41</v>
      </c>
      <c r="E3634">
        <v>2000718825</v>
      </c>
      <c r="F3634">
        <v>860</v>
      </c>
      <c r="G3634">
        <v>480</v>
      </c>
      <c r="H3634">
        <v>0</v>
      </c>
      <c r="I3634" t="s">
        <v>201</v>
      </c>
      <c r="J3634" t="s">
        <v>745</v>
      </c>
      <c r="K3634" t="s">
        <v>879</v>
      </c>
      <c r="O3634">
        <v>0</v>
      </c>
      <c r="U3634" t="s">
        <v>81</v>
      </c>
    </row>
    <row r="3635" spans="1:21" x14ac:dyDescent="0.25">
      <c r="A3635" s="33">
        <v>3653</v>
      </c>
      <c r="B3635" s="24">
        <v>44273</v>
      </c>
      <c r="C3635" t="s">
        <v>39</v>
      </c>
      <c r="D3635" t="s">
        <v>41</v>
      </c>
      <c r="E3635">
        <v>2000718218</v>
      </c>
      <c r="F3635">
        <v>2000</v>
      </c>
      <c r="G3635">
        <v>200</v>
      </c>
      <c r="H3635">
        <v>0</v>
      </c>
      <c r="I3635" t="s">
        <v>201</v>
      </c>
      <c r="J3635" t="s">
        <v>169</v>
      </c>
      <c r="K3635" t="s">
        <v>650</v>
      </c>
      <c r="O3635">
        <v>0</v>
      </c>
      <c r="U3635" t="s">
        <v>81</v>
      </c>
    </row>
    <row r="3636" spans="1:21" ht="60" x14ac:dyDescent="0.25">
      <c r="A3636" s="33">
        <v>3654</v>
      </c>
      <c r="B3636" s="24">
        <v>44273</v>
      </c>
      <c r="C3636" t="s">
        <v>39</v>
      </c>
      <c r="D3636" t="s">
        <v>41</v>
      </c>
      <c r="E3636">
        <v>2000715913</v>
      </c>
      <c r="F3636">
        <v>300</v>
      </c>
      <c r="G3636">
        <v>150</v>
      </c>
      <c r="H3636">
        <v>0</v>
      </c>
      <c r="I3636" t="s">
        <v>201</v>
      </c>
      <c r="J3636" t="s">
        <v>169</v>
      </c>
      <c r="K3636" t="s">
        <v>867</v>
      </c>
      <c r="O3636">
        <v>0</v>
      </c>
      <c r="T3636" s="62" t="s">
        <v>821</v>
      </c>
      <c r="U3636" t="s">
        <v>81</v>
      </c>
    </row>
    <row r="3637" spans="1:21" x14ac:dyDescent="0.25">
      <c r="A3637" s="33">
        <v>3655</v>
      </c>
      <c r="B3637" s="24">
        <v>44273</v>
      </c>
      <c r="C3637" t="s">
        <v>39</v>
      </c>
      <c r="D3637" t="s">
        <v>41</v>
      </c>
      <c r="E3637">
        <v>2000717881</v>
      </c>
      <c r="F3637">
        <v>912</v>
      </c>
      <c r="G3637">
        <v>150</v>
      </c>
      <c r="H3637">
        <v>0</v>
      </c>
      <c r="I3637" t="s">
        <v>201</v>
      </c>
      <c r="J3637" t="s">
        <v>202</v>
      </c>
      <c r="K3637" t="s">
        <v>858</v>
      </c>
      <c r="O3637">
        <v>0</v>
      </c>
      <c r="U3637" t="s">
        <v>81</v>
      </c>
    </row>
    <row r="3638" spans="1:21" x14ac:dyDescent="0.25">
      <c r="A3638" s="33">
        <v>3656</v>
      </c>
      <c r="B3638" s="24">
        <v>44273</v>
      </c>
      <c r="C3638" t="s">
        <v>39</v>
      </c>
      <c r="D3638" t="s">
        <v>41</v>
      </c>
      <c r="E3638">
        <v>2000719069</v>
      </c>
      <c r="F3638">
        <v>2000</v>
      </c>
      <c r="G3638">
        <v>200</v>
      </c>
      <c r="H3638">
        <v>0</v>
      </c>
      <c r="I3638" t="s">
        <v>201</v>
      </c>
      <c r="J3638" t="s">
        <v>172</v>
      </c>
      <c r="K3638" t="s">
        <v>725</v>
      </c>
      <c r="O3638">
        <v>0</v>
      </c>
      <c r="U3638" t="s">
        <v>81</v>
      </c>
    </row>
    <row r="3639" spans="1:21" x14ac:dyDescent="0.25">
      <c r="A3639" s="33">
        <v>3657</v>
      </c>
      <c r="B3639" s="24">
        <v>44273</v>
      </c>
      <c r="C3639" t="s">
        <v>39</v>
      </c>
      <c r="D3639" t="s">
        <v>41</v>
      </c>
      <c r="E3639">
        <v>2000718786</v>
      </c>
      <c r="F3639">
        <v>1600</v>
      </c>
      <c r="G3639">
        <v>150</v>
      </c>
      <c r="H3639">
        <v>0</v>
      </c>
      <c r="I3639" t="s">
        <v>201</v>
      </c>
      <c r="J3639" t="s">
        <v>645</v>
      </c>
      <c r="K3639" t="s">
        <v>1035</v>
      </c>
      <c r="O3639">
        <v>0</v>
      </c>
      <c r="U3639" t="s">
        <v>81</v>
      </c>
    </row>
    <row r="3640" spans="1:21" x14ac:dyDescent="0.25">
      <c r="A3640" s="33">
        <v>3658</v>
      </c>
      <c r="B3640" s="24">
        <v>44273</v>
      </c>
      <c r="C3640" t="s">
        <v>39</v>
      </c>
      <c r="D3640" t="s">
        <v>41</v>
      </c>
      <c r="E3640">
        <v>2000719353</v>
      </c>
      <c r="F3640">
        <v>600</v>
      </c>
      <c r="G3640">
        <v>53</v>
      </c>
      <c r="H3640">
        <v>0</v>
      </c>
      <c r="I3640" t="s">
        <v>201</v>
      </c>
      <c r="J3640" t="s">
        <v>169</v>
      </c>
      <c r="K3640" t="s">
        <v>867</v>
      </c>
      <c r="O3640">
        <v>0</v>
      </c>
      <c r="U3640" t="s">
        <v>81</v>
      </c>
    </row>
    <row r="3641" spans="1:21" x14ac:dyDescent="0.25">
      <c r="A3641" s="33">
        <v>3659</v>
      </c>
      <c r="B3641" s="24">
        <v>44273</v>
      </c>
      <c r="C3641" t="s">
        <v>39</v>
      </c>
      <c r="D3641" t="s">
        <v>41</v>
      </c>
      <c r="E3641">
        <v>2000719036</v>
      </c>
      <c r="F3641">
        <v>600</v>
      </c>
      <c r="G3641">
        <v>3</v>
      </c>
      <c r="H3641">
        <v>0</v>
      </c>
      <c r="I3641" t="s">
        <v>201</v>
      </c>
      <c r="J3641" t="s">
        <v>169</v>
      </c>
      <c r="K3641" t="s">
        <v>847</v>
      </c>
      <c r="O3641">
        <v>0</v>
      </c>
      <c r="U3641" t="s">
        <v>81</v>
      </c>
    </row>
    <row r="3642" spans="1:21" ht="30" x14ac:dyDescent="0.25">
      <c r="A3642" s="33">
        <v>3660</v>
      </c>
      <c r="B3642" s="24">
        <v>44273</v>
      </c>
      <c r="C3642" t="s">
        <v>39</v>
      </c>
      <c r="D3642" t="s">
        <v>41</v>
      </c>
      <c r="E3642">
        <v>2000719039</v>
      </c>
      <c r="F3642">
        <v>1800</v>
      </c>
      <c r="G3642">
        <v>200</v>
      </c>
      <c r="H3642">
        <v>0</v>
      </c>
      <c r="I3642" t="s">
        <v>201</v>
      </c>
      <c r="J3642" t="s">
        <v>172</v>
      </c>
      <c r="K3642" t="s">
        <v>814</v>
      </c>
      <c r="O3642">
        <v>0</v>
      </c>
      <c r="T3642" s="62" t="s">
        <v>723</v>
      </c>
      <c r="U3642" t="s">
        <v>81</v>
      </c>
    </row>
    <row r="3643" spans="1:21" x14ac:dyDescent="0.25">
      <c r="A3643" s="33">
        <v>3661</v>
      </c>
      <c r="B3643" s="24">
        <v>44273</v>
      </c>
      <c r="C3643" t="s">
        <v>39</v>
      </c>
      <c r="D3643" t="s">
        <v>41</v>
      </c>
      <c r="E3643">
        <v>2000712816</v>
      </c>
      <c r="F3643">
        <v>752</v>
      </c>
      <c r="G3643">
        <v>97</v>
      </c>
      <c r="H3643">
        <v>0</v>
      </c>
      <c r="I3643" t="s">
        <v>789</v>
      </c>
      <c r="J3643" t="s">
        <v>169</v>
      </c>
      <c r="K3643" t="s">
        <v>867</v>
      </c>
      <c r="O3643">
        <v>0</v>
      </c>
      <c r="U3643" t="s">
        <v>81</v>
      </c>
    </row>
    <row r="3644" spans="1:21" x14ac:dyDescent="0.25">
      <c r="A3644" s="33">
        <v>3662</v>
      </c>
      <c r="B3644" s="24">
        <v>44273</v>
      </c>
      <c r="C3644" t="s">
        <v>39</v>
      </c>
      <c r="D3644" t="s">
        <v>41</v>
      </c>
      <c r="E3644">
        <v>2000719035</v>
      </c>
      <c r="F3644">
        <v>1302</v>
      </c>
      <c r="G3644">
        <v>300</v>
      </c>
      <c r="H3644">
        <v>0</v>
      </c>
      <c r="I3644" t="s">
        <v>789</v>
      </c>
      <c r="J3644" t="s">
        <v>745</v>
      </c>
      <c r="K3644" t="s">
        <v>857</v>
      </c>
      <c r="O3644">
        <v>0</v>
      </c>
      <c r="U3644" t="s">
        <v>81</v>
      </c>
    </row>
    <row r="3645" spans="1:21" x14ac:dyDescent="0.25">
      <c r="A3645" s="33">
        <v>3663</v>
      </c>
      <c r="B3645" s="24">
        <v>44273</v>
      </c>
      <c r="C3645" t="s">
        <v>39</v>
      </c>
      <c r="D3645" t="s">
        <v>51</v>
      </c>
      <c r="E3645">
        <v>2000718946</v>
      </c>
      <c r="F3645">
        <v>450</v>
      </c>
      <c r="G3645">
        <v>228</v>
      </c>
      <c r="H3645">
        <v>0</v>
      </c>
      <c r="I3645" t="s">
        <v>191</v>
      </c>
      <c r="J3645" t="s">
        <v>673</v>
      </c>
      <c r="K3645" t="s">
        <v>679</v>
      </c>
      <c r="O3645">
        <v>0</v>
      </c>
      <c r="U3645" t="s">
        <v>81</v>
      </c>
    </row>
    <row r="3646" spans="1:21" x14ac:dyDescent="0.25">
      <c r="A3646" s="33">
        <v>3664</v>
      </c>
      <c r="B3646" s="24">
        <v>44273</v>
      </c>
      <c r="C3646" t="s">
        <v>39</v>
      </c>
      <c r="D3646" t="s">
        <v>51</v>
      </c>
      <c r="E3646">
        <v>2000718405</v>
      </c>
      <c r="F3646">
        <v>800</v>
      </c>
      <c r="G3646">
        <v>180</v>
      </c>
      <c r="H3646">
        <v>0</v>
      </c>
      <c r="I3646" t="s">
        <v>191</v>
      </c>
      <c r="J3646" t="s">
        <v>667</v>
      </c>
      <c r="K3646" t="s">
        <v>730</v>
      </c>
      <c r="O3646">
        <v>0</v>
      </c>
      <c r="U3646" t="s">
        <v>81</v>
      </c>
    </row>
    <row r="3647" spans="1:21" x14ac:dyDescent="0.25">
      <c r="A3647" s="33">
        <v>3665</v>
      </c>
      <c r="B3647" s="24">
        <v>44273</v>
      </c>
      <c r="C3647" t="s">
        <v>39</v>
      </c>
      <c r="D3647" t="s">
        <v>51</v>
      </c>
      <c r="E3647">
        <v>2000718982</v>
      </c>
      <c r="F3647">
        <v>210</v>
      </c>
      <c r="G3647">
        <v>60</v>
      </c>
      <c r="H3647">
        <v>0</v>
      </c>
      <c r="I3647" t="s">
        <v>191</v>
      </c>
      <c r="J3647" t="s">
        <v>669</v>
      </c>
      <c r="K3647" t="s">
        <v>810</v>
      </c>
      <c r="O3647">
        <v>0</v>
      </c>
      <c r="U3647" t="s">
        <v>81</v>
      </c>
    </row>
    <row r="3648" spans="1:21" x14ac:dyDescent="0.25">
      <c r="A3648" s="33">
        <v>3666</v>
      </c>
      <c r="B3648" s="24">
        <v>44273</v>
      </c>
      <c r="C3648" t="s">
        <v>39</v>
      </c>
      <c r="D3648" t="s">
        <v>51</v>
      </c>
      <c r="E3648">
        <v>2000718696</v>
      </c>
      <c r="F3648">
        <v>700</v>
      </c>
      <c r="G3648">
        <v>210</v>
      </c>
      <c r="H3648">
        <v>0</v>
      </c>
      <c r="I3648" t="s">
        <v>191</v>
      </c>
      <c r="J3648" t="s">
        <v>667</v>
      </c>
      <c r="K3648" t="s">
        <v>671</v>
      </c>
      <c r="O3648">
        <v>0</v>
      </c>
      <c r="U3648" t="s">
        <v>81</v>
      </c>
    </row>
    <row r="3649" spans="1:21" x14ac:dyDescent="0.25">
      <c r="A3649" s="33">
        <v>3667</v>
      </c>
      <c r="B3649" s="24">
        <v>44273</v>
      </c>
      <c r="C3649" t="s">
        <v>39</v>
      </c>
      <c r="D3649" t="s">
        <v>51</v>
      </c>
      <c r="E3649">
        <v>2000718985</v>
      </c>
      <c r="F3649">
        <v>700</v>
      </c>
      <c r="G3649">
        <v>105</v>
      </c>
      <c r="H3649">
        <v>0</v>
      </c>
      <c r="I3649" t="s">
        <v>191</v>
      </c>
      <c r="J3649" t="s">
        <v>667</v>
      </c>
      <c r="K3649" t="s">
        <v>671</v>
      </c>
      <c r="O3649">
        <v>0</v>
      </c>
      <c r="U3649" t="s">
        <v>81</v>
      </c>
    </row>
    <row r="3650" spans="1:21" x14ac:dyDescent="0.25">
      <c r="A3650" s="33">
        <v>3668</v>
      </c>
      <c r="B3650" s="24">
        <v>44273</v>
      </c>
      <c r="C3650" t="s">
        <v>39</v>
      </c>
      <c r="D3650" t="s">
        <v>51</v>
      </c>
      <c r="E3650">
        <v>2000718987</v>
      </c>
      <c r="F3650">
        <v>185</v>
      </c>
      <c r="G3650">
        <v>185</v>
      </c>
      <c r="H3650">
        <v>0</v>
      </c>
      <c r="I3650" t="s">
        <v>191</v>
      </c>
      <c r="J3650" t="s">
        <v>669</v>
      </c>
      <c r="K3650" t="s">
        <v>755</v>
      </c>
      <c r="O3650">
        <v>0</v>
      </c>
      <c r="U3650" t="s">
        <v>81</v>
      </c>
    </row>
    <row r="3651" spans="1:21" x14ac:dyDescent="0.25">
      <c r="A3651" s="33">
        <v>3669</v>
      </c>
      <c r="B3651" s="24">
        <v>44273</v>
      </c>
      <c r="C3651" t="s">
        <v>39</v>
      </c>
      <c r="D3651" t="s">
        <v>51</v>
      </c>
      <c r="E3651">
        <v>2000718695</v>
      </c>
      <c r="F3651">
        <v>300</v>
      </c>
      <c r="G3651">
        <v>60</v>
      </c>
      <c r="H3651">
        <v>0</v>
      </c>
      <c r="I3651" t="s">
        <v>191</v>
      </c>
      <c r="J3651" t="s">
        <v>667</v>
      </c>
      <c r="K3651" t="s">
        <v>827</v>
      </c>
      <c r="O3651">
        <v>0</v>
      </c>
      <c r="U3651" t="s">
        <v>81</v>
      </c>
    </row>
    <row r="3652" spans="1:21" x14ac:dyDescent="0.25">
      <c r="A3652" s="33">
        <v>3670</v>
      </c>
      <c r="B3652" s="24">
        <v>44273</v>
      </c>
      <c r="C3652" t="s">
        <v>39</v>
      </c>
      <c r="D3652" t="s">
        <v>51</v>
      </c>
      <c r="E3652">
        <v>2000717315</v>
      </c>
      <c r="F3652">
        <v>326</v>
      </c>
      <c r="G3652">
        <v>1</v>
      </c>
      <c r="H3652">
        <v>0</v>
      </c>
      <c r="I3652" t="s">
        <v>191</v>
      </c>
      <c r="J3652" t="s">
        <v>669</v>
      </c>
      <c r="K3652" t="s">
        <v>755</v>
      </c>
      <c r="O3652">
        <v>0</v>
      </c>
      <c r="U3652" t="s">
        <v>81</v>
      </c>
    </row>
    <row r="3653" spans="1:21" x14ac:dyDescent="0.25">
      <c r="A3653" s="33">
        <v>3671</v>
      </c>
      <c r="B3653" s="24">
        <v>44273</v>
      </c>
      <c r="C3653" t="s">
        <v>39</v>
      </c>
      <c r="D3653" t="s">
        <v>51</v>
      </c>
      <c r="E3653">
        <v>2000718798</v>
      </c>
      <c r="F3653">
        <v>450</v>
      </c>
      <c r="G3653">
        <v>90</v>
      </c>
      <c r="H3653">
        <v>1</v>
      </c>
      <c r="I3653" t="s">
        <v>191</v>
      </c>
      <c r="J3653" t="s">
        <v>676</v>
      </c>
      <c r="K3653" t="s">
        <v>677</v>
      </c>
      <c r="L3653" t="s">
        <v>112</v>
      </c>
      <c r="N3653" t="s">
        <v>1101</v>
      </c>
      <c r="O3653">
        <v>1</v>
      </c>
      <c r="P3653" t="s">
        <v>1102</v>
      </c>
      <c r="Q3653" t="s">
        <v>1103</v>
      </c>
      <c r="R3653" t="s">
        <v>1104</v>
      </c>
      <c r="S3653" s="36">
        <v>0.54166666666666663</v>
      </c>
      <c r="U3653" t="s">
        <v>81</v>
      </c>
    </row>
    <row r="3654" spans="1:21" x14ac:dyDescent="0.25">
      <c r="A3654" s="33">
        <v>3672</v>
      </c>
      <c r="B3654" s="24">
        <v>44273</v>
      </c>
      <c r="C3654" t="s">
        <v>181</v>
      </c>
      <c r="D3654" t="s">
        <v>51</v>
      </c>
      <c r="E3654">
        <v>2000718798</v>
      </c>
      <c r="F3654">
        <v>450</v>
      </c>
      <c r="G3654">
        <v>230</v>
      </c>
      <c r="H3654">
        <v>0</v>
      </c>
      <c r="I3654" t="s">
        <v>706</v>
      </c>
      <c r="J3654" t="s">
        <v>676</v>
      </c>
      <c r="K3654" t="s">
        <v>677</v>
      </c>
      <c r="O3654">
        <v>0</v>
      </c>
      <c r="U3654" t="s">
        <v>81</v>
      </c>
    </row>
    <row r="3655" spans="1:21" x14ac:dyDescent="0.25">
      <c r="A3655" s="33">
        <v>3673</v>
      </c>
      <c r="B3655" s="24">
        <v>44273</v>
      </c>
      <c r="C3655" t="s">
        <v>181</v>
      </c>
      <c r="D3655" t="s">
        <v>51</v>
      </c>
      <c r="E3655">
        <v>2000719231</v>
      </c>
      <c r="F3655">
        <v>450</v>
      </c>
      <c r="G3655">
        <v>100</v>
      </c>
      <c r="H3655">
        <v>0</v>
      </c>
      <c r="I3655" t="s">
        <v>706</v>
      </c>
      <c r="J3655" t="s">
        <v>673</v>
      </c>
      <c r="K3655" t="s">
        <v>951</v>
      </c>
      <c r="O3655">
        <v>0</v>
      </c>
      <c r="U3655" t="s">
        <v>81</v>
      </c>
    </row>
    <row r="3656" spans="1:21" x14ac:dyDescent="0.25">
      <c r="A3656" s="33">
        <v>3674</v>
      </c>
      <c r="B3656" s="24">
        <v>44273</v>
      </c>
      <c r="C3656" t="s">
        <v>181</v>
      </c>
      <c r="D3656" t="s">
        <v>51</v>
      </c>
      <c r="E3656">
        <v>2000718698</v>
      </c>
      <c r="F3656">
        <v>270</v>
      </c>
      <c r="G3656">
        <v>180</v>
      </c>
      <c r="H3656">
        <v>0</v>
      </c>
      <c r="I3656" t="s">
        <v>706</v>
      </c>
      <c r="J3656" t="s">
        <v>770</v>
      </c>
      <c r="K3656" t="s">
        <v>777</v>
      </c>
      <c r="O3656">
        <v>0</v>
      </c>
      <c r="U3656" t="s">
        <v>81</v>
      </c>
    </row>
    <row r="3657" spans="1:21" x14ac:dyDescent="0.25">
      <c r="A3657" s="33">
        <v>3675</v>
      </c>
      <c r="B3657" s="24">
        <v>44273</v>
      </c>
      <c r="C3657" t="s">
        <v>181</v>
      </c>
      <c r="D3657" t="s">
        <v>51</v>
      </c>
      <c r="E3657">
        <v>2000719235</v>
      </c>
      <c r="F3657">
        <v>600</v>
      </c>
      <c r="G3657">
        <v>90</v>
      </c>
      <c r="H3657">
        <v>0</v>
      </c>
      <c r="I3657" t="s">
        <v>706</v>
      </c>
      <c r="J3657" t="s">
        <v>667</v>
      </c>
      <c r="K3657" t="s">
        <v>668</v>
      </c>
      <c r="O3657">
        <v>0</v>
      </c>
      <c r="U3657" t="s">
        <v>81</v>
      </c>
    </row>
    <row r="3658" spans="1:21" x14ac:dyDescent="0.25">
      <c r="A3658" s="33">
        <v>3676</v>
      </c>
      <c r="B3658" s="24">
        <v>44273</v>
      </c>
      <c r="C3658" t="s">
        <v>181</v>
      </c>
      <c r="D3658" t="s">
        <v>51</v>
      </c>
      <c r="E3658">
        <v>2000718985</v>
      </c>
      <c r="F3658">
        <v>700</v>
      </c>
      <c r="G3658">
        <v>175</v>
      </c>
      <c r="H3658">
        <v>0</v>
      </c>
      <c r="I3658" t="s">
        <v>706</v>
      </c>
      <c r="J3658" t="s">
        <v>667</v>
      </c>
      <c r="K3658" t="s">
        <v>671</v>
      </c>
      <c r="O3658">
        <v>0</v>
      </c>
      <c r="U3658" t="s">
        <v>81</v>
      </c>
    </row>
    <row r="3659" spans="1:21" x14ac:dyDescent="0.25">
      <c r="A3659" s="33">
        <v>3677</v>
      </c>
      <c r="B3659" s="24">
        <v>44273</v>
      </c>
      <c r="C3659" t="s">
        <v>181</v>
      </c>
      <c r="D3659" t="s">
        <v>51</v>
      </c>
      <c r="E3659">
        <v>2000719518</v>
      </c>
      <c r="F3659">
        <v>480</v>
      </c>
      <c r="G3659">
        <v>160</v>
      </c>
      <c r="H3659">
        <v>1</v>
      </c>
      <c r="I3659" t="s">
        <v>706</v>
      </c>
      <c r="J3659" t="s">
        <v>673</v>
      </c>
      <c r="K3659" t="s">
        <v>742</v>
      </c>
      <c r="L3659" t="s">
        <v>87</v>
      </c>
      <c r="N3659" t="s">
        <v>1108</v>
      </c>
      <c r="O3659">
        <v>1</v>
      </c>
      <c r="P3659" t="s">
        <v>1105</v>
      </c>
      <c r="Q3659" t="s">
        <v>1106</v>
      </c>
      <c r="R3659" t="s">
        <v>1107</v>
      </c>
      <c r="S3659" s="36">
        <v>0.27083333333333331</v>
      </c>
      <c r="U3659" t="s">
        <v>81</v>
      </c>
    </row>
    <row r="3660" spans="1:21" x14ac:dyDescent="0.25">
      <c r="A3660" s="33">
        <v>3678</v>
      </c>
      <c r="B3660" s="24">
        <v>44273</v>
      </c>
      <c r="C3660" t="s">
        <v>181</v>
      </c>
      <c r="D3660" t="s">
        <v>51</v>
      </c>
      <c r="E3660">
        <v>2000719506</v>
      </c>
      <c r="F3660">
        <v>450</v>
      </c>
      <c r="G3660">
        <v>70</v>
      </c>
      <c r="H3660">
        <v>0</v>
      </c>
      <c r="I3660" t="s">
        <v>706</v>
      </c>
      <c r="J3660" t="s">
        <v>667</v>
      </c>
      <c r="K3660" t="s">
        <v>671</v>
      </c>
      <c r="O3660">
        <v>0</v>
      </c>
      <c r="U3660" t="s">
        <v>81</v>
      </c>
    </row>
    <row r="3661" spans="1:21" x14ac:dyDescent="0.25">
      <c r="A3661" s="33">
        <v>3679</v>
      </c>
      <c r="B3661" s="24">
        <v>44273</v>
      </c>
      <c r="C3661" t="s">
        <v>181</v>
      </c>
      <c r="D3661" t="s">
        <v>51</v>
      </c>
      <c r="E3661">
        <v>2000719227</v>
      </c>
      <c r="F3661">
        <v>400</v>
      </c>
      <c r="G3661">
        <v>60</v>
      </c>
      <c r="H3661">
        <v>0</v>
      </c>
      <c r="I3661" t="s">
        <v>706</v>
      </c>
      <c r="J3661" t="s">
        <v>673</v>
      </c>
      <c r="K3661" t="s">
        <v>791</v>
      </c>
      <c r="O3661">
        <v>0</v>
      </c>
      <c r="U3661" t="s">
        <v>81</v>
      </c>
    </row>
    <row r="3662" spans="1:21" x14ac:dyDescent="0.25">
      <c r="A3662" s="33">
        <v>3680</v>
      </c>
      <c r="B3662" s="24">
        <v>44273</v>
      </c>
      <c r="C3662" t="s">
        <v>181</v>
      </c>
      <c r="D3662" t="s">
        <v>41</v>
      </c>
      <c r="E3662">
        <v>2000719078</v>
      </c>
      <c r="F3662">
        <v>700</v>
      </c>
      <c r="G3662">
        <v>397</v>
      </c>
      <c r="H3662">
        <v>0</v>
      </c>
      <c r="I3662" t="s">
        <v>184</v>
      </c>
      <c r="J3662" t="s">
        <v>203</v>
      </c>
      <c r="K3662" t="s">
        <v>785</v>
      </c>
      <c r="O3662">
        <v>0</v>
      </c>
      <c r="U3662" t="s">
        <v>81</v>
      </c>
    </row>
    <row r="3663" spans="1:21" x14ac:dyDescent="0.25">
      <c r="A3663" s="33">
        <v>3681</v>
      </c>
      <c r="B3663" s="24">
        <v>44273</v>
      </c>
      <c r="C3663" t="s">
        <v>181</v>
      </c>
      <c r="D3663" t="s">
        <v>41</v>
      </c>
      <c r="E3663">
        <v>2000718445</v>
      </c>
      <c r="F3663">
        <v>1060</v>
      </c>
      <c r="G3663">
        <v>8</v>
      </c>
      <c r="H3663">
        <v>0</v>
      </c>
      <c r="I3663" t="s">
        <v>184</v>
      </c>
      <c r="J3663" t="s">
        <v>203</v>
      </c>
      <c r="K3663" t="s">
        <v>785</v>
      </c>
      <c r="O3663">
        <v>0</v>
      </c>
      <c r="U3663" t="s">
        <v>81</v>
      </c>
    </row>
    <row r="3664" spans="1:21" x14ac:dyDescent="0.25">
      <c r="A3664" s="33">
        <v>3682</v>
      </c>
      <c r="B3664" s="24">
        <v>44273</v>
      </c>
      <c r="C3664" t="s">
        <v>181</v>
      </c>
      <c r="D3664" t="s">
        <v>41</v>
      </c>
      <c r="E3664">
        <v>2000708688</v>
      </c>
      <c r="F3664">
        <v>810</v>
      </c>
      <c r="G3664">
        <v>3</v>
      </c>
      <c r="H3664">
        <v>0</v>
      </c>
      <c r="I3664" t="s">
        <v>184</v>
      </c>
      <c r="J3664" t="s">
        <v>203</v>
      </c>
      <c r="K3664" t="s">
        <v>638</v>
      </c>
      <c r="O3664">
        <v>0</v>
      </c>
      <c r="U3664" t="s">
        <v>81</v>
      </c>
    </row>
    <row r="3665" spans="1:21" x14ac:dyDescent="0.25">
      <c r="A3665" s="33">
        <v>3683</v>
      </c>
      <c r="B3665" s="24">
        <v>44273</v>
      </c>
      <c r="C3665" t="s">
        <v>181</v>
      </c>
      <c r="D3665" t="s">
        <v>41</v>
      </c>
      <c r="E3665">
        <v>2000718172</v>
      </c>
      <c r="F3665">
        <v>1400</v>
      </c>
      <c r="G3665">
        <v>10</v>
      </c>
      <c r="H3665">
        <v>0</v>
      </c>
      <c r="I3665" t="s">
        <v>184</v>
      </c>
      <c r="J3665" t="s">
        <v>203</v>
      </c>
      <c r="K3665" t="s">
        <v>891</v>
      </c>
      <c r="O3665">
        <v>0</v>
      </c>
      <c r="U3665" t="s">
        <v>81</v>
      </c>
    </row>
    <row r="3666" spans="1:21" x14ac:dyDescent="0.25">
      <c r="A3666" s="33">
        <v>3684</v>
      </c>
      <c r="B3666" s="24">
        <v>44273</v>
      </c>
      <c r="C3666" t="s">
        <v>181</v>
      </c>
      <c r="D3666" t="s">
        <v>41</v>
      </c>
      <c r="E3666">
        <v>2000719312</v>
      </c>
      <c r="F3666">
        <v>290</v>
      </c>
      <c r="G3666">
        <v>180</v>
      </c>
      <c r="H3666">
        <v>0</v>
      </c>
      <c r="I3666" t="s">
        <v>184</v>
      </c>
      <c r="J3666" t="s">
        <v>203</v>
      </c>
      <c r="K3666" t="s">
        <v>639</v>
      </c>
      <c r="O3666">
        <v>0</v>
      </c>
      <c r="U3666" t="s">
        <v>81</v>
      </c>
    </row>
    <row r="3667" spans="1:21" x14ac:dyDescent="0.25">
      <c r="A3667" s="33">
        <v>3685</v>
      </c>
      <c r="B3667" s="24">
        <v>44273</v>
      </c>
      <c r="C3667" t="s">
        <v>181</v>
      </c>
      <c r="D3667" t="s">
        <v>41</v>
      </c>
      <c r="E3667">
        <v>2000718765</v>
      </c>
      <c r="F3667">
        <v>660</v>
      </c>
      <c r="G3667">
        <v>1</v>
      </c>
      <c r="H3667">
        <v>0</v>
      </c>
      <c r="I3667" t="s">
        <v>184</v>
      </c>
      <c r="J3667" t="s">
        <v>203</v>
      </c>
      <c r="K3667" t="s">
        <v>891</v>
      </c>
      <c r="O3667">
        <v>0</v>
      </c>
      <c r="U3667" t="s">
        <v>81</v>
      </c>
    </row>
    <row r="3668" spans="1:21" x14ac:dyDescent="0.25">
      <c r="A3668" s="33">
        <v>3686</v>
      </c>
      <c r="B3668" s="24">
        <v>44273</v>
      </c>
      <c r="C3668" t="s">
        <v>181</v>
      </c>
      <c r="D3668" t="s">
        <v>41</v>
      </c>
      <c r="E3668">
        <v>2000719281</v>
      </c>
      <c r="F3668">
        <v>280</v>
      </c>
      <c r="G3668">
        <v>39</v>
      </c>
      <c r="H3668">
        <v>0</v>
      </c>
      <c r="I3668" t="s">
        <v>696</v>
      </c>
      <c r="J3668" t="s">
        <v>174</v>
      </c>
      <c r="K3668" t="s">
        <v>805</v>
      </c>
      <c r="O3668">
        <v>0</v>
      </c>
      <c r="U3668" t="s">
        <v>81</v>
      </c>
    </row>
    <row r="3669" spans="1:21" x14ac:dyDescent="0.25">
      <c r="A3669" s="33">
        <v>3687</v>
      </c>
      <c r="B3669" s="24">
        <v>44273</v>
      </c>
      <c r="C3669" t="s">
        <v>181</v>
      </c>
      <c r="D3669" t="s">
        <v>41</v>
      </c>
      <c r="E3669">
        <v>2000719024</v>
      </c>
      <c r="F3669">
        <v>1680</v>
      </c>
      <c r="G3669">
        <v>180</v>
      </c>
      <c r="H3669">
        <v>0</v>
      </c>
      <c r="I3669" t="s">
        <v>696</v>
      </c>
      <c r="J3669" t="s">
        <v>174</v>
      </c>
      <c r="K3669" t="s">
        <v>662</v>
      </c>
      <c r="O3669">
        <v>0</v>
      </c>
      <c r="U3669" t="s">
        <v>81</v>
      </c>
    </row>
    <row r="3670" spans="1:21" x14ac:dyDescent="0.25">
      <c r="A3670" s="33">
        <v>3688</v>
      </c>
      <c r="B3670" s="24">
        <v>44273</v>
      </c>
      <c r="C3670" t="s">
        <v>181</v>
      </c>
      <c r="D3670" t="s">
        <v>41</v>
      </c>
      <c r="E3670">
        <v>2000719701</v>
      </c>
      <c r="F3670">
        <v>320</v>
      </c>
      <c r="G3670">
        <v>318</v>
      </c>
      <c r="H3670">
        <v>0</v>
      </c>
      <c r="I3670" t="s">
        <v>696</v>
      </c>
      <c r="J3670" t="s">
        <v>174</v>
      </c>
      <c r="K3670" t="s">
        <v>931</v>
      </c>
      <c r="O3670">
        <v>0</v>
      </c>
      <c r="U3670" t="s">
        <v>81</v>
      </c>
    </row>
    <row r="3671" spans="1:21" x14ac:dyDescent="0.25">
      <c r="A3671" s="33">
        <v>3689</v>
      </c>
      <c r="B3671" s="24">
        <v>44273</v>
      </c>
      <c r="C3671" t="s">
        <v>181</v>
      </c>
      <c r="D3671" t="s">
        <v>41</v>
      </c>
      <c r="E3671">
        <v>2000719268</v>
      </c>
      <c r="F3671">
        <v>810</v>
      </c>
      <c r="G3671">
        <v>445</v>
      </c>
      <c r="H3671">
        <v>0</v>
      </c>
      <c r="I3671" t="s">
        <v>693</v>
      </c>
      <c r="J3671" t="s">
        <v>170</v>
      </c>
      <c r="K3671" t="s">
        <v>899</v>
      </c>
      <c r="O3671">
        <v>0</v>
      </c>
      <c r="U3671" t="s">
        <v>81</v>
      </c>
    </row>
    <row r="3672" spans="1:21" x14ac:dyDescent="0.25">
      <c r="A3672" s="33">
        <v>3690</v>
      </c>
      <c r="B3672" s="24">
        <v>44273</v>
      </c>
      <c r="C3672" t="s">
        <v>181</v>
      </c>
      <c r="D3672" t="s">
        <v>41</v>
      </c>
      <c r="E3672">
        <v>2000719660</v>
      </c>
      <c r="F3672">
        <v>990</v>
      </c>
      <c r="G3672">
        <v>270</v>
      </c>
      <c r="H3672">
        <v>0</v>
      </c>
      <c r="I3672" t="s">
        <v>693</v>
      </c>
      <c r="J3672" t="s">
        <v>170</v>
      </c>
      <c r="K3672" t="s">
        <v>697</v>
      </c>
      <c r="O3672">
        <v>0</v>
      </c>
      <c r="U3672" t="s">
        <v>81</v>
      </c>
    </row>
    <row r="3673" spans="1:21" x14ac:dyDescent="0.25">
      <c r="A3673" s="33">
        <v>3691</v>
      </c>
      <c r="B3673" s="24">
        <v>44273</v>
      </c>
      <c r="C3673" t="s">
        <v>181</v>
      </c>
      <c r="D3673" t="s">
        <v>41</v>
      </c>
      <c r="E3673">
        <v>2000719268</v>
      </c>
      <c r="F3673">
        <v>810</v>
      </c>
      <c r="G3673">
        <v>90</v>
      </c>
      <c r="H3673">
        <v>0</v>
      </c>
      <c r="I3673" t="s">
        <v>706</v>
      </c>
      <c r="J3673" t="s">
        <v>170</v>
      </c>
      <c r="K3673" t="s">
        <v>899</v>
      </c>
      <c r="O3673">
        <v>0</v>
      </c>
      <c r="U3673" t="s">
        <v>81</v>
      </c>
    </row>
    <row r="3674" spans="1:21" x14ac:dyDescent="0.25">
      <c r="A3674" s="33">
        <v>3692</v>
      </c>
      <c r="B3674" s="24">
        <v>44273</v>
      </c>
      <c r="C3674" t="s">
        <v>181</v>
      </c>
      <c r="D3674" t="s">
        <v>41</v>
      </c>
      <c r="E3674">
        <v>2000719036</v>
      </c>
      <c r="F3674">
        <v>600</v>
      </c>
      <c r="G3674">
        <v>150</v>
      </c>
      <c r="H3674">
        <v>0</v>
      </c>
      <c r="I3674" t="s">
        <v>680</v>
      </c>
      <c r="J3674" t="s">
        <v>169</v>
      </c>
      <c r="K3674" t="s">
        <v>847</v>
      </c>
      <c r="O3674">
        <v>0</v>
      </c>
      <c r="U3674" t="s">
        <v>81</v>
      </c>
    </row>
    <row r="3675" spans="1:21" x14ac:dyDescent="0.25">
      <c r="A3675" s="33">
        <v>3693</v>
      </c>
      <c r="B3675" s="24">
        <v>44273</v>
      </c>
      <c r="C3675" t="s">
        <v>181</v>
      </c>
      <c r="D3675" t="s">
        <v>41</v>
      </c>
      <c r="E3675">
        <v>2000719040</v>
      </c>
      <c r="F3675">
        <v>3600</v>
      </c>
      <c r="G3675">
        <v>300</v>
      </c>
      <c r="H3675">
        <v>0</v>
      </c>
      <c r="I3675" t="s">
        <v>680</v>
      </c>
      <c r="J3675" t="s">
        <v>169</v>
      </c>
      <c r="K3675" t="s">
        <v>652</v>
      </c>
      <c r="O3675">
        <v>0</v>
      </c>
      <c r="U3675" t="s">
        <v>81</v>
      </c>
    </row>
    <row r="3676" spans="1:21" x14ac:dyDescent="0.25">
      <c r="A3676" s="33">
        <v>3694</v>
      </c>
      <c r="B3676" s="24">
        <v>44273</v>
      </c>
      <c r="C3676" t="s">
        <v>181</v>
      </c>
      <c r="D3676" t="s">
        <v>41</v>
      </c>
      <c r="E3676">
        <v>2000719041</v>
      </c>
      <c r="F3676">
        <v>3200</v>
      </c>
      <c r="G3676">
        <v>400</v>
      </c>
      <c r="H3676">
        <v>0</v>
      </c>
      <c r="I3676" t="s">
        <v>680</v>
      </c>
      <c r="J3676" t="s">
        <v>203</v>
      </c>
      <c r="K3676" t="s">
        <v>788</v>
      </c>
      <c r="O3676">
        <v>0</v>
      </c>
      <c r="U3676" t="s">
        <v>81</v>
      </c>
    </row>
    <row r="3677" spans="1:21" x14ac:dyDescent="0.25">
      <c r="A3677" s="33">
        <v>3695</v>
      </c>
      <c r="B3677" s="24">
        <v>44273</v>
      </c>
      <c r="C3677" t="s">
        <v>181</v>
      </c>
      <c r="D3677" t="s">
        <v>41</v>
      </c>
      <c r="E3677">
        <v>2000719035</v>
      </c>
      <c r="F3677">
        <v>1302</v>
      </c>
      <c r="G3677">
        <v>125</v>
      </c>
      <c r="H3677">
        <v>0</v>
      </c>
      <c r="I3677" t="s">
        <v>680</v>
      </c>
      <c r="J3677" t="s">
        <v>745</v>
      </c>
      <c r="K3677" t="s">
        <v>857</v>
      </c>
      <c r="O3677">
        <v>0</v>
      </c>
      <c r="U3677" t="s">
        <v>81</v>
      </c>
    </row>
    <row r="3678" spans="1:21" x14ac:dyDescent="0.25">
      <c r="A3678" s="33">
        <v>3696</v>
      </c>
      <c r="B3678" s="24">
        <v>44273</v>
      </c>
      <c r="C3678" t="s">
        <v>181</v>
      </c>
      <c r="D3678" t="s">
        <v>41</v>
      </c>
      <c r="E3678">
        <v>2000719350</v>
      </c>
      <c r="F3678">
        <v>7860</v>
      </c>
      <c r="G3678">
        <v>300</v>
      </c>
      <c r="H3678">
        <v>0</v>
      </c>
      <c r="I3678" t="s">
        <v>680</v>
      </c>
      <c r="J3678" t="s">
        <v>200</v>
      </c>
      <c r="K3678" t="s">
        <v>737</v>
      </c>
      <c r="O3678">
        <v>0</v>
      </c>
      <c r="U3678" t="s">
        <v>81</v>
      </c>
    </row>
    <row r="3679" spans="1:21" x14ac:dyDescent="0.25">
      <c r="A3679" s="33">
        <v>3697</v>
      </c>
      <c r="B3679" s="24">
        <v>44273</v>
      </c>
      <c r="C3679" t="s">
        <v>181</v>
      </c>
      <c r="D3679" t="s">
        <v>41</v>
      </c>
      <c r="E3679">
        <v>2000719037</v>
      </c>
      <c r="F3679">
        <v>900</v>
      </c>
      <c r="G3679">
        <v>150</v>
      </c>
      <c r="H3679">
        <v>0</v>
      </c>
      <c r="I3679" t="s">
        <v>680</v>
      </c>
      <c r="J3679" t="s">
        <v>265</v>
      </c>
      <c r="K3679" t="s">
        <v>1023</v>
      </c>
      <c r="O3679">
        <v>0</v>
      </c>
      <c r="U3679" t="s">
        <v>81</v>
      </c>
    </row>
    <row r="3680" spans="1:21" x14ac:dyDescent="0.25">
      <c r="A3680" s="33">
        <v>3698</v>
      </c>
      <c r="B3680" s="24">
        <v>44273</v>
      </c>
      <c r="C3680" t="s">
        <v>181</v>
      </c>
      <c r="D3680" t="s">
        <v>41</v>
      </c>
      <c r="E3680">
        <v>2000719041</v>
      </c>
      <c r="F3680">
        <v>3200</v>
      </c>
      <c r="G3680">
        <v>400</v>
      </c>
      <c r="H3680">
        <v>0</v>
      </c>
      <c r="I3680" t="s">
        <v>680</v>
      </c>
      <c r="J3680" t="s">
        <v>203</v>
      </c>
      <c r="K3680" t="s">
        <v>788</v>
      </c>
      <c r="O3680">
        <v>0</v>
      </c>
      <c r="U3680" t="s">
        <v>81</v>
      </c>
    </row>
    <row r="3681" spans="1:21" x14ac:dyDescent="0.25">
      <c r="A3681" s="33">
        <v>3699</v>
      </c>
      <c r="B3681" s="24">
        <v>44273</v>
      </c>
      <c r="C3681" t="s">
        <v>181</v>
      </c>
      <c r="D3681" t="s">
        <v>41</v>
      </c>
      <c r="E3681">
        <v>2000718824</v>
      </c>
      <c r="F3681">
        <v>1140</v>
      </c>
      <c r="G3681">
        <v>280</v>
      </c>
      <c r="H3681">
        <v>0</v>
      </c>
      <c r="I3681" t="s">
        <v>680</v>
      </c>
      <c r="J3681" t="s">
        <v>745</v>
      </c>
      <c r="K3681" t="s">
        <v>746</v>
      </c>
      <c r="O3681">
        <v>0</v>
      </c>
      <c r="U3681" t="s">
        <v>81</v>
      </c>
    </row>
    <row r="3682" spans="1:21" x14ac:dyDescent="0.25">
      <c r="A3682" s="33">
        <v>3700</v>
      </c>
      <c r="B3682" s="24">
        <v>44273</v>
      </c>
      <c r="C3682" t="s">
        <v>181</v>
      </c>
      <c r="D3682" t="s">
        <v>41</v>
      </c>
      <c r="E3682">
        <v>2000719281</v>
      </c>
      <c r="F3682">
        <v>280</v>
      </c>
      <c r="G3682">
        <v>40</v>
      </c>
      <c r="H3682">
        <v>0</v>
      </c>
      <c r="I3682" t="s">
        <v>183</v>
      </c>
      <c r="J3682" t="s">
        <v>174</v>
      </c>
      <c r="K3682" t="s">
        <v>805</v>
      </c>
      <c r="O3682">
        <v>0</v>
      </c>
      <c r="U3682" t="s">
        <v>81</v>
      </c>
    </row>
    <row r="3683" spans="1:21" x14ac:dyDescent="0.25">
      <c r="A3683" s="33">
        <v>3701</v>
      </c>
      <c r="B3683" s="24">
        <v>44273</v>
      </c>
      <c r="C3683" t="s">
        <v>181</v>
      </c>
      <c r="D3683" t="s">
        <v>41</v>
      </c>
      <c r="E3683">
        <v>2000718754</v>
      </c>
      <c r="F3683">
        <v>1306</v>
      </c>
      <c r="G3683">
        <v>100</v>
      </c>
      <c r="H3683">
        <v>0</v>
      </c>
      <c r="I3683" t="s">
        <v>183</v>
      </c>
      <c r="J3683" t="s">
        <v>174</v>
      </c>
      <c r="K3683" t="s">
        <v>695</v>
      </c>
      <c r="O3683">
        <v>0</v>
      </c>
      <c r="U3683" t="s">
        <v>81</v>
      </c>
    </row>
    <row r="3684" spans="1:21" x14ac:dyDescent="0.25">
      <c r="A3684" s="33">
        <v>3702</v>
      </c>
      <c r="B3684" s="24">
        <v>44273</v>
      </c>
      <c r="C3684" t="s">
        <v>181</v>
      </c>
      <c r="D3684" t="s">
        <v>41</v>
      </c>
      <c r="E3684">
        <v>2000719024</v>
      </c>
      <c r="F3684">
        <v>1680</v>
      </c>
      <c r="G3684">
        <v>628</v>
      </c>
      <c r="H3684">
        <v>0</v>
      </c>
      <c r="I3684" t="s">
        <v>183</v>
      </c>
      <c r="J3684" t="s">
        <v>174</v>
      </c>
      <c r="K3684" t="s">
        <v>662</v>
      </c>
      <c r="O3684">
        <v>0</v>
      </c>
      <c r="T3684" s="62"/>
      <c r="U3684" t="s">
        <v>81</v>
      </c>
    </row>
    <row r="3685" spans="1:21" x14ac:dyDescent="0.25">
      <c r="A3685" s="33">
        <v>3703</v>
      </c>
      <c r="B3685" s="24">
        <v>44273</v>
      </c>
      <c r="C3685" t="s">
        <v>181</v>
      </c>
      <c r="D3685" t="s">
        <v>41</v>
      </c>
      <c r="E3685">
        <v>2000719268</v>
      </c>
      <c r="F3685">
        <v>810</v>
      </c>
      <c r="G3685">
        <v>15</v>
      </c>
      <c r="H3685">
        <v>0</v>
      </c>
      <c r="I3685" t="s">
        <v>180</v>
      </c>
      <c r="J3685" t="s">
        <v>170</v>
      </c>
      <c r="K3685" t="s">
        <v>899</v>
      </c>
      <c r="O3685">
        <v>0</v>
      </c>
      <c r="U3685" t="s">
        <v>81</v>
      </c>
    </row>
    <row r="3686" spans="1:21" x14ac:dyDescent="0.25">
      <c r="A3686" s="33">
        <v>3704</v>
      </c>
      <c r="B3686" s="24">
        <v>44273</v>
      </c>
      <c r="C3686" t="s">
        <v>181</v>
      </c>
      <c r="D3686" t="s">
        <v>41</v>
      </c>
      <c r="E3686">
        <v>2000719281</v>
      </c>
      <c r="F3686">
        <v>280</v>
      </c>
      <c r="G3686">
        <v>80</v>
      </c>
      <c r="H3686">
        <v>0</v>
      </c>
      <c r="I3686" t="s">
        <v>180</v>
      </c>
      <c r="J3686" t="s">
        <v>174</v>
      </c>
      <c r="K3686" t="s">
        <v>805</v>
      </c>
      <c r="O3686">
        <v>0</v>
      </c>
      <c r="U3686" t="s">
        <v>81</v>
      </c>
    </row>
    <row r="3687" spans="1:21" x14ac:dyDescent="0.25">
      <c r="A3687" s="33">
        <v>3705</v>
      </c>
      <c r="B3687" s="24">
        <v>44273</v>
      </c>
      <c r="C3687" t="s">
        <v>181</v>
      </c>
      <c r="D3687" t="s">
        <v>41</v>
      </c>
      <c r="E3687">
        <v>2000718754</v>
      </c>
      <c r="F3687">
        <v>1306</v>
      </c>
      <c r="G3687">
        <v>240</v>
      </c>
      <c r="H3687">
        <v>0</v>
      </c>
      <c r="I3687" t="s">
        <v>180</v>
      </c>
      <c r="J3687" t="s">
        <v>174</v>
      </c>
      <c r="K3687" t="s">
        <v>695</v>
      </c>
      <c r="O3687">
        <v>0</v>
      </c>
      <c r="U3687" t="s">
        <v>81</v>
      </c>
    </row>
    <row r="3688" spans="1:21" x14ac:dyDescent="0.25">
      <c r="A3688" s="33">
        <v>3706</v>
      </c>
      <c r="B3688" s="24">
        <v>44273</v>
      </c>
      <c r="C3688" t="s">
        <v>181</v>
      </c>
      <c r="D3688" t="s">
        <v>41</v>
      </c>
      <c r="E3688">
        <v>2000719024</v>
      </c>
      <c r="F3688">
        <v>1680</v>
      </c>
      <c r="G3688">
        <v>240</v>
      </c>
      <c r="H3688">
        <v>0</v>
      </c>
      <c r="I3688" t="s">
        <v>180</v>
      </c>
      <c r="J3688" t="s">
        <v>174</v>
      </c>
      <c r="K3688" t="s">
        <v>662</v>
      </c>
      <c r="O3688">
        <v>0</v>
      </c>
      <c r="U3688" t="s">
        <v>81</v>
      </c>
    </row>
    <row r="3689" spans="1:21" x14ac:dyDescent="0.25">
      <c r="A3689" s="33">
        <v>3707</v>
      </c>
      <c r="B3689" s="24">
        <v>44273</v>
      </c>
      <c r="C3689" t="s">
        <v>181</v>
      </c>
      <c r="D3689" t="s">
        <v>41</v>
      </c>
      <c r="E3689">
        <v>2000719070</v>
      </c>
      <c r="F3689">
        <v>2000</v>
      </c>
      <c r="G3689">
        <v>50</v>
      </c>
      <c r="H3689">
        <v>0</v>
      </c>
      <c r="I3689" t="s">
        <v>185</v>
      </c>
      <c r="J3689" t="s">
        <v>172</v>
      </c>
      <c r="K3689" t="s">
        <v>173</v>
      </c>
      <c r="O3689">
        <v>0</v>
      </c>
      <c r="U3689" t="s">
        <v>81</v>
      </c>
    </row>
    <row r="3690" spans="1:21" x14ac:dyDescent="0.25">
      <c r="A3690" s="33">
        <v>3708</v>
      </c>
      <c r="B3690" s="24">
        <v>44273</v>
      </c>
      <c r="C3690" t="s">
        <v>181</v>
      </c>
      <c r="D3690" t="s">
        <v>41</v>
      </c>
      <c r="E3690">
        <v>2000719567</v>
      </c>
      <c r="F3690">
        <v>420</v>
      </c>
      <c r="G3690">
        <v>80</v>
      </c>
      <c r="H3690">
        <v>0</v>
      </c>
      <c r="I3690" t="s">
        <v>185</v>
      </c>
      <c r="J3690" t="s">
        <v>175</v>
      </c>
      <c r="K3690" t="s">
        <v>886</v>
      </c>
      <c r="O3690">
        <v>0</v>
      </c>
      <c r="U3690" t="s">
        <v>81</v>
      </c>
    </row>
    <row r="3691" spans="1:21" x14ac:dyDescent="0.25">
      <c r="A3691" s="33">
        <v>3709</v>
      </c>
      <c r="B3691" s="24">
        <v>44273</v>
      </c>
      <c r="C3691" t="s">
        <v>181</v>
      </c>
      <c r="D3691" t="s">
        <v>41</v>
      </c>
      <c r="E3691">
        <v>2000719256</v>
      </c>
      <c r="F3691">
        <v>950</v>
      </c>
      <c r="G3691">
        <v>90</v>
      </c>
      <c r="H3691">
        <v>0</v>
      </c>
      <c r="I3691" t="s">
        <v>185</v>
      </c>
      <c r="J3691" t="s">
        <v>169</v>
      </c>
      <c r="K3691" t="s">
        <v>179</v>
      </c>
      <c r="O3691">
        <v>0</v>
      </c>
      <c r="U3691" t="s">
        <v>81</v>
      </c>
    </row>
    <row r="3692" spans="1:21" x14ac:dyDescent="0.25">
      <c r="A3692" s="33">
        <v>3710</v>
      </c>
      <c r="B3692" s="24">
        <v>44273</v>
      </c>
      <c r="C3692" t="s">
        <v>181</v>
      </c>
      <c r="D3692" t="s">
        <v>41</v>
      </c>
      <c r="E3692">
        <v>2000718473</v>
      </c>
      <c r="F3692">
        <v>1600</v>
      </c>
      <c r="G3692">
        <v>80</v>
      </c>
      <c r="H3692">
        <v>0</v>
      </c>
      <c r="I3692" t="s">
        <v>185</v>
      </c>
      <c r="J3692" t="s">
        <v>193</v>
      </c>
      <c r="K3692" t="s">
        <v>647</v>
      </c>
      <c r="O3692">
        <v>0</v>
      </c>
      <c r="U3692" t="s">
        <v>81</v>
      </c>
    </row>
    <row r="3693" spans="1:21" x14ac:dyDescent="0.25">
      <c r="A3693" s="33">
        <v>3711</v>
      </c>
      <c r="B3693" s="24">
        <v>44273</v>
      </c>
      <c r="C3693" t="s">
        <v>181</v>
      </c>
      <c r="D3693" t="s">
        <v>41</v>
      </c>
      <c r="E3693">
        <v>2000719568</v>
      </c>
      <c r="F3693">
        <v>890</v>
      </c>
      <c r="G3693">
        <v>80</v>
      </c>
      <c r="H3693">
        <v>0</v>
      </c>
      <c r="I3693" t="s">
        <v>185</v>
      </c>
      <c r="J3693" t="s">
        <v>175</v>
      </c>
      <c r="K3693" t="s">
        <v>758</v>
      </c>
      <c r="O3693">
        <v>0</v>
      </c>
      <c r="U3693" t="s">
        <v>81</v>
      </c>
    </row>
    <row r="3694" spans="1:21" x14ac:dyDescent="0.25">
      <c r="A3694" s="33">
        <v>3712</v>
      </c>
      <c r="B3694" s="24">
        <v>44273</v>
      </c>
      <c r="C3694" t="s">
        <v>181</v>
      </c>
      <c r="D3694" t="s">
        <v>41</v>
      </c>
      <c r="E3694">
        <v>2000718993</v>
      </c>
      <c r="F3694">
        <v>3824</v>
      </c>
      <c r="G3694">
        <v>200</v>
      </c>
      <c r="H3694">
        <v>0</v>
      </c>
      <c r="I3694" t="s">
        <v>185</v>
      </c>
      <c r="J3694" t="s">
        <v>200</v>
      </c>
      <c r="K3694" t="s">
        <v>653</v>
      </c>
      <c r="O3694">
        <v>0</v>
      </c>
      <c r="U3694" t="s">
        <v>81</v>
      </c>
    </row>
    <row r="3695" spans="1:21" x14ac:dyDescent="0.25">
      <c r="A3695" s="33">
        <v>3713</v>
      </c>
      <c r="B3695" s="24">
        <v>44273</v>
      </c>
      <c r="C3695" t="s">
        <v>181</v>
      </c>
      <c r="D3695" t="s">
        <v>41</v>
      </c>
      <c r="E3695">
        <v>2000719249</v>
      </c>
      <c r="F3695">
        <v>2704</v>
      </c>
      <c r="G3695">
        <v>120</v>
      </c>
      <c r="H3695">
        <v>0</v>
      </c>
      <c r="I3695" t="s">
        <v>185</v>
      </c>
      <c r="J3695" t="s">
        <v>655</v>
      </c>
      <c r="K3695" t="s">
        <v>656</v>
      </c>
      <c r="O3695">
        <v>0</v>
      </c>
      <c r="U3695" t="s">
        <v>81</v>
      </c>
    </row>
    <row r="3696" spans="1:21" x14ac:dyDescent="0.25">
      <c r="A3696" s="33">
        <v>3714</v>
      </c>
      <c r="B3696" s="24">
        <v>44273</v>
      </c>
      <c r="C3696" t="s">
        <v>181</v>
      </c>
      <c r="D3696" t="s">
        <v>41</v>
      </c>
      <c r="E3696">
        <v>2000719341</v>
      </c>
      <c r="F3696">
        <v>580</v>
      </c>
      <c r="G3696">
        <v>40</v>
      </c>
      <c r="H3696">
        <v>0</v>
      </c>
      <c r="I3696" t="s">
        <v>185</v>
      </c>
      <c r="J3696" t="s">
        <v>645</v>
      </c>
      <c r="K3696" t="s">
        <v>646</v>
      </c>
      <c r="O3696">
        <v>0</v>
      </c>
      <c r="U3696" t="s">
        <v>81</v>
      </c>
    </row>
    <row r="3697" spans="1:21" x14ac:dyDescent="0.25">
      <c r="A3697" s="33">
        <v>3715</v>
      </c>
      <c r="B3697" s="24">
        <v>44273</v>
      </c>
      <c r="C3697" t="s">
        <v>181</v>
      </c>
      <c r="D3697" t="s">
        <v>41</v>
      </c>
      <c r="E3697">
        <v>2000719505</v>
      </c>
      <c r="F3697">
        <v>4</v>
      </c>
      <c r="G3697">
        <v>4</v>
      </c>
      <c r="H3697">
        <v>0</v>
      </c>
      <c r="I3697" t="s">
        <v>198</v>
      </c>
      <c r="J3697" t="s">
        <v>169</v>
      </c>
      <c r="K3697" t="s">
        <v>826</v>
      </c>
      <c r="O3697">
        <v>0</v>
      </c>
      <c r="U3697" t="s">
        <v>83</v>
      </c>
    </row>
    <row r="3698" spans="1:21" x14ac:dyDescent="0.25">
      <c r="A3698" s="33">
        <v>3716</v>
      </c>
      <c r="B3698" s="24">
        <v>44273</v>
      </c>
      <c r="C3698" t="s">
        <v>181</v>
      </c>
      <c r="D3698" t="s">
        <v>41</v>
      </c>
      <c r="E3698">
        <v>2000719503</v>
      </c>
      <c r="F3698">
        <v>4</v>
      </c>
      <c r="G3698">
        <v>4</v>
      </c>
      <c r="H3698">
        <v>0</v>
      </c>
      <c r="I3698" t="s">
        <v>198</v>
      </c>
      <c r="J3698" t="s">
        <v>169</v>
      </c>
      <c r="K3698" t="s">
        <v>663</v>
      </c>
      <c r="O3698">
        <v>0</v>
      </c>
      <c r="U3698" t="s">
        <v>83</v>
      </c>
    </row>
    <row r="3699" spans="1:21" x14ac:dyDescent="0.25">
      <c r="A3699" s="33">
        <v>3717</v>
      </c>
      <c r="B3699" s="24">
        <v>44273</v>
      </c>
      <c r="C3699" t="s">
        <v>181</v>
      </c>
      <c r="D3699" t="s">
        <v>41</v>
      </c>
      <c r="E3699">
        <v>2000719504</v>
      </c>
      <c r="F3699">
        <v>48</v>
      </c>
      <c r="G3699">
        <v>48</v>
      </c>
      <c r="H3699">
        <v>0</v>
      </c>
      <c r="I3699" t="s">
        <v>198</v>
      </c>
      <c r="J3699" t="s">
        <v>169</v>
      </c>
      <c r="K3699" t="s">
        <v>663</v>
      </c>
      <c r="O3699">
        <v>0</v>
      </c>
      <c r="U3699" t="s">
        <v>83</v>
      </c>
    </row>
    <row r="3700" spans="1:21" x14ac:dyDescent="0.25">
      <c r="A3700" s="33">
        <v>3718</v>
      </c>
      <c r="B3700" s="24">
        <v>44273</v>
      </c>
      <c r="C3700" t="s">
        <v>181</v>
      </c>
      <c r="D3700" t="s">
        <v>41</v>
      </c>
      <c r="E3700">
        <v>2000719293</v>
      </c>
      <c r="F3700">
        <v>260</v>
      </c>
      <c r="G3700">
        <v>260</v>
      </c>
      <c r="H3700">
        <v>1</v>
      </c>
      <c r="I3700" t="s">
        <v>198</v>
      </c>
      <c r="J3700" t="s">
        <v>169</v>
      </c>
      <c r="K3700" t="s">
        <v>826</v>
      </c>
      <c r="L3700" t="s">
        <v>141</v>
      </c>
      <c r="M3700" t="s">
        <v>1109</v>
      </c>
      <c r="N3700" t="s">
        <v>1110</v>
      </c>
      <c r="O3700">
        <v>1</v>
      </c>
      <c r="P3700" t="s">
        <v>1111</v>
      </c>
      <c r="Q3700" t="s">
        <v>1112</v>
      </c>
      <c r="R3700">
        <v>5830003433</v>
      </c>
      <c r="S3700" s="36">
        <v>5.9027777777777783E-2</v>
      </c>
      <c r="U3700" t="s">
        <v>81</v>
      </c>
    </row>
    <row r="3701" spans="1:21" x14ac:dyDescent="0.25">
      <c r="A3701" s="33">
        <v>3719</v>
      </c>
      <c r="B3701" s="24">
        <v>44273</v>
      </c>
      <c r="C3701" t="s">
        <v>181</v>
      </c>
      <c r="D3701" t="s">
        <v>41</v>
      </c>
      <c r="E3701">
        <v>2000719117</v>
      </c>
      <c r="F3701">
        <v>210</v>
      </c>
      <c r="G3701">
        <v>1</v>
      </c>
      <c r="H3701">
        <v>0</v>
      </c>
      <c r="I3701" t="s">
        <v>198</v>
      </c>
      <c r="J3701" t="s">
        <v>169</v>
      </c>
      <c r="K3701" t="s">
        <v>852</v>
      </c>
      <c r="O3701">
        <v>0</v>
      </c>
      <c r="U3701" t="s">
        <v>83</v>
      </c>
    </row>
    <row r="3702" spans="1:21" x14ac:dyDescent="0.25">
      <c r="A3702" s="33">
        <v>3720</v>
      </c>
      <c r="B3702" s="24">
        <v>44273</v>
      </c>
      <c r="C3702" t="s">
        <v>181</v>
      </c>
      <c r="D3702" t="s">
        <v>41</v>
      </c>
      <c r="E3702">
        <v>2000719536</v>
      </c>
      <c r="F3702">
        <v>356</v>
      </c>
      <c r="G3702">
        <v>305</v>
      </c>
      <c r="H3702">
        <v>0</v>
      </c>
      <c r="I3702" t="s">
        <v>198</v>
      </c>
      <c r="J3702" t="s">
        <v>169</v>
      </c>
      <c r="K3702" t="s">
        <v>892</v>
      </c>
      <c r="O3702">
        <v>0</v>
      </c>
      <c r="U3702" t="s">
        <v>83</v>
      </c>
    </row>
    <row r="3703" spans="1:21" x14ac:dyDescent="0.25">
      <c r="A3703" s="33">
        <v>3721</v>
      </c>
      <c r="B3703" s="24">
        <v>44273</v>
      </c>
      <c r="C3703" t="s">
        <v>181</v>
      </c>
      <c r="D3703" t="s">
        <v>41</v>
      </c>
      <c r="E3703">
        <v>2000719660</v>
      </c>
      <c r="F3703">
        <v>990</v>
      </c>
      <c r="G3703">
        <v>90</v>
      </c>
      <c r="H3703">
        <v>0</v>
      </c>
      <c r="I3703" t="s">
        <v>198</v>
      </c>
      <c r="J3703" t="s">
        <v>170</v>
      </c>
      <c r="K3703" t="s">
        <v>697</v>
      </c>
      <c r="O3703">
        <v>0</v>
      </c>
      <c r="U3703" t="s">
        <v>83</v>
      </c>
    </row>
    <row r="3704" spans="1:21" x14ac:dyDescent="0.25">
      <c r="A3704" s="33">
        <v>3722</v>
      </c>
      <c r="B3704" s="24">
        <v>44274</v>
      </c>
      <c r="C3704" t="s">
        <v>39</v>
      </c>
      <c r="D3704" t="s">
        <v>41</v>
      </c>
      <c r="E3704">
        <v>2000719660</v>
      </c>
      <c r="F3704">
        <v>990</v>
      </c>
      <c r="G3704">
        <v>328</v>
      </c>
      <c r="H3704">
        <v>0</v>
      </c>
      <c r="I3704" t="s">
        <v>661</v>
      </c>
      <c r="J3704" t="s">
        <v>170</v>
      </c>
      <c r="K3704" t="s">
        <v>697</v>
      </c>
      <c r="O3704">
        <v>0</v>
      </c>
      <c r="U3704" t="s">
        <v>81</v>
      </c>
    </row>
    <row r="3705" spans="1:21" x14ac:dyDescent="0.25">
      <c r="A3705" s="33">
        <v>3723</v>
      </c>
      <c r="B3705" s="24">
        <v>44274</v>
      </c>
      <c r="C3705" t="s">
        <v>39</v>
      </c>
      <c r="D3705" t="s">
        <v>41</v>
      </c>
      <c r="E3705">
        <v>2000719269</v>
      </c>
      <c r="F3705">
        <v>180</v>
      </c>
      <c r="G3705">
        <v>179</v>
      </c>
      <c r="H3705">
        <v>0</v>
      </c>
      <c r="I3705" t="s">
        <v>661</v>
      </c>
      <c r="J3705" t="s">
        <v>698</v>
      </c>
      <c r="K3705" t="s">
        <v>786</v>
      </c>
      <c r="O3705">
        <v>0</v>
      </c>
      <c r="U3705" t="s">
        <v>81</v>
      </c>
    </row>
    <row r="3706" spans="1:21" x14ac:dyDescent="0.25">
      <c r="A3706" s="33">
        <v>3724</v>
      </c>
      <c r="B3706" s="24">
        <v>44274</v>
      </c>
      <c r="C3706" t="s">
        <v>39</v>
      </c>
      <c r="D3706" t="s">
        <v>41</v>
      </c>
      <c r="E3706">
        <v>2000719270</v>
      </c>
      <c r="F3706">
        <v>450</v>
      </c>
      <c r="G3706">
        <v>270</v>
      </c>
      <c r="H3706">
        <v>0</v>
      </c>
      <c r="I3706" t="s">
        <v>661</v>
      </c>
      <c r="J3706" t="s">
        <v>698</v>
      </c>
      <c r="K3706" t="s">
        <v>700</v>
      </c>
      <c r="O3706">
        <v>0</v>
      </c>
      <c r="U3706" t="s">
        <v>81</v>
      </c>
    </row>
    <row r="3707" spans="1:21" x14ac:dyDescent="0.25">
      <c r="A3707" s="33">
        <v>3725</v>
      </c>
      <c r="B3707" s="24">
        <v>44274</v>
      </c>
      <c r="C3707" t="s">
        <v>39</v>
      </c>
      <c r="D3707" t="s">
        <v>41</v>
      </c>
      <c r="E3707">
        <v>2000719341</v>
      </c>
      <c r="F3707">
        <v>580</v>
      </c>
      <c r="G3707">
        <v>40</v>
      </c>
      <c r="H3707">
        <v>0</v>
      </c>
      <c r="I3707" t="s">
        <v>642</v>
      </c>
      <c r="J3707" t="s">
        <v>645</v>
      </c>
      <c r="K3707" t="s">
        <v>646</v>
      </c>
      <c r="O3707">
        <v>0</v>
      </c>
      <c r="U3707" t="s">
        <v>81</v>
      </c>
    </row>
    <row r="3708" spans="1:21" x14ac:dyDescent="0.25">
      <c r="A3708" s="33">
        <v>3726</v>
      </c>
      <c r="B3708" s="24">
        <v>44274</v>
      </c>
      <c r="C3708" t="s">
        <v>39</v>
      </c>
      <c r="D3708" t="s">
        <v>41</v>
      </c>
      <c r="E3708">
        <v>2000719966</v>
      </c>
      <c r="F3708">
        <v>780</v>
      </c>
      <c r="G3708">
        <v>80</v>
      </c>
      <c r="H3708">
        <v>0</v>
      </c>
      <c r="I3708" t="s">
        <v>642</v>
      </c>
      <c r="J3708" t="s">
        <v>175</v>
      </c>
      <c r="K3708" t="s">
        <v>758</v>
      </c>
      <c r="O3708">
        <v>0</v>
      </c>
      <c r="U3708" t="s">
        <v>81</v>
      </c>
    </row>
    <row r="3709" spans="1:21" x14ac:dyDescent="0.25">
      <c r="A3709" s="33">
        <v>3727</v>
      </c>
      <c r="B3709" s="24">
        <v>44274</v>
      </c>
      <c r="C3709" t="s">
        <v>39</v>
      </c>
      <c r="D3709" t="s">
        <v>41</v>
      </c>
      <c r="E3709">
        <v>2000719311</v>
      </c>
      <c r="F3709">
        <v>3700</v>
      </c>
      <c r="G3709">
        <v>200</v>
      </c>
      <c r="H3709">
        <v>0</v>
      </c>
      <c r="I3709" t="s">
        <v>642</v>
      </c>
      <c r="J3709" t="s">
        <v>172</v>
      </c>
      <c r="K3709" t="s">
        <v>173</v>
      </c>
      <c r="O3709">
        <v>0</v>
      </c>
      <c r="U3709" t="s">
        <v>81</v>
      </c>
    </row>
    <row r="3710" spans="1:21" x14ac:dyDescent="0.25">
      <c r="A3710" s="33">
        <v>3728</v>
      </c>
      <c r="B3710" s="24">
        <v>44274</v>
      </c>
      <c r="C3710" t="s">
        <v>39</v>
      </c>
      <c r="D3710" t="s">
        <v>41</v>
      </c>
      <c r="E3710">
        <v>2000719968</v>
      </c>
      <c r="F3710">
        <v>1030</v>
      </c>
      <c r="G3710">
        <v>120</v>
      </c>
      <c r="H3710">
        <v>0</v>
      </c>
      <c r="I3710" t="s">
        <v>642</v>
      </c>
      <c r="J3710" t="s">
        <v>645</v>
      </c>
      <c r="K3710" t="s">
        <v>790</v>
      </c>
      <c r="O3710">
        <v>0</v>
      </c>
      <c r="U3710" t="s">
        <v>81</v>
      </c>
    </row>
    <row r="3711" spans="1:21" x14ac:dyDescent="0.25">
      <c r="A3711" s="33">
        <v>3729</v>
      </c>
      <c r="B3711" s="24">
        <v>44274</v>
      </c>
      <c r="C3711" t="s">
        <v>39</v>
      </c>
      <c r="D3711" t="s">
        <v>41</v>
      </c>
      <c r="E3711">
        <v>2000719667</v>
      </c>
      <c r="F3711">
        <v>1900</v>
      </c>
      <c r="G3711">
        <v>90</v>
      </c>
      <c r="H3711">
        <v>0</v>
      </c>
      <c r="I3711" t="s">
        <v>178</v>
      </c>
      <c r="J3711" t="s">
        <v>169</v>
      </c>
      <c r="K3711" t="s">
        <v>179</v>
      </c>
      <c r="O3711">
        <v>0</v>
      </c>
      <c r="U3711" t="s">
        <v>81</v>
      </c>
    </row>
    <row r="3712" spans="1:21" x14ac:dyDescent="0.25">
      <c r="A3712" s="33">
        <v>3730</v>
      </c>
      <c r="B3712" s="24">
        <v>44274</v>
      </c>
      <c r="C3712" t="s">
        <v>39</v>
      </c>
      <c r="D3712" t="s">
        <v>41</v>
      </c>
      <c r="E3712">
        <v>2000719294</v>
      </c>
      <c r="F3712">
        <v>900</v>
      </c>
      <c r="G3712">
        <v>80</v>
      </c>
      <c r="H3712">
        <v>0</v>
      </c>
      <c r="I3712" t="s">
        <v>178</v>
      </c>
      <c r="J3712" t="s">
        <v>169</v>
      </c>
      <c r="K3712" t="s">
        <v>190</v>
      </c>
      <c r="O3712">
        <v>0</v>
      </c>
      <c r="U3712" t="s">
        <v>81</v>
      </c>
    </row>
    <row r="3713" spans="1:21" x14ac:dyDescent="0.25">
      <c r="A3713" s="33">
        <v>3731</v>
      </c>
      <c r="B3713" s="24">
        <v>44274</v>
      </c>
      <c r="C3713" t="s">
        <v>39</v>
      </c>
      <c r="D3713" t="s">
        <v>41</v>
      </c>
      <c r="E3713">
        <v>2000718451</v>
      </c>
      <c r="F3713">
        <v>2004</v>
      </c>
      <c r="G3713">
        <v>120</v>
      </c>
      <c r="H3713">
        <v>0</v>
      </c>
      <c r="I3713" t="s">
        <v>178</v>
      </c>
      <c r="J3713" t="s">
        <v>687</v>
      </c>
      <c r="K3713" t="s">
        <v>688</v>
      </c>
      <c r="O3713">
        <v>0</v>
      </c>
      <c r="U3713" t="s">
        <v>81</v>
      </c>
    </row>
    <row r="3714" spans="1:21" x14ac:dyDescent="0.25">
      <c r="A3714" s="33">
        <v>3732</v>
      </c>
      <c r="B3714" s="24">
        <v>44274</v>
      </c>
      <c r="C3714" t="s">
        <v>39</v>
      </c>
      <c r="D3714" t="s">
        <v>41</v>
      </c>
      <c r="E3714">
        <v>2000719662</v>
      </c>
      <c r="F3714">
        <v>130</v>
      </c>
      <c r="G3714">
        <v>130</v>
      </c>
      <c r="H3714">
        <v>0</v>
      </c>
      <c r="I3714" t="s">
        <v>178</v>
      </c>
      <c r="J3714" t="s">
        <v>170</v>
      </c>
      <c r="K3714" t="s">
        <v>206</v>
      </c>
      <c r="O3714">
        <v>0</v>
      </c>
      <c r="U3714" t="s">
        <v>81</v>
      </c>
    </row>
    <row r="3715" spans="1:21" x14ac:dyDescent="0.25">
      <c r="A3715" s="33">
        <v>3733</v>
      </c>
      <c r="B3715" s="24">
        <v>44274</v>
      </c>
      <c r="C3715" t="s">
        <v>39</v>
      </c>
      <c r="D3715" t="s">
        <v>41</v>
      </c>
      <c r="E3715">
        <v>2000719702</v>
      </c>
      <c r="F3715">
        <v>720</v>
      </c>
      <c r="G3715">
        <v>300</v>
      </c>
      <c r="H3715">
        <v>0</v>
      </c>
      <c r="I3715" t="s">
        <v>178</v>
      </c>
      <c r="J3715" t="s">
        <v>174</v>
      </c>
      <c r="K3715" t="s">
        <v>204</v>
      </c>
      <c r="O3715">
        <v>0</v>
      </c>
      <c r="U3715" t="s">
        <v>81</v>
      </c>
    </row>
    <row r="3716" spans="1:21" x14ac:dyDescent="0.25">
      <c r="A3716" s="33">
        <v>3734</v>
      </c>
      <c r="B3716" s="24">
        <v>44274</v>
      </c>
      <c r="C3716" t="s">
        <v>39</v>
      </c>
      <c r="D3716" t="s">
        <v>41</v>
      </c>
      <c r="E3716">
        <v>2000719024</v>
      </c>
      <c r="F3716">
        <v>1680</v>
      </c>
      <c r="G3716">
        <v>290</v>
      </c>
      <c r="H3716">
        <v>0</v>
      </c>
      <c r="I3716" t="s">
        <v>194</v>
      </c>
      <c r="J3716" t="s">
        <v>174</v>
      </c>
      <c r="K3716" t="s">
        <v>662</v>
      </c>
      <c r="O3716">
        <v>0</v>
      </c>
      <c r="U3716" t="s">
        <v>81</v>
      </c>
    </row>
    <row r="3717" spans="1:21" x14ac:dyDescent="0.25">
      <c r="A3717" s="33">
        <v>3735</v>
      </c>
      <c r="B3717" s="24">
        <v>44274</v>
      </c>
      <c r="C3717" t="s">
        <v>39</v>
      </c>
      <c r="D3717" t="s">
        <v>41</v>
      </c>
      <c r="E3717">
        <v>2000719716</v>
      </c>
      <c r="F3717">
        <v>1970</v>
      </c>
      <c r="G3717">
        <v>320</v>
      </c>
      <c r="H3717">
        <v>0</v>
      </c>
      <c r="I3717" t="s">
        <v>194</v>
      </c>
      <c r="J3717" t="s">
        <v>174</v>
      </c>
      <c r="K3717" t="s">
        <v>662</v>
      </c>
      <c r="O3717">
        <v>0</v>
      </c>
      <c r="U3717" t="s">
        <v>81</v>
      </c>
    </row>
    <row r="3718" spans="1:21" x14ac:dyDescent="0.25">
      <c r="A3718" s="33">
        <v>3736</v>
      </c>
      <c r="B3718" s="24">
        <v>44274</v>
      </c>
      <c r="C3718" t="s">
        <v>39</v>
      </c>
      <c r="D3718" t="s">
        <v>41</v>
      </c>
      <c r="E3718">
        <v>2000719965</v>
      </c>
      <c r="F3718">
        <v>240</v>
      </c>
      <c r="G3718">
        <v>20</v>
      </c>
      <c r="H3718">
        <v>0</v>
      </c>
      <c r="I3718" t="s">
        <v>194</v>
      </c>
      <c r="J3718" t="s">
        <v>175</v>
      </c>
      <c r="K3718" t="s">
        <v>808</v>
      </c>
      <c r="O3718">
        <v>0</v>
      </c>
      <c r="U3718" t="s">
        <v>81</v>
      </c>
    </row>
    <row r="3719" spans="1:21" x14ac:dyDescent="0.25">
      <c r="A3719" s="33">
        <v>3737</v>
      </c>
      <c r="B3719" s="24">
        <v>44274</v>
      </c>
      <c r="C3719" t="s">
        <v>39</v>
      </c>
      <c r="D3719" t="s">
        <v>41</v>
      </c>
      <c r="E3719">
        <v>2000719024</v>
      </c>
      <c r="F3719">
        <v>1680</v>
      </c>
      <c r="G3719">
        <v>340</v>
      </c>
      <c r="H3719">
        <v>0</v>
      </c>
      <c r="I3719" t="s">
        <v>666</v>
      </c>
      <c r="J3719" t="s">
        <v>174</v>
      </c>
      <c r="K3719" t="s">
        <v>662</v>
      </c>
      <c r="O3719">
        <v>0</v>
      </c>
      <c r="U3719" t="s">
        <v>81</v>
      </c>
    </row>
    <row r="3720" spans="1:21" x14ac:dyDescent="0.25">
      <c r="A3720" s="33">
        <v>3738</v>
      </c>
      <c r="B3720" s="24">
        <v>44274</v>
      </c>
      <c r="C3720" t="s">
        <v>39</v>
      </c>
      <c r="D3720" t="s">
        <v>41</v>
      </c>
      <c r="E3720">
        <v>2000719716</v>
      </c>
      <c r="F3720">
        <v>1970</v>
      </c>
      <c r="G3720">
        <v>440</v>
      </c>
      <c r="H3720">
        <v>0</v>
      </c>
      <c r="I3720" t="s">
        <v>666</v>
      </c>
      <c r="J3720" t="s">
        <v>174</v>
      </c>
      <c r="K3720" t="s">
        <v>662</v>
      </c>
      <c r="O3720">
        <v>0</v>
      </c>
      <c r="U3720" t="s">
        <v>81</v>
      </c>
    </row>
    <row r="3721" spans="1:21" x14ac:dyDescent="0.25">
      <c r="A3721" s="33">
        <v>3739</v>
      </c>
      <c r="B3721" s="24">
        <v>44274</v>
      </c>
      <c r="C3721" t="s">
        <v>39</v>
      </c>
      <c r="D3721" t="s">
        <v>41</v>
      </c>
      <c r="E3721">
        <v>2000719312</v>
      </c>
      <c r="F3721">
        <v>290</v>
      </c>
      <c r="G3721">
        <v>110</v>
      </c>
      <c r="H3721">
        <v>0</v>
      </c>
      <c r="I3721" t="s">
        <v>168</v>
      </c>
      <c r="J3721" t="s">
        <v>203</v>
      </c>
      <c r="K3721" t="s">
        <v>639</v>
      </c>
      <c r="O3721">
        <v>0</v>
      </c>
      <c r="U3721" t="s">
        <v>81</v>
      </c>
    </row>
    <row r="3722" spans="1:21" x14ac:dyDescent="0.25">
      <c r="A3722" s="33">
        <v>3740</v>
      </c>
      <c r="B3722" s="24">
        <v>44274</v>
      </c>
      <c r="C3722" t="s">
        <v>39</v>
      </c>
      <c r="D3722" t="s">
        <v>41</v>
      </c>
      <c r="E3722">
        <v>2000719313</v>
      </c>
      <c r="F3722">
        <v>410</v>
      </c>
      <c r="G3722">
        <v>292</v>
      </c>
      <c r="H3722">
        <v>0</v>
      </c>
      <c r="I3722" t="s">
        <v>168</v>
      </c>
      <c r="J3722" t="s">
        <v>203</v>
      </c>
      <c r="K3722" t="s">
        <v>768</v>
      </c>
      <c r="O3722">
        <v>0</v>
      </c>
      <c r="U3722" t="s">
        <v>81</v>
      </c>
    </row>
    <row r="3723" spans="1:21" x14ac:dyDescent="0.25">
      <c r="A3723" s="33">
        <v>3741</v>
      </c>
      <c r="B3723" s="24">
        <v>44274</v>
      </c>
      <c r="C3723" t="s">
        <v>39</v>
      </c>
      <c r="D3723" t="s">
        <v>41</v>
      </c>
      <c r="E3723">
        <v>2000710876</v>
      </c>
      <c r="F3723">
        <v>390</v>
      </c>
      <c r="G3723">
        <v>8</v>
      </c>
      <c r="H3723">
        <v>0</v>
      </c>
      <c r="I3723" t="s">
        <v>168</v>
      </c>
      <c r="J3723" t="s">
        <v>203</v>
      </c>
      <c r="K3723" t="s">
        <v>639</v>
      </c>
      <c r="O3723">
        <v>0</v>
      </c>
      <c r="U3723" t="s">
        <v>81</v>
      </c>
    </row>
    <row r="3724" spans="1:21" x14ac:dyDescent="0.25">
      <c r="A3724" s="33">
        <v>3742</v>
      </c>
      <c r="B3724" s="24">
        <v>44274</v>
      </c>
      <c r="C3724" t="s">
        <v>39</v>
      </c>
      <c r="D3724" t="s">
        <v>41</v>
      </c>
      <c r="E3724">
        <v>2000719549</v>
      </c>
      <c r="F3724">
        <v>522</v>
      </c>
      <c r="G3724">
        <v>150</v>
      </c>
      <c r="H3724">
        <v>0</v>
      </c>
      <c r="I3724" t="s">
        <v>168</v>
      </c>
      <c r="J3724" t="s">
        <v>203</v>
      </c>
      <c r="K3724" t="s">
        <v>793</v>
      </c>
      <c r="O3724">
        <v>0</v>
      </c>
      <c r="U3724" t="s">
        <v>81</v>
      </c>
    </row>
    <row r="3725" spans="1:21" x14ac:dyDescent="0.25">
      <c r="A3725" s="33">
        <v>3743</v>
      </c>
      <c r="B3725" s="24">
        <v>44274</v>
      </c>
      <c r="C3725" t="s">
        <v>39</v>
      </c>
      <c r="D3725" t="s">
        <v>41</v>
      </c>
      <c r="E3725">
        <v>2000719041</v>
      </c>
      <c r="F3725">
        <v>3200</v>
      </c>
      <c r="G3725">
        <v>800</v>
      </c>
      <c r="H3725">
        <v>0</v>
      </c>
      <c r="I3725" t="s">
        <v>789</v>
      </c>
      <c r="J3725" t="s">
        <v>203</v>
      </c>
      <c r="K3725" t="s">
        <v>788</v>
      </c>
      <c r="O3725">
        <v>0</v>
      </c>
      <c r="U3725" t="s">
        <v>81</v>
      </c>
    </row>
    <row r="3726" spans="1:21" x14ac:dyDescent="0.25">
      <c r="A3726" s="33">
        <v>3744</v>
      </c>
      <c r="B3726" s="24">
        <v>44274</v>
      </c>
      <c r="C3726" t="s">
        <v>39</v>
      </c>
      <c r="D3726" t="s">
        <v>41</v>
      </c>
      <c r="E3726">
        <v>2000719038</v>
      </c>
      <c r="F3726">
        <v>2088</v>
      </c>
      <c r="G3726">
        <v>108</v>
      </c>
      <c r="H3726">
        <v>0</v>
      </c>
      <c r="I3726" t="s">
        <v>789</v>
      </c>
      <c r="J3726" t="s">
        <v>745</v>
      </c>
      <c r="K3726" t="s">
        <v>849</v>
      </c>
      <c r="O3726">
        <v>0</v>
      </c>
      <c r="U3726" t="s">
        <v>81</v>
      </c>
    </row>
    <row r="3727" spans="1:21" x14ac:dyDescent="0.25">
      <c r="A3727" s="33">
        <v>3745</v>
      </c>
      <c r="B3727" s="24">
        <v>44274</v>
      </c>
      <c r="C3727" t="s">
        <v>39</v>
      </c>
      <c r="D3727" t="s">
        <v>41</v>
      </c>
      <c r="E3727">
        <v>2000719308</v>
      </c>
      <c r="F3727">
        <v>1700</v>
      </c>
      <c r="G3727">
        <v>200</v>
      </c>
      <c r="H3727">
        <v>0</v>
      </c>
      <c r="I3727" t="s">
        <v>201</v>
      </c>
      <c r="J3727" t="s">
        <v>172</v>
      </c>
      <c r="K3727" t="s">
        <v>725</v>
      </c>
      <c r="O3727">
        <v>0</v>
      </c>
      <c r="U3727" t="s">
        <v>81</v>
      </c>
    </row>
    <row r="3728" spans="1:21" x14ac:dyDescent="0.25">
      <c r="A3728" s="33">
        <v>3746</v>
      </c>
      <c r="B3728" s="24">
        <v>44274</v>
      </c>
      <c r="C3728" t="s">
        <v>39</v>
      </c>
      <c r="D3728" t="s">
        <v>41</v>
      </c>
      <c r="E3728">
        <v>2000719351</v>
      </c>
      <c r="F3728">
        <v>3000</v>
      </c>
      <c r="G3728">
        <v>200</v>
      </c>
      <c r="H3728">
        <v>0</v>
      </c>
      <c r="I3728" t="s">
        <v>201</v>
      </c>
      <c r="J3728" t="s">
        <v>172</v>
      </c>
      <c r="K3728" t="s">
        <v>729</v>
      </c>
      <c r="O3728">
        <v>0</v>
      </c>
      <c r="U3728" t="s">
        <v>81</v>
      </c>
    </row>
    <row r="3729" spans="1:21" x14ac:dyDescent="0.25">
      <c r="A3729" s="33">
        <v>3747</v>
      </c>
      <c r="B3729" s="24">
        <v>44274</v>
      </c>
      <c r="C3729" t="s">
        <v>39</v>
      </c>
      <c r="D3729" t="s">
        <v>41</v>
      </c>
      <c r="E3729">
        <v>2000719042</v>
      </c>
      <c r="F3729">
        <v>4240</v>
      </c>
      <c r="G3729">
        <v>300</v>
      </c>
      <c r="H3729">
        <v>0</v>
      </c>
      <c r="I3729" t="s">
        <v>201</v>
      </c>
      <c r="J3729" t="s">
        <v>199</v>
      </c>
      <c r="K3729" t="s">
        <v>660</v>
      </c>
      <c r="O3729">
        <v>0</v>
      </c>
      <c r="U3729" t="s">
        <v>81</v>
      </c>
    </row>
    <row r="3730" spans="1:21" x14ac:dyDescent="0.25">
      <c r="A3730" s="33">
        <v>3748</v>
      </c>
      <c r="B3730" s="24">
        <v>44274</v>
      </c>
      <c r="C3730" t="s">
        <v>39</v>
      </c>
      <c r="D3730" t="s">
        <v>41</v>
      </c>
      <c r="E3730">
        <v>2000718821</v>
      </c>
      <c r="F3730">
        <v>1480</v>
      </c>
      <c r="G3730">
        <v>240</v>
      </c>
      <c r="H3730">
        <v>0</v>
      </c>
      <c r="I3730" t="s">
        <v>201</v>
      </c>
      <c r="J3730" t="s">
        <v>203</v>
      </c>
      <c r="K3730" t="s">
        <v>640</v>
      </c>
      <c r="O3730">
        <v>0</v>
      </c>
      <c r="U3730" t="s">
        <v>81</v>
      </c>
    </row>
    <row r="3731" spans="1:21" x14ac:dyDescent="0.25">
      <c r="A3731" s="33">
        <v>3749</v>
      </c>
      <c r="B3731" s="24">
        <v>44274</v>
      </c>
      <c r="C3731" t="s">
        <v>39</v>
      </c>
      <c r="D3731" t="s">
        <v>41</v>
      </c>
      <c r="E3731">
        <v>2000719041</v>
      </c>
      <c r="F3731">
        <v>3200</v>
      </c>
      <c r="G3731">
        <v>1200</v>
      </c>
      <c r="H3731">
        <v>0</v>
      </c>
      <c r="I3731" t="s">
        <v>201</v>
      </c>
      <c r="J3731" t="s">
        <v>203</v>
      </c>
      <c r="K3731" t="s">
        <v>788</v>
      </c>
      <c r="O3731">
        <v>0</v>
      </c>
      <c r="U3731" t="s">
        <v>81</v>
      </c>
    </row>
    <row r="3732" spans="1:21" x14ac:dyDescent="0.25">
      <c r="A3732" s="33">
        <v>3750</v>
      </c>
      <c r="B3732" s="24">
        <v>44274</v>
      </c>
      <c r="C3732" t="s">
        <v>39</v>
      </c>
      <c r="D3732" t="s">
        <v>41</v>
      </c>
      <c r="E3732">
        <v>2000719060</v>
      </c>
      <c r="F3732">
        <v>2800</v>
      </c>
      <c r="G3732">
        <v>200</v>
      </c>
      <c r="H3732">
        <v>0</v>
      </c>
      <c r="I3732" t="s">
        <v>201</v>
      </c>
      <c r="J3732" t="s">
        <v>645</v>
      </c>
      <c r="K3732" t="s">
        <v>756</v>
      </c>
      <c r="O3732">
        <v>0</v>
      </c>
      <c r="U3732" t="s">
        <v>81</v>
      </c>
    </row>
    <row r="3733" spans="1:21" x14ac:dyDescent="0.25">
      <c r="A3733" s="33">
        <v>3751</v>
      </c>
      <c r="B3733" s="24">
        <v>44274</v>
      </c>
      <c r="C3733" t="s">
        <v>39</v>
      </c>
      <c r="D3733" t="s">
        <v>41</v>
      </c>
      <c r="E3733">
        <v>2000719062</v>
      </c>
      <c r="F3733">
        <v>2800</v>
      </c>
      <c r="G3733">
        <v>150</v>
      </c>
      <c r="H3733">
        <v>0</v>
      </c>
      <c r="I3733" t="s">
        <v>201</v>
      </c>
      <c r="J3733" t="s">
        <v>645</v>
      </c>
      <c r="K3733" t="s">
        <v>658</v>
      </c>
      <c r="O3733">
        <v>0</v>
      </c>
      <c r="U3733" t="s">
        <v>81</v>
      </c>
    </row>
    <row r="3734" spans="1:21" x14ac:dyDescent="0.25">
      <c r="A3734" s="33">
        <v>3752</v>
      </c>
      <c r="B3734" s="24">
        <v>44274</v>
      </c>
      <c r="C3734" t="s">
        <v>39</v>
      </c>
      <c r="D3734" t="s">
        <v>41</v>
      </c>
      <c r="E3734">
        <v>2000718472</v>
      </c>
      <c r="F3734">
        <v>1600</v>
      </c>
      <c r="G3734">
        <v>160</v>
      </c>
      <c r="H3734">
        <v>0</v>
      </c>
      <c r="I3734" t="s">
        <v>201</v>
      </c>
      <c r="J3734" t="s">
        <v>193</v>
      </c>
      <c r="K3734" t="s">
        <v>686</v>
      </c>
      <c r="O3734">
        <v>0</v>
      </c>
      <c r="U3734" t="s">
        <v>81</v>
      </c>
    </row>
    <row r="3735" spans="1:21" x14ac:dyDescent="0.25">
      <c r="A3735" s="33">
        <v>3753</v>
      </c>
      <c r="B3735" s="24">
        <v>44274</v>
      </c>
      <c r="C3735" t="s">
        <v>39</v>
      </c>
      <c r="D3735" t="s">
        <v>41</v>
      </c>
      <c r="E3735">
        <v>2000719310</v>
      </c>
      <c r="F3735">
        <v>3700</v>
      </c>
      <c r="G3735">
        <v>200</v>
      </c>
      <c r="H3735">
        <v>0</v>
      </c>
      <c r="I3735" t="s">
        <v>201</v>
      </c>
      <c r="J3735" t="s">
        <v>172</v>
      </c>
      <c r="K3735" t="s">
        <v>725</v>
      </c>
      <c r="O3735">
        <v>0</v>
      </c>
      <c r="U3735" t="s">
        <v>81</v>
      </c>
    </row>
    <row r="3736" spans="1:21" x14ac:dyDescent="0.25">
      <c r="A3736" s="33">
        <v>3754</v>
      </c>
      <c r="B3736" s="24">
        <v>44274</v>
      </c>
      <c r="C3736" t="s">
        <v>39</v>
      </c>
      <c r="D3736" t="s">
        <v>41</v>
      </c>
      <c r="E3736">
        <v>2000718824</v>
      </c>
      <c r="F3736">
        <v>1140</v>
      </c>
      <c r="G3736">
        <v>120</v>
      </c>
      <c r="H3736">
        <v>0</v>
      </c>
      <c r="I3736" t="s">
        <v>201</v>
      </c>
      <c r="J3736" t="s">
        <v>745</v>
      </c>
      <c r="K3736" t="s">
        <v>746</v>
      </c>
      <c r="O3736">
        <v>0</v>
      </c>
      <c r="U3736" t="s">
        <v>81</v>
      </c>
    </row>
    <row r="3737" spans="1:21" x14ac:dyDescent="0.25">
      <c r="A3737" s="33">
        <v>3755</v>
      </c>
      <c r="B3737" s="24">
        <v>44274</v>
      </c>
      <c r="C3737" t="s">
        <v>39</v>
      </c>
      <c r="D3737" t="s">
        <v>41</v>
      </c>
      <c r="E3737">
        <v>2000718824</v>
      </c>
      <c r="F3737">
        <v>1140</v>
      </c>
      <c r="G3737">
        <v>160</v>
      </c>
      <c r="H3737">
        <v>0</v>
      </c>
      <c r="I3737" t="s">
        <v>1065</v>
      </c>
      <c r="J3737" t="s">
        <v>745</v>
      </c>
      <c r="K3737" t="s">
        <v>746</v>
      </c>
      <c r="O3737">
        <v>0</v>
      </c>
      <c r="U3737" t="s">
        <v>81</v>
      </c>
    </row>
    <row r="3738" spans="1:21" x14ac:dyDescent="0.25">
      <c r="A3738" s="33">
        <v>3756</v>
      </c>
      <c r="B3738" s="24">
        <v>44274</v>
      </c>
      <c r="C3738" t="s">
        <v>39</v>
      </c>
      <c r="D3738" t="s">
        <v>41</v>
      </c>
      <c r="E3738">
        <v>2000718819</v>
      </c>
      <c r="F3738">
        <v>1800</v>
      </c>
      <c r="G3738">
        <v>80</v>
      </c>
      <c r="H3738">
        <v>0</v>
      </c>
      <c r="I3738" t="s">
        <v>1065</v>
      </c>
      <c r="J3738" t="s">
        <v>745</v>
      </c>
      <c r="K3738" t="s">
        <v>746</v>
      </c>
      <c r="O3738">
        <v>0</v>
      </c>
      <c r="U3738" t="s">
        <v>81</v>
      </c>
    </row>
    <row r="3739" spans="1:21" x14ac:dyDescent="0.25">
      <c r="A3739" s="33">
        <v>3757</v>
      </c>
      <c r="B3739" s="24">
        <v>44274</v>
      </c>
      <c r="C3739" t="s">
        <v>39</v>
      </c>
      <c r="D3739" t="s">
        <v>41</v>
      </c>
      <c r="E3739">
        <v>2000719035</v>
      </c>
      <c r="F3739">
        <v>1302</v>
      </c>
      <c r="G3739">
        <v>452</v>
      </c>
      <c r="H3739">
        <v>0</v>
      </c>
      <c r="I3739" t="s">
        <v>1065</v>
      </c>
      <c r="J3739" t="s">
        <v>745</v>
      </c>
      <c r="K3739" t="s">
        <v>857</v>
      </c>
      <c r="O3739">
        <v>0</v>
      </c>
      <c r="U3739" t="s">
        <v>81</v>
      </c>
    </row>
    <row r="3740" spans="1:21" x14ac:dyDescent="0.25">
      <c r="A3740" s="33">
        <v>3758</v>
      </c>
      <c r="B3740" s="24">
        <v>44274</v>
      </c>
      <c r="C3740" t="s">
        <v>39</v>
      </c>
      <c r="D3740" t="s">
        <v>41</v>
      </c>
      <c r="E3740">
        <v>2000719038</v>
      </c>
      <c r="F3740">
        <v>2088</v>
      </c>
      <c r="G3740">
        <v>990</v>
      </c>
      <c r="H3740">
        <v>0</v>
      </c>
      <c r="I3740" t="s">
        <v>1065</v>
      </c>
      <c r="J3740" t="s">
        <v>745</v>
      </c>
      <c r="K3740" t="s">
        <v>849</v>
      </c>
      <c r="O3740">
        <v>0</v>
      </c>
      <c r="U3740" t="s">
        <v>81</v>
      </c>
    </row>
    <row r="3741" spans="1:21" x14ac:dyDescent="0.25">
      <c r="A3741" s="33">
        <v>3759</v>
      </c>
      <c r="B3741" s="24">
        <v>44274</v>
      </c>
      <c r="C3741" t="s">
        <v>39</v>
      </c>
      <c r="D3741" t="s">
        <v>41</v>
      </c>
      <c r="E3741">
        <v>2000718217</v>
      </c>
      <c r="F3741">
        <v>2000</v>
      </c>
      <c r="G3741">
        <v>150</v>
      </c>
      <c r="H3741">
        <v>0</v>
      </c>
      <c r="I3741" t="s">
        <v>1065</v>
      </c>
      <c r="J3741" t="s">
        <v>193</v>
      </c>
      <c r="K3741" t="s">
        <v>683</v>
      </c>
      <c r="O3741">
        <v>0</v>
      </c>
      <c r="U3741" t="s">
        <v>81</v>
      </c>
    </row>
    <row r="3742" spans="1:21" x14ac:dyDescent="0.25">
      <c r="A3742" s="33">
        <v>3760</v>
      </c>
      <c r="B3742" s="24">
        <v>44274</v>
      </c>
      <c r="C3742" t="s">
        <v>39</v>
      </c>
      <c r="D3742" t="s">
        <v>51</v>
      </c>
      <c r="E3742">
        <v>2000718798</v>
      </c>
      <c r="F3742">
        <v>450</v>
      </c>
      <c r="G3742">
        <v>50</v>
      </c>
      <c r="H3742">
        <v>0</v>
      </c>
      <c r="I3742" t="s">
        <v>191</v>
      </c>
      <c r="J3742" t="s">
        <v>676</v>
      </c>
      <c r="K3742" t="s">
        <v>677</v>
      </c>
      <c r="O3742">
        <v>0</v>
      </c>
      <c r="U3742" t="s">
        <v>81</v>
      </c>
    </row>
    <row r="3743" spans="1:21" x14ac:dyDescent="0.25">
      <c r="A3743" s="33">
        <v>3761</v>
      </c>
      <c r="B3743" s="24">
        <v>44274</v>
      </c>
      <c r="C3743" t="s">
        <v>39</v>
      </c>
      <c r="D3743" t="s">
        <v>51</v>
      </c>
      <c r="E3743">
        <v>2000719228</v>
      </c>
      <c r="F3743">
        <v>600</v>
      </c>
      <c r="G3743">
        <v>40</v>
      </c>
      <c r="H3743">
        <v>0</v>
      </c>
      <c r="I3743" t="s">
        <v>191</v>
      </c>
      <c r="J3743" t="s">
        <v>669</v>
      </c>
      <c r="K3743" t="s">
        <v>712</v>
      </c>
      <c r="O3743">
        <v>0</v>
      </c>
      <c r="U3743" t="s">
        <v>81</v>
      </c>
    </row>
    <row r="3744" spans="1:21" x14ac:dyDescent="0.25">
      <c r="A3744" s="33">
        <v>3762</v>
      </c>
      <c r="B3744" s="24">
        <v>44274</v>
      </c>
      <c r="C3744" t="s">
        <v>39</v>
      </c>
      <c r="D3744" t="s">
        <v>51</v>
      </c>
      <c r="E3744">
        <v>2000719227</v>
      </c>
      <c r="F3744">
        <v>400</v>
      </c>
      <c r="G3744">
        <v>198</v>
      </c>
      <c r="H3744">
        <v>0</v>
      </c>
      <c r="I3744" t="s">
        <v>191</v>
      </c>
      <c r="J3744" t="s">
        <v>673</v>
      </c>
      <c r="K3744" t="s">
        <v>791</v>
      </c>
      <c r="O3744">
        <v>0</v>
      </c>
      <c r="U3744" t="s">
        <v>81</v>
      </c>
    </row>
    <row r="3745" spans="1:21" x14ac:dyDescent="0.25">
      <c r="A3745" s="33">
        <v>3763</v>
      </c>
      <c r="B3745" s="24">
        <v>44274</v>
      </c>
      <c r="C3745" t="s">
        <v>39</v>
      </c>
      <c r="D3745" t="s">
        <v>51</v>
      </c>
      <c r="E3745">
        <v>2000719506</v>
      </c>
      <c r="F3745">
        <v>450</v>
      </c>
      <c r="G3745">
        <v>70</v>
      </c>
      <c r="H3745">
        <v>0</v>
      </c>
      <c r="I3745" t="s">
        <v>191</v>
      </c>
      <c r="J3745" t="s">
        <v>667</v>
      </c>
      <c r="K3745" t="s">
        <v>671</v>
      </c>
      <c r="O3745">
        <v>0</v>
      </c>
      <c r="U3745" t="s">
        <v>81</v>
      </c>
    </row>
    <row r="3746" spans="1:21" x14ac:dyDescent="0.25">
      <c r="A3746" s="33">
        <v>3764</v>
      </c>
      <c r="B3746" s="24">
        <v>44274</v>
      </c>
      <c r="C3746" t="s">
        <v>39</v>
      </c>
      <c r="D3746" t="s">
        <v>51</v>
      </c>
      <c r="E3746">
        <v>2000719507</v>
      </c>
      <c r="F3746">
        <v>450</v>
      </c>
      <c r="G3746">
        <v>140</v>
      </c>
      <c r="H3746">
        <v>0</v>
      </c>
      <c r="I3746" t="s">
        <v>191</v>
      </c>
      <c r="J3746" t="s">
        <v>667</v>
      </c>
      <c r="K3746" t="s">
        <v>671</v>
      </c>
      <c r="O3746">
        <v>0</v>
      </c>
      <c r="U3746" t="s">
        <v>81</v>
      </c>
    </row>
    <row r="3747" spans="1:21" x14ac:dyDescent="0.25">
      <c r="A3747" s="33">
        <v>3765</v>
      </c>
      <c r="B3747" s="24">
        <v>44274</v>
      </c>
      <c r="C3747" t="s">
        <v>39</v>
      </c>
      <c r="D3747" t="s">
        <v>51</v>
      </c>
      <c r="E3747">
        <v>2000715658</v>
      </c>
      <c r="F3747">
        <v>400</v>
      </c>
      <c r="G3747">
        <v>19</v>
      </c>
      <c r="H3747">
        <v>0</v>
      </c>
      <c r="I3747" t="s">
        <v>191</v>
      </c>
      <c r="J3747" t="s">
        <v>676</v>
      </c>
      <c r="K3747" t="s">
        <v>874</v>
      </c>
      <c r="O3747">
        <v>0</v>
      </c>
      <c r="U3747" t="s">
        <v>81</v>
      </c>
    </row>
    <row r="3748" spans="1:21" x14ac:dyDescent="0.25">
      <c r="A3748" s="33">
        <v>3766</v>
      </c>
      <c r="B3748" s="24">
        <v>44274</v>
      </c>
      <c r="C3748" t="s">
        <v>39</v>
      </c>
      <c r="D3748" t="s">
        <v>51</v>
      </c>
      <c r="E3748">
        <v>2000718984</v>
      </c>
      <c r="F3748">
        <v>620</v>
      </c>
      <c r="G3748">
        <v>120</v>
      </c>
      <c r="H3748">
        <v>0</v>
      </c>
      <c r="I3748" t="s">
        <v>191</v>
      </c>
      <c r="J3748" t="s">
        <v>676</v>
      </c>
      <c r="K3748" t="s">
        <v>874</v>
      </c>
      <c r="O3748">
        <v>0</v>
      </c>
      <c r="U3748" t="s">
        <v>81</v>
      </c>
    </row>
    <row r="3749" spans="1:21" x14ac:dyDescent="0.25">
      <c r="A3749" s="33">
        <v>3767</v>
      </c>
      <c r="B3749" s="24">
        <v>44274</v>
      </c>
      <c r="C3749" t="s">
        <v>39</v>
      </c>
      <c r="D3749" t="s">
        <v>51</v>
      </c>
      <c r="E3749">
        <v>2000719527</v>
      </c>
      <c r="F3749">
        <v>380</v>
      </c>
      <c r="G3749">
        <v>160</v>
      </c>
      <c r="H3749">
        <v>0</v>
      </c>
      <c r="I3749" t="s">
        <v>191</v>
      </c>
      <c r="J3749" t="s">
        <v>673</v>
      </c>
      <c r="K3749" t="s">
        <v>708</v>
      </c>
      <c r="O3749">
        <v>0</v>
      </c>
      <c r="U3749" t="s">
        <v>81</v>
      </c>
    </row>
    <row r="3750" spans="1:21" x14ac:dyDescent="0.25">
      <c r="A3750" s="33">
        <v>3768</v>
      </c>
      <c r="B3750" s="24">
        <v>44274</v>
      </c>
      <c r="C3750" t="s">
        <v>39</v>
      </c>
      <c r="D3750" t="s">
        <v>51</v>
      </c>
      <c r="E3750">
        <v>2000719004</v>
      </c>
      <c r="F3750">
        <v>15</v>
      </c>
      <c r="G3750">
        <v>15</v>
      </c>
      <c r="H3750">
        <v>0</v>
      </c>
      <c r="I3750" t="s">
        <v>191</v>
      </c>
      <c r="J3750" t="s">
        <v>669</v>
      </c>
      <c r="K3750" t="s">
        <v>778</v>
      </c>
      <c r="O3750">
        <v>0</v>
      </c>
      <c r="U3750" t="s">
        <v>81</v>
      </c>
    </row>
    <row r="3751" spans="1:21" x14ac:dyDescent="0.25">
      <c r="A3751" s="33">
        <v>3769</v>
      </c>
      <c r="B3751" s="24">
        <v>44274</v>
      </c>
      <c r="C3751" t="s">
        <v>39</v>
      </c>
      <c r="D3751" t="s">
        <v>51</v>
      </c>
      <c r="E3751">
        <v>2000717315</v>
      </c>
      <c r="F3751">
        <v>326</v>
      </c>
      <c r="G3751">
        <v>1</v>
      </c>
      <c r="H3751">
        <v>0</v>
      </c>
      <c r="I3751" t="s">
        <v>191</v>
      </c>
      <c r="J3751" t="s">
        <v>669</v>
      </c>
      <c r="K3751" t="s">
        <v>755</v>
      </c>
      <c r="O3751">
        <v>0</v>
      </c>
      <c r="U3751" t="s">
        <v>81</v>
      </c>
    </row>
    <row r="3752" spans="1:21" x14ac:dyDescent="0.25">
      <c r="A3752" s="33">
        <v>3770</v>
      </c>
      <c r="B3752" s="24">
        <v>44274</v>
      </c>
      <c r="C3752" t="s">
        <v>39</v>
      </c>
      <c r="D3752" t="s">
        <v>51</v>
      </c>
      <c r="E3752">
        <v>2000719232</v>
      </c>
      <c r="F3752">
        <v>945</v>
      </c>
      <c r="G3752">
        <v>10</v>
      </c>
      <c r="H3752">
        <v>0</v>
      </c>
      <c r="I3752" t="s">
        <v>191</v>
      </c>
      <c r="J3752" t="s">
        <v>673</v>
      </c>
      <c r="K3752" t="s">
        <v>951</v>
      </c>
      <c r="O3752">
        <v>0</v>
      </c>
      <c r="U3752" t="s">
        <v>81</v>
      </c>
    </row>
    <row r="3753" spans="1:21" x14ac:dyDescent="0.25">
      <c r="A3753" s="33">
        <v>3771</v>
      </c>
      <c r="B3753" s="24">
        <v>44274</v>
      </c>
      <c r="C3753" t="s">
        <v>181</v>
      </c>
      <c r="D3753" t="s">
        <v>41</v>
      </c>
      <c r="E3753">
        <v>2000719716</v>
      </c>
      <c r="F3753">
        <v>1970</v>
      </c>
      <c r="G3753">
        <v>520</v>
      </c>
      <c r="H3753">
        <v>0</v>
      </c>
      <c r="I3753" t="s">
        <v>696</v>
      </c>
      <c r="J3753" t="s">
        <v>174</v>
      </c>
      <c r="K3753" t="s">
        <v>662</v>
      </c>
      <c r="O3753">
        <v>0</v>
      </c>
      <c r="U3753" t="s">
        <v>81</v>
      </c>
    </row>
    <row r="3754" spans="1:21" x14ac:dyDescent="0.25">
      <c r="A3754" s="33">
        <v>3772</v>
      </c>
      <c r="B3754" s="24">
        <v>44274</v>
      </c>
      <c r="C3754" t="s">
        <v>181</v>
      </c>
      <c r="D3754" t="s">
        <v>41</v>
      </c>
      <c r="E3754">
        <v>2000719270</v>
      </c>
      <c r="F3754">
        <v>450</v>
      </c>
      <c r="G3754">
        <v>173</v>
      </c>
      <c r="H3754">
        <v>0</v>
      </c>
      <c r="I3754" t="s">
        <v>693</v>
      </c>
      <c r="J3754" t="s">
        <v>698</v>
      </c>
      <c r="K3754" t="s">
        <v>700</v>
      </c>
      <c r="O3754">
        <v>0</v>
      </c>
      <c r="U3754" t="s">
        <v>81</v>
      </c>
    </row>
    <row r="3755" spans="1:21" x14ac:dyDescent="0.25">
      <c r="A3755" s="33">
        <v>3773</v>
      </c>
      <c r="B3755" s="24">
        <v>44274</v>
      </c>
      <c r="C3755" t="s">
        <v>181</v>
      </c>
      <c r="D3755" t="s">
        <v>41</v>
      </c>
      <c r="E3755">
        <v>2000719271</v>
      </c>
      <c r="F3755">
        <v>1300</v>
      </c>
      <c r="G3755">
        <v>585</v>
      </c>
      <c r="H3755">
        <v>1</v>
      </c>
      <c r="I3755" t="s">
        <v>693</v>
      </c>
      <c r="J3755" t="s">
        <v>170</v>
      </c>
      <c r="K3755" t="s">
        <v>732</v>
      </c>
      <c r="L3755" t="s">
        <v>114</v>
      </c>
      <c r="N3755" t="s">
        <v>1113</v>
      </c>
      <c r="O3755">
        <v>1</v>
      </c>
      <c r="P3755" t="s">
        <v>1114</v>
      </c>
      <c r="Q3755" t="s">
        <v>1115</v>
      </c>
      <c r="R3755">
        <v>6740009950</v>
      </c>
      <c r="S3755" s="36">
        <v>0.10555555555555556</v>
      </c>
      <c r="U3755" t="s">
        <v>81</v>
      </c>
    </row>
    <row r="3756" spans="1:21" x14ac:dyDescent="0.25">
      <c r="A3756" s="33">
        <v>3774</v>
      </c>
      <c r="B3756" s="24">
        <v>44274</v>
      </c>
      <c r="C3756" t="s">
        <v>181</v>
      </c>
      <c r="D3756" t="s">
        <v>41</v>
      </c>
      <c r="E3756">
        <v>2000719271</v>
      </c>
      <c r="F3756">
        <v>1300</v>
      </c>
      <c r="G3756">
        <v>90</v>
      </c>
      <c r="H3756">
        <v>0</v>
      </c>
      <c r="I3756" t="s">
        <v>706</v>
      </c>
      <c r="J3756" t="s">
        <v>170</v>
      </c>
      <c r="K3756" t="s">
        <v>732</v>
      </c>
      <c r="O3756">
        <v>0</v>
      </c>
      <c r="U3756" t="s">
        <v>81</v>
      </c>
    </row>
    <row r="3757" spans="1:21" x14ac:dyDescent="0.25">
      <c r="A3757" s="33">
        <v>3775</v>
      </c>
      <c r="B3757" s="24">
        <v>44274</v>
      </c>
      <c r="C3757" t="s">
        <v>181</v>
      </c>
      <c r="D3757" t="s">
        <v>41</v>
      </c>
      <c r="E3757">
        <v>2000719061</v>
      </c>
      <c r="F3757">
        <v>2800</v>
      </c>
      <c r="G3757">
        <v>200</v>
      </c>
      <c r="H3757">
        <v>0</v>
      </c>
      <c r="I3757" t="s">
        <v>680</v>
      </c>
      <c r="J3757" t="s">
        <v>645</v>
      </c>
      <c r="K3757" t="s">
        <v>739</v>
      </c>
      <c r="O3757">
        <v>0</v>
      </c>
      <c r="U3757" t="s">
        <v>81</v>
      </c>
    </row>
    <row r="3758" spans="1:21" x14ac:dyDescent="0.25">
      <c r="A3758" s="33">
        <v>3776</v>
      </c>
      <c r="B3758" s="24">
        <v>44274</v>
      </c>
      <c r="C3758" t="s">
        <v>181</v>
      </c>
      <c r="D3758" t="s">
        <v>41</v>
      </c>
      <c r="E3758">
        <v>2000718469</v>
      </c>
      <c r="F3758">
        <v>1600</v>
      </c>
      <c r="G3758">
        <v>150</v>
      </c>
      <c r="H3758">
        <v>0</v>
      </c>
      <c r="I3758" t="s">
        <v>680</v>
      </c>
      <c r="J3758" t="s">
        <v>193</v>
      </c>
      <c r="K3758" t="s">
        <v>176</v>
      </c>
      <c r="O3758">
        <v>0</v>
      </c>
      <c r="U3758" t="s">
        <v>81</v>
      </c>
    </row>
    <row r="3759" spans="1:21" x14ac:dyDescent="0.25">
      <c r="A3759" s="33">
        <v>3777</v>
      </c>
      <c r="B3759" s="24">
        <v>44274</v>
      </c>
      <c r="C3759" t="s">
        <v>181</v>
      </c>
      <c r="D3759" t="s">
        <v>41</v>
      </c>
      <c r="E3759">
        <v>2000719041</v>
      </c>
      <c r="F3759">
        <v>3200</v>
      </c>
      <c r="G3759">
        <v>400</v>
      </c>
      <c r="H3759">
        <v>0</v>
      </c>
      <c r="I3759" t="s">
        <v>680</v>
      </c>
      <c r="J3759" t="s">
        <v>203</v>
      </c>
      <c r="K3759" t="s">
        <v>788</v>
      </c>
      <c r="O3759">
        <v>0</v>
      </c>
      <c r="U3759" t="s">
        <v>81</v>
      </c>
    </row>
    <row r="3760" spans="1:21" x14ac:dyDescent="0.25">
      <c r="A3760" s="33">
        <v>3778</v>
      </c>
      <c r="B3760" s="24">
        <v>44274</v>
      </c>
      <c r="C3760" t="s">
        <v>181</v>
      </c>
      <c r="D3760" t="s">
        <v>41</v>
      </c>
      <c r="E3760">
        <v>2000718824</v>
      </c>
      <c r="F3760">
        <v>1140</v>
      </c>
      <c r="G3760">
        <v>160</v>
      </c>
      <c r="H3760">
        <v>0</v>
      </c>
      <c r="I3760" t="s">
        <v>680</v>
      </c>
      <c r="J3760" t="s">
        <v>745</v>
      </c>
      <c r="K3760" t="s">
        <v>746</v>
      </c>
      <c r="O3760">
        <v>0</v>
      </c>
      <c r="U3760" t="s">
        <v>81</v>
      </c>
    </row>
    <row r="3761" spans="1:21" x14ac:dyDescent="0.25">
      <c r="A3761" s="33">
        <v>3779</v>
      </c>
      <c r="B3761" s="24">
        <v>44274</v>
      </c>
      <c r="C3761" t="s">
        <v>181</v>
      </c>
      <c r="D3761" t="s">
        <v>41</v>
      </c>
      <c r="E3761">
        <v>2000719038</v>
      </c>
      <c r="F3761">
        <v>2088</v>
      </c>
      <c r="G3761">
        <v>990</v>
      </c>
      <c r="H3761">
        <v>0</v>
      </c>
      <c r="I3761" t="s">
        <v>680</v>
      </c>
      <c r="J3761" t="s">
        <v>745</v>
      </c>
      <c r="K3761" t="s">
        <v>849</v>
      </c>
      <c r="O3761">
        <v>0</v>
      </c>
      <c r="U3761" t="s">
        <v>81</v>
      </c>
    </row>
    <row r="3762" spans="1:21" x14ac:dyDescent="0.25">
      <c r="A3762" s="33">
        <v>3780</v>
      </c>
      <c r="B3762" s="24">
        <v>44274</v>
      </c>
      <c r="C3762" t="s">
        <v>181</v>
      </c>
      <c r="D3762" t="s">
        <v>41</v>
      </c>
      <c r="E3762">
        <v>2000719736</v>
      </c>
      <c r="F3762">
        <v>7890</v>
      </c>
      <c r="G3762">
        <v>300</v>
      </c>
      <c r="H3762">
        <v>0</v>
      </c>
      <c r="I3762" t="s">
        <v>680</v>
      </c>
      <c r="J3762" t="s">
        <v>200</v>
      </c>
      <c r="K3762" t="s">
        <v>737</v>
      </c>
      <c r="O3762">
        <v>0</v>
      </c>
      <c r="U3762" t="s">
        <v>81</v>
      </c>
    </row>
    <row r="3763" spans="1:21" x14ac:dyDescent="0.25">
      <c r="A3763" s="33">
        <v>3781</v>
      </c>
      <c r="B3763" s="24">
        <v>44274</v>
      </c>
      <c r="C3763" t="s">
        <v>181</v>
      </c>
      <c r="D3763" t="s">
        <v>41</v>
      </c>
      <c r="E3763">
        <v>2000719353</v>
      </c>
      <c r="F3763">
        <v>600</v>
      </c>
      <c r="G3763">
        <v>150</v>
      </c>
      <c r="H3763">
        <v>0</v>
      </c>
      <c r="I3763" t="s">
        <v>680</v>
      </c>
      <c r="J3763" t="s">
        <v>169</v>
      </c>
      <c r="K3763" t="s">
        <v>867</v>
      </c>
      <c r="O3763">
        <v>0</v>
      </c>
      <c r="U3763" t="s">
        <v>81</v>
      </c>
    </row>
    <row r="3764" spans="1:21" x14ac:dyDescent="0.25">
      <c r="A3764" s="33">
        <v>3782</v>
      </c>
      <c r="B3764" s="24">
        <v>44274</v>
      </c>
      <c r="C3764" t="s">
        <v>181</v>
      </c>
      <c r="D3764" t="s">
        <v>41</v>
      </c>
      <c r="E3764">
        <v>2000719779</v>
      </c>
      <c r="F3764">
        <v>140</v>
      </c>
      <c r="G3764">
        <v>100</v>
      </c>
      <c r="H3764">
        <v>0</v>
      </c>
      <c r="I3764" t="s">
        <v>680</v>
      </c>
      <c r="J3764" t="s">
        <v>216</v>
      </c>
      <c r="K3764" t="s">
        <v>839</v>
      </c>
      <c r="O3764">
        <v>0</v>
      </c>
      <c r="U3764" t="s">
        <v>81</v>
      </c>
    </row>
    <row r="3765" spans="1:21" x14ac:dyDescent="0.25">
      <c r="A3765" s="33">
        <v>3783</v>
      </c>
      <c r="B3765" s="24">
        <v>44274</v>
      </c>
      <c r="C3765" t="s">
        <v>181</v>
      </c>
      <c r="D3765" t="s">
        <v>41</v>
      </c>
      <c r="E3765">
        <v>2000719702</v>
      </c>
      <c r="F3765">
        <v>720</v>
      </c>
      <c r="G3765">
        <v>100</v>
      </c>
      <c r="H3765">
        <v>0</v>
      </c>
      <c r="I3765" t="s">
        <v>180</v>
      </c>
      <c r="J3765" t="s">
        <v>174</v>
      </c>
      <c r="K3765" t="s">
        <v>204</v>
      </c>
      <c r="O3765">
        <v>0</v>
      </c>
      <c r="U3765" t="s">
        <v>81</v>
      </c>
    </row>
    <row r="3766" spans="1:21" x14ac:dyDescent="0.25">
      <c r="A3766" s="33">
        <v>3784</v>
      </c>
      <c r="B3766" s="24">
        <v>44274</v>
      </c>
      <c r="C3766" t="s">
        <v>181</v>
      </c>
      <c r="D3766" t="s">
        <v>41</v>
      </c>
      <c r="E3766">
        <v>2000719716</v>
      </c>
      <c r="F3766">
        <v>1970</v>
      </c>
      <c r="G3766">
        <v>160</v>
      </c>
      <c r="H3766">
        <v>0</v>
      </c>
      <c r="I3766" t="s">
        <v>180</v>
      </c>
      <c r="J3766" t="s">
        <v>174</v>
      </c>
      <c r="K3766" t="s">
        <v>662</v>
      </c>
      <c r="O3766">
        <v>0</v>
      </c>
      <c r="U3766" t="s">
        <v>81</v>
      </c>
    </row>
    <row r="3767" spans="1:21" x14ac:dyDescent="0.25">
      <c r="A3767" s="33">
        <v>3785</v>
      </c>
      <c r="B3767" s="24">
        <v>44274</v>
      </c>
      <c r="C3767" t="s">
        <v>181</v>
      </c>
      <c r="D3767" t="s">
        <v>41</v>
      </c>
      <c r="E3767">
        <v>2000719021</v>
      </c>
      <c r="F3767">
        <v>602</v>
      </c>
      <c r="G3767">
        <v>198</v>
      </c>
      <c r="H3767">
        <v>0</v>
      </c>
      <c r="I3767" t="s">
        <v>180</v>
      </c>
      <c r="J3767" t="s">
        <v>174</v>
      </c>
      <c r="K3767" t="s">
        <v>792</v>
      </c>
      <c r="O3767">
        <v>0</v>
      </c>
      <c r="U3767" t="s">
        <v>81</v>
      </c>
    </row>
    <row r="3768" spans="1:21" x14ac:dyDescent="0.25">
      <c r="A3768" s="33">
        <v>3786</v>
      </c>
      <c r="B3768" s="24">
        <v>44274</v>
      </c>
      <c r="C3768" t="s">
        <v>181</v>
      </c>
      <c r="D3768" t="s">
        <v>41</v>
      </c>
      <c r="E3768">
        <v>2000719708</v>
      </c>
      <c r="F3768">
        <v>60</v>
      </c>
      <c r="G3768">
        <v>60</v>
      </c>
      <c r="H3768">
        <v>0</v>
      </c>
      <c r="I3768" t="s">
        <v>180</v>
      </c>
      <c r="J3768" t="s">
        <v>174</v>
      </c>
      <c r="K3768" t="s">
        <v>695</v>
      </c>
      <c r="O3768">
        <v>0</v>
      </c>
      <c r="U3768" t="s">
        <v>81</v>
      </c>
    </row>
    <row r="3769" spans="1:21" x14ac:dyDescent="0.25">
      <c r="A3769" s="33">
        <v>3787</v>
      </c>
      <c r="B3769" s="24">
        <v>44274</v>
      </c>
      <c r="C3769" t="s">
        <v>181</v>
      </c>
      <c r="D3769" t="s">
        <v>41</v>
      </c>
      <c r="E3769">
        <v>2000719022</v>
      </c>
      <c r="F3769">
        <v>1680</v>
      </c>
      <c r="G3769">
        <v>14</v>
      </c>
      <c r="H3769">
        <v>0</v>
      </c>
      <c r="I3769" t="s">
        <v>180</v>
      </c>
      <c r="J3769" t="s">
        <v>174</v>
      </c>
      <c r="K3769" t="s">
        <v>763</v>
      </c>
      <c r="O3769">
        <v>0</v>
      </c>
      <c r="U3769" t="s">
        <v>81</v>
      </c>
    </row>
    <row r="3770" spans="1:21" x14ac:dyDescent="0.25">
      <c r="A3770" s="33">
        <v>3788</v>
      </c>
      <c r="B3770" s="24">
        <v>44274</v>
      </c>
      <c r="C3770" t="s">
        <v>181</v>
      </c>
      <c r="D3770" t="s">
        <v>41</v>
      </c>
      <c r="E3770">
        <v>2000719716</v>
      </c>
      <c r="F3770">
        <v>1970</v>
      </c>
      <c r="G3770">
        <v>120</v>
      </c>
      <c r="H3770">
        <v>0</v>
      </c>
      <c r="I3770" t="s">
        <v>183</v>
      </c>
      <c r="J3770" t="s">
        <v>174</v>
      </c>
      <c r="K3770" t="s">
        <v>662</v>
      </c>
      <c r="O3770">
        <v>0</v>
      </c>
      <c r="U3770" t="s">
        <v>81</v>
      </c>
    </row>
    <row r="3771" spans="1:21" x14ac:dyDescent="0.25">
      <c r="A3771" s="33">
        <v>3789</v>
      </c>
      <c r="B3771" s="24">
        <v>44274</v>
      </c>
      <c r="C3771" t="s">
        <v>181</v>
      </c>
      <c r="D3771" t="s">
        <v>41</v>
      </c>
      <c r="E3771">
        <v>2000719702</v>
      </c>
      <c r="F3771">
        <v>720</v>
      </c>
      <c r="G3771">
        <v>318</v>
      </c>
      <c r="H3771">
        <v>0</v>
      </c>
      <c r="I3771" t="s">
        <v>183</v>
      </c>
      <c r="J3771" t="s">
        <v>174</v>
      </c>
      <c r="K3771" t="s">
        <v>204</v>
      </c>
      <c r="O3771">
        <v>0</v>
      </c>
      <c r="U3771" t="s">
        <v>81</v>
      </c>
    </row>
    <row r="3772" spans="1:21" x14ac:dyDescent="0.25">
      <c r="A3772" s="33">
        <v>3790</v>
      </c>
      <c r="B3772" s="24">
        <v>44274</v>
      </c>
      <c r="C3772" t="s">
        <v>181</v>
      </c>
      <c r="D3772" t="s">
        <v>41</v>
      </c>
      <c r="E3772">
        <v>2000719021</v>
      </c>
      <c r="F3772">
        <v>602</v>
      </c>
      <c r="G3772">
        <v>162</v>
      </c>
      <c r="H3772">
        <v>0</v>
      </c>
      <c r="I3772" t="s">
        <v>183</v>
      </c>
      <c r="J3772" t="s">
        <v>174</v>
      </c>
      <c r="K3772" t="s">
        <v>792</v>
      </c>
      <c r="O3772">
        <v>0</v>
      </c>
      <c r="U3772" t="s">
        <v>81</v>
      </c>
    </row>
    <row r="3773" spans="1:21" x14ac:dyDescent="0.25">
      <c r="A3773" s="33">
        <v>3791</v>
      </c>
      <c r="B3773" s="24">
        <v>44274</v>
      </c>
      <c r="C3773" t="s">
        <v>181</v>
      </c>
      <c r="D3773" t="s">
        <v>41</v>
      </c>
      <c r="E3773">
        <v>2000719288</v>
      </c>
      <c r="F3773">
        <v>40</v>
      </c>
      <c r="G3773">
        <v>40</v>
      </c>
      <c r="H3773">
        <v>0</v>
      </c>
      <c r="I3773" t="s">
        <v>183</v>
      </c>
      <c r="J3773" t="s">
        <v>174</v>
      </c>
      <c r="K3773" t="s">
        <v>792</v>
      </c>
      <c r="O3773">
        <v>0</v>
      </c>
      <c r="U3773" t="s">
        <v>81</v>
      </c>
    </row>
    <row r="3774" spans="1:21" ht="30" x14ac:dyDescent="0.25">
      <c r="A3774" s="33">
        <v>3792</v>
      </c>
      <c r="B3774" s="24">
        <v>44274</v>
      </c>
      <c r="C3774" t="s">
        <v>181</v>
      </c>
      <c r="D3774" t="s">
        <v>41</v>
      </c>
      <c r="E3774">
        <v>2000720020</v>
      </c>
      <c r="F3774">
        <v>680</v>
      </c>
      <c r="G3774">
        <v>160</v>
      </c>
      <c r="H3774">
        <v>0</v>
      </c>
      <c r="I3774" t="s">
        <v>183</v>
      </c>
      <c r="J3774" t="s">
        <v>174</v>
      </c>
      <c r="K3774" t="s">
        <v>763</v>
      </c>
      <c r="O3774">
        <v>0</v>
      </c>
      <c r="T3774" s="62" t="s">
        <v>723</v>
      </c>
      <c r="U3774" t="s">
        <v>81</v>
      </c>
    </row>
    <row r="3775" spans="1:21" x14ac:dyDescent="0.25">
      <c r="A3775" s="33">
        <v>3793</v>
      </c>
      <c r="B3775" s="24">
        <v>44274</v>
      </c>
      <c r="C3775" t="s">
        <v>181</v>
      </c>
      <c r="D3775" t="s">
        <v>41</v>
      </c>
      <c r="E3775">
        <v>2000719667</v>
      </c>
      <c r="F3775">
        <v>1900</v>
      </c>
      <c r="G3775">
        <v>30</v>
      </c>
      <c r="H3775">
        <v>0</v>
      </c>
      <c r="I3775" t="s">
        <v>185</v>
      </c>
      <c r="J3775" t="s">
        <v>169</v>
      </c>
      <c r="K3775" t="s">
        <v>179</v>
      </c>
      <c r="O3775">
        <v>0</v>
      </c>
      <c r="U3775" t="s">
        <v>81</v>
      </c>
    </row>
    <row r="3776" spans="1:21" x14ac:dyDescent="0.25">
      <c r="A3776" s="33">
        <v>3794</v>
      </c>
      <c r="B3776" s="24">
        <v>44274</v>
      </c>
      <c r="C3776" t="s">
        <v>181</v>
      </c>
      <c r="D3776" t="s">
        <v>41</v>
      </c>
      <c r="E3776">
        <v>2000719569</v>
      </c>
      <c r="F3776">
        <v>360</v>
      </c>
      <c r="G3776">
        <v>80</v>
      </c>
      <c r="H3776">
        <v>0</v>
      </c>
      <c r="I3776" t="s">
        <v>185</v>
      </c>
      <c r="J3776" t="s">
        <v>645</v>
      </c>
      <c r="K3776" t="s">
        <v>734</v>
      </c>
      <c r="O3776">
        <v>0</v>
      </c>
      <c r="U3776" t="s">
        <v>81</v>
      </c>
    </row>
    <row r="3777" spans="1:21" x14ac:dyDescent="0.25">
      <c r="A3777" s="33">
        <v>3795</v>
      </c>
      <c r="B3777" s="24">
        <v>44274</v>
      </c>
      <c r="C3777" t="s">
        <v>181</v>
      </c>
      <c r="D3777" t="s">
        <v>41</v>
      </c>
      <c r="E3777">
        <v>2000719585</v>
      </c>
      <c r="F3777">
        <v>2800</v>
      </c>
      <c r="G3777">
        <v>120</v>
      </c>
      <c r="H3777">
        <v>0</v>
      </c>
      <c r="I3777" t="s">
        <v>185</v>
      </c>
      <c r="J3777" t="s">
        <v>645</v>
      </c>
      <c r="K3777" t="s">
        <v>721</v>
      </c>
      <c r="O3777">
        <v>0</v>
      </c>
      <c r="U3777" t="s">
        <v>81</v>
      </c>
    </row>
    <row r="3778" spans="1:21" x14ac:dyDescent="0.25">
      <c r="A3778" s="33">
        <v>3796</v>
      </c>
      <c r="B3778" s="24">
        <v>44274</v>
      </c>
      <c r="C3778" t="s">
        <v>181</v>
      </c>
      <c r="D3778" t="s">
        <v>41</v>
      </c>
      <c r="E3778">
        <v>2000719342</v>
      </c>
      <c r="F3778">
        <v>600</v>
      </c>
      <c r="G3778">
        <v>80</v>
      </c>
      <c r="H3778">
        <v>0</v>
      </c>
      <c r="I3778" t="s">
        <v>185</v>
      </c>
      <c r="J3778" t="s">
        <v>645</v>
      </c>
      <c r="K3778" t="s">
        <v>718</v>
      </c>
      <c r="O3778">
        <v>0</v>
      </c>
      <c r="U3778" t="s">
        <v>81</v>
      </c>
    </row>
    <row r="3779" spans="1:21" x14ac:dyDescent="0.25">
      <c r="A3779" s="33">
        <v>3797</v>
      </c>
      <c r="B3779" s="24">
        <v>44274</v>
      </c>
      <c r="C3779" t="s">
        <v>181</v>
      </c>
      <c r="D3779" t="s">
        <v>41</v>
      </c>
      <c r="E3779">
        <v>2000719331</v>
      </c>
      <c r="F3779">
        <v>60</v>
      </c>
      <c r="G3779">
        <v>20</v>
      </c>
      <c r="H3779">
        <v>0</v>
      </c>
      <c r="I3779" t="s">
        <v>185</v>
      </c>
      <c r="J3779" t="s">
        <v>645</v>
      </c>
      <c r="K3779" t="s">
        <v>720</v>
      </c>
      <c r="O3779">
        <v>0</v>
      </c>
      <c r="U3779" t="s">
        <v>81</v>
      </c>
    </row>
    <row r="3780" spans="1:21" x14ac:dyDescent="0.25">
      <c r="A3780" s="33">
        <v>3798</v>
      </c>
      <c r="B3780" s="24">
        <v>44274</v>
      </c>
      <c r="C3780" t="s">
        <v>181</v>
      </c>
      <c r="D3780" t="s">
        <v>41</v>
      </c>
      <c r="E3780">
        <v>2000719780</v>
      </c>
      <c r="F3780">
        <v>140</v>
      </c>
      <c r="G3780">
        <v>20</v>
      </c>
      <c r="H3780">
        <v>0</v>
      </c>
      <c r="I3780" t="s">
        <v>185</v>
      </c>
      <c r="J3780" t="s">
        <v>216</v>
      </c>
      <c r="K3780" t="s">
        <v>733</v>
      </c>
      <c r="O3780">
        <v>0</v>
      </c>
      <c r="U3780" t="s">
        <v>81</v>
      </c>
    </row>
    <row r="3781" spans="1:21" x14ac:dyDescent="0.25">
      <c r="A3781" s="33">
        <v>3799</v>
      </c>
      <c r="B3781" s="24">
        <v>44274</v>
      </c>
      <c r="C3781" t="s">
        <v>181</v>
      </c>
      <c r="D3781" t="s">
        <v>41</v>
      </c>
      <c r="E3781">
        <v>2000719248</v>
      </c>
      <c r="F3781">
        <v>3808</v>
      </c>
      <c r="G3781">
        <v>200</v>
      </c>
      <c r="H3781">
        <v>0</v>
      </c>
      <c r="I3781" t="s">
        <v>185</v>
      </c>
      <c r="J3781" t="s">
        <v>200</v>
      </c>
      <c r="K3781" t="s">
        <v>653</v>
      </c>
      <c r="O3781">
        <v>0</v>
      </c>
      <c r="U3781" t="s">
        <v>81</v>
      </c>
    </row>
    <row r="3782" spans="1:21" x14ac:dyDescent="0.25">
      <c r="A3782" s="33">
        <v>3800</v>
      </c>
      <c r="B3782" s="24">
        <v>44274</v>
      </c>
      <c r="C3782" t="s">
        <v>181</v>
      </c>
      <c r="D3782" t="s">
        <v>41</v>
      </c>
      <c r="E3782">
        <v>2000719605</v>
      </c>
      <c r="F3782">
        <v>1664</v>
      </c>
      <c r="G3782">
        <v>120</v>
      </c>
      <c r="H3782">
        <v>0</v>
      </c>
      <c r="I3782" t="s">
        <v>185</v>
      </c>
      <c r="J3782" t="s">
        <v>655</v>
      </c>
      <c r="K3782" t="s">
        <v>656</v>
      </c>
      <c r="O3782">
        <v>0</v>
      </c>
      <c r="U3782" t="s">
        <v>81</v>
      </c>
    </row>
    <row r="3783" spans="1:21" x14ac:dyDescent="0.25">
      <c r="A3783" s="33">
        <v>3801</v>
      </c>
      <c r="B3783" s="24">
        <v>44274</v>
      </c>
      <c r="C3783" t="s">
        <v>181</v>
      </c>
      <c r="D3783" t="s">
        <v>41</v>
      </c>
      <c r="E3783">
        <v>2000719967</v>
      </c>
      <c r="F3783">
        <v>210</v>
      </c>
      <c r="G3783">
        <v>20</v>
      </c>
      <c r="H3783">
        <v>0</v>
      </c>
      <c r="I3783" t="s">
        <v>185</v>
      </c>
      <c r="J3783" t="s">
        <v>197</v>
      </c>
      <c r="K3783" t="s">
        <v>764</v>
      </c>
      <c r="O3783">
        <v>0</v>
      </c>
      <c r="U3783" t="s">
        <v>81</v>
      </c>
    </row>
    <row r="3784" spans="1:21" x14ac:dyDescent="0.25">
      <c r="A3784" s="33">
        <v>3802</v>
      </c>
      <c r="B3784" s="24">
        <v>44274</v>
      </c>
      <c r="C3784" t="s">
        <v>181</v>
      </c>
      <c r="D3784" t="s">
        <v>41</v>
      </c>
      <c r="E3784">
        <v>2000718473</v>
      </c>
      <c r="F3784">
        <v>1600</v>
      </c>
      <c r="G3784">
        <v>40</v>
      </c>
      <c r="H3784">
        <v>0</v>
      </c>
      <c r="I3784" t="s">
        <v>185</v>
      </c>
      <c r="J3784" t="s">
        <v>193</v>
      </c>
      <c r="K3784" t="s">
        <v>647</v>
      </c>
      <c r="O3784">
        <v>0</v>
      </c>
      <c r="U3784" t="s">
        <v>81</v>
      </c>
    </row>
    <row r="3785" spans="1:21" x14ac:dyDescent="0.25">
      <c r="A3785" s="33">
        <v>3803</v>
      </c>
      <c r="B3785" s="24">
        <v>44274</v>
      </c>
      <c r="C3785" t="s">
        <v>181</v>
      </c>
      <c r="D3785" t="s">
        <v>41</v>
      </c>
      <c r="E3785">
        <v>2000719579</v>
      </c>
      <c r="F3785">
        <v>138</v>
      </c>
      <c r="G3785">
        <v>20</v>
      </c>
      <c r="H3785">
        <v>0</v>
      </c>
      <c r="I3785" t="s">
        <v>185</v>
      </c>
      <c r="J3785" t="s">
        <v>645</v>
      </c>
      <c r="K3785" t="s">
        <v>753</v>
      </c>
      <c r="O3785">
        <v>0</v>
      </c>
      <c r="U3785" t="s">
        <v>81</v>
      </c>
    </row>
    <row r="3786" spans="1:21" x14ac:dyDescent="0.25">
      <c r="A3786" s="33">
        <v>3804</v>
      </c>
      <c r="B3786" s="24">
        <v>44274</v>
      </c>
      <c r="C3786" t="s">
        <v>181</v>
      </c>
      <c r="D3786" t="s">
        <v>41</v>
      </c>
      <c r="E3786">
        <v>2000719549</v>
      </c>
      <c r="F3786">
        <v>522</v>
      </c>
      <c r="G3786">
        <v>210</v>
      </c>
      <c r="H3786">
        <v>0</v>
      </c>
      <c r="I3786" t="s">
        <v>184</v>
      </c>
      <c r="J3786" t="s">
        <v>203</v>
      </c>
      <c r="K3786" t="s">
        <v>793</v>
      </c>
      <c r="O3786">
        <v>0</v>
      </c>
      <c r="U3786" t="s">
        <v>81</v>
      </c>
    </row>
    <row r="3787" spans="1:21" x14ac:dyDescent="0.25">
      <c r="A3787" s="33">
        <v>3805</v>
      </c>
      <c r="B3787" s="24">
        <v>44274</v>
      </c>
      <c r="C3787" t="s">
        <v>181</v>
      </c>
      <c r="D3787" t="s">
        <v>41</v>
      </c>
      <c r="E3787">
        <v>2000718765</v>
      </c>
      <c r="F3787">
        <v>660</v>
      </c>
      <c r="G3787">
        <v>30</v>
      </c>
      <c r="H3787">
        <v>0</v>
      </c>
      <c r="I3787" t="s">
        <v>184</v>
      </c>
      <c r="J3787" t="s">
        <v>203</v>
      </c>
      <c r="K3787" t="s">
        <v>891</v>
      </c>
      <c r="O3787">
        <v>0</v>
      </c>
      <c r="U3787" t="s">
        <v>81</v>
      </c>
    </row>
    <row r="3788" spans="1:21" x14ac:dyDescent="0.25">
      <c r="A3788" s="33">
        <v>3806</v>
      </c>
      <c r="B3788" s="24">
        <v>44274</v>
      </c>
      <c r="C3788" t="s">
        <v>181</v>
      </c>
      <c r="D3788" t="s">
        <v>41</v>
      </c>
      <c r="E3788">
        <v>2000718172</v>
      </c>
      <c r="F3788">
        <v>1400</v>
      </c>
      <c r="G3788">
        <v>39</v>
      </c>
      <c r="H3788">
        <v>0</v>
      </c>
      <c r="I3788" t="s">
        <v>184</v>
      </c>
      <c r="J3788" t="s">
        <v>203</v>
      </c>
      <c r="K3788" t="s">
        <v>891</v>
      </c>
      <c r="O3788">
        <v>0</v>
      </c>
      <c r="U3788" t="s">
        <v>81</v>
      </c>
    </row>
    <row r="3789" spans="1:21" x14ac:dyDescent="0.25">
      <c r="A3789" s="33">
        <v>3807</v>
      </c>
      <c r="B3789" s="24">
        <v>44274</v>
      </c>
      <c r="C3789" t="s">
        <v>181</v>
      </c>
      <c r="D3789" t="s">
        <v>41</v>
      </c>
      <c r="E3789">
        <v>2000718445</v>
      </c>
      <c r="F3789">
        <v>1060</v>
      </c>
      <c r="G3789">
        <v>390</v>
      </c>
      <c r="H3789">
        <v>0</v>
      </c>
      <c r="I3789" t="s">
        <v>184</v>
      </c>
      <c r="J3789" t="s">
        <v>203</v>
      </c>
      <c r="K3789" t="s">
        <v>785</v>
      </c>
      <c r="O3789">
        <v>0</v>
      </c>
      <c r="U3789" t="s">
        <v>81</v>
      </c>
    </row>
    <row r="3790" spans="1:21" x14ac:dyDescent="0.25">
      <c r="A3790" s="33">
        <v>3808</v>
      </c>
      <c r="B3790" s="24">
        <v>44274</v>
      </c>
      <c r="C3790" t="s">
        <v>181</v>
      </c>
      <c r="D3790" t="s">
        <v>41</v>
      </c>
      <c r="E3790">
        <v>2000719716</v>
      </c>
      <c r="F3790">
        <v>1970</v>
      </c>
      <c r="G3790">
        <v>40</v>
      </c>
      <c r="H3790">
        <v>0</v>
      </c>
      <c r="I3790" t="s">
        <v>198</v>
      </c>
      <c r="J3790" t="s">
        <v>174</v>
      </c>
      <c r="K3790" t="s">
        <v>662</v>
      </c>
      <c r="O3790">
        <v>0</v>
      </c>
      <c r="U3790" t="s">
        <v>81</v>
      </c>
    </row>
    <row r="3791" spans="1:21" x14ac:dyDescent="0.25">
      <c r="A3791" s="33">
        <v>3809</v>
      </c>
      <c r="B3791" s="24">
        <v>44274</v>
      </c>
      <c r="C3791" t="s">
        <v>181</v>
      </c>
      <c r="D3791" t="s">
        <v>41</v>
      </c>
      <c r="E3791">
        <v>2000718824</v>
      </c>
      <c r="F3791">
        <v>1140</v>
      </c>
      <c r="G3791">
        <v>120</v>
      </c>
      <c r="H3791">
        <v>0</v>
      </c>
      <c r="I3791" t="s">
        <v>198</v>
      </c>
      <c r="J3791" t="s">
        <v>745</v>
      </c>
      <c r="K3791" t="s">
        <v>746</v>
      </c>
      <c r="O3791">
        <v>0</v>
      </c>
      <c r="U3791" t="s">
        <v>81</v>
      </c>
    </row>
    <row r="3792" spans="1:21" x14ac:dyDescent="0.25">
      <c r="A3792" s="33">
        <v>3810</v>
      </c>
      <c r="B3792" s="24">
        <v>44274</v>
      </c>
      <c r="C3792" t="s">
        <v>181</v>
      </c>
      <c r="D3792" t="s">
        <v>41</v>
      </c>
      <c r="E3792">
        <v>2000719549</v>
      </c>
      <c r="F3792">
        <v>522</v>
      </c>
      <c r="G3792">
        <v>153</v>
      </c>
      <c r="H3792">
        <v>0</v>
      </c>
      <c r="I3792" t="s">
        <v>198</v>
      </c>
      <c r="J3792" t="s">
        <v>203</v>
      </c>
      <c r="K3792" t="s">
        <v>793</v>
      </c>
      <c r="O3792">
        <v>0</v>
      </c>
      <c r="U3792" t="s">
        <v>81</v>
      </c>
    </row>
    <row r="3793" spans="1:21" x14ac:dyDescent="0.25">
      <c r="A3793" s="33">
        <v>3811</v>
      </c>
      <c r="B3793" s="24">
        <v>44274</v>
      </c>
      <c r="C3793" t="s">
        <v>181</v>
      </c>
      <c r="D3793" t="s">
        <v>41</v>
      </c>
      <c r="E3793">
        <v>2000719314</v>
      </c>
      <c r="F3793">
        <v>880</v>
      </c>
      <c r="G3793">
        <v>420</v>
      </c>
      <c r="H3793">
        <v>0</v>
      </c>
      <c r="I3793" t="s">
        <v>198</v>
      </c>
      <c r="J3793" t="s">
        <v>203</v>
      </c>
      <c r="K3793" t="s">
        <v>891</v>
      </c>
      <c r="O3793">
        <v>0</v>
      </c>
      <c r="U3793" t="s">
        <v>81</v>
      </c>
    </row>
    <row r="3794" spans="1:21" x14ac:dyDescent="0.25">
      <c r="A3794" s="33">
        <v>3812</v>
      </c>
      <c r="B3794" s="24">
        <v>44274</v>
      </c>
      <c r="C3794" t="s">
        <v>181</v>
      </c>
      <c r="D3794" t="s">
        <v>51</v>
      </c>
      <c r="E3794">
        <v>2000719232</v>
      </c>
      <c r="F3794">
        <v>945</v>
      </c>
      <c r="G3794">
        <v>120</v>
      </c>
      <c r="H3794">
        <v>0</v>
      </c>
      <c r="I3794" t="s">
        <v>706</v>
      </c>
      <c r="J3794" t="s">
        <v>673</v>
      </c>
      <c r="K3794" t="s">
        <v>951</v>
      </c>
      <c r="O3794">
        <v>0</v>
      </c>
      <c r="U3794" t="s">
        <v>81</v>
      </c>
    </row>
    <row r="3795" spans="1:21" x14ac:dyDescent="0.25">
      <c r="A3795" s="33">
        <v>3813</v>
      </c>
      <c r="B3795" s="24">
        <v>44274</v>
      </c>
      <c r="C3795" t="s">
        <v>181</v>
      </c>
      <c r="D3795" t="s">
        <v>51</v>
      </c>
      <c r="E3795">
        <v>2000718984</v>
      </c>
      <c r="F3795">
        <v>620</v>
      </c>
      <c r="G3795">
        <v>260</v>
      </c>
      <c r="H3795">
        <v>0</v>
      </c>
      <c r="I3795" t="s">
        <v>706</v>
      </c>
      <c r="J3795" t="s">
        <v>676</v>
      </c>
      <c r="K3795" t="s">
        <v>874</v>
      </c>
      <c r="O3795">
        <v>0</v>
      </c>
      <c r="U3795" t="s">
        <v>81</v>
      </c>
    </row>
    <row r="3796" spans="1:21" x14ac:dyDescent="0.25">
      <c r="A3796" s="33">
        <v>3814</v>
      </c>
      <c r="B3796" s="24">
        <v>44274</v>
      </c>
      <c r="C3796" t="s">
        <v>181</v>
      </c>
      <c r="D3796" t="s">
        <v>51</v>
      </c>
      <c r="E3796">
        <v>2000718798</v>
      </c>
      <c r="F3796">
        <v>450</v>
      </c>
      <c r="G3796">
        <v>20</v>
      </c>
      <c r="H3796">
        <v>0</v>
      </c>
      <c r="I3796" t="s">
        <v>706</v>
      </c>
      <c r="J3796" t="s">
        <v>676</v>
      </c>
      <c r="K3796" t="s">
        <v>677</v>
      </c>
      <c r="O3796">
        <v>0</v>
      </c>
      <c r="U3796" t="s">
        <v>81</v>
      </c>
    </row>
    <row r="3797" spans="1:21" x14ac:dyDescent="0.25">
      <c r="A3797" s="33">
        <v>3815</v>
      </c>
      <c r="B3797" s="24">
        <v>44274</v>
      </c>
      <c r="C3797" t="s">
        <v>181</v>
      </c>
      <c r="D3797" t="s">
        <v>51</v>
      </c>
      <c r="E3797">
        <v>2000719527</v>
      </c>
      <c r="F3797">
        <v>380</v>
      </c>
      <c r="G3797">
        <v>80</v>
      </c>
      <c r="H3797">
        <v>0</v>
      </c>
      <c r="I3797" t="s">
        <v>706</v>
      </c>
      <c r="J3797" t="s">
        <v>673</v>
      </c>
      <c r="K3797" t="s">
        <v>708</v>
      </c>
      <c r="O3797">
        <v>0</v>
      </c>
      <c r="U3797" t="s">
        <v>81</v>
      </c>
    </row>
    <row r="3798" spans="1:21" x14ac:dyDescent="0.25">
      <c r="A3798" s="33">
        <v>3816</v>
      </c>
      <c r="B3798" s="24">
        <v>44274</v>
      </c>
      <c r="C3798" t="s">
        <v>181</v>
      </c>
      <c r="D3798" t="s">
        <v>51</v>
      </c>
      <c r="E3798">
        <v>2000716867</v>
      </c>
      <c r="F3798">
        <v>260</v>
      </c>
      <c r="G3798">
        <v>100</v>
      </c>
      <c r="H3798">
        <v>0</v>
      </c>
      <c r="I3798" t="s">
        <v>706</v>
      </c>
      <c r="J3798" t="s">
        <v>669</v>
      </c>
      <c r="K3798" t="s">
        <v>670</v>
      </c>
      <c r="O3798">
        <v>0</v>
      </c>
      <c r="U3798" t="s">
        <v>81</v>
      </c>
    </row>
    <row r="3799" spans="1:21" x14ac:dyDescent="0.25">
      <c r="A3799" s="33">
        <v>3817</v>
      </c>
      <c r="B3799" s="24">
        <v>44274</v>
      </c>
      <c r="C3799" t="s">
        <v>181</v>
      </c>
      <c r="D3799" t="s">
        <v>51</v>
      </c>
      <c r="E3799">
        <v>2000719769</v>
      </c>
      <c r="F3799">
        <v>450</v>
      </c>
      <c r="G3799">
        <v>140</v>
      </c>
      <c r="H3799">
        <v>0</v>
      </c>
      <c r="I3799" t="s">
        <v>706</v>
      </c>
      <c r="J3799" t="s">
        <v>667</v>
      </c>
      <c r="K3799" t="s">
        <v>671</v>
      </c>
      <c r="O3799">
        <v>0</v>
      </c>
      <c r="U3799" t="s">
        <v>81</v>
      </c>
    </row>
    <row r="3800" spans="1:21" x14ac:dyDescent="0.25">
      <c r="A3800" s="33">
        <v>3818</v>
      </c>
      <c r="B3800" s="24">
        <v>44274</v>
      </c>
      <c r="C3800" t="s">
        <v>181</v>
      </c>
      <c r="D3800" t="s">
        <v>51</v>
      </c>
      <c r="E3800">
        <v>2000719227</v>
      </c>
      <c r="F3800">
        <v>400</v>
      </c>
      <c r="G3800">
        <v>140</v>
      </c>
      <c r="H3800">
        <v>0</v>
      </c>
      <c r="I3800" t="s">
        <v>706</v>
      </c>
      <c r="J3800" t="s">
        <v>673</v>
      </c>
      <c r="K3800" t="s">
        <v>791</v>
      </c>
      <c r="O3800">
        <v>0</v>
      </c>
      <c r="U3800" t="s">
        <v>81</v>
      </c>
    </row>
    <row r="3801" spans="1:21" x14ac:dyDescent="0.25">
      <c r="A3801" s="33">
        <v>3819</v>
      </c>
      <c r="B3801" s="24">
        <v>44275</v>
      </c>
      <c r="C3801" t="s">
        <v>39</v>
      </c>
      <c r="D3801" t="s">
        <v>41</v>
      </c>
      <c r="E3801">
        <v>2000718471</v>
      </c>
      <c r="F3801">
        <v>1600</v>
      </c>
      <c r="G3801">
        <v>160</v>
      </c>
      <c r="H3801">
        <v>0</v>
      </c>
      <c r="I3801" t="s">
        <v>201</v>
      </c>
      <c r="J3801" t="s">
        <v>193</v>
      </c>
      <c r="K3801" t="s">
        <v>650</v>
      </c>
      <c r="O3801">
        <v>0</v>
      </c>
      <c r="U3801" t="s">
        <v>81</v>
      </c>
    </row>
    <row r="3802" spans="1:21" x14ac:dyDescent="0.25">
      <c r="A3802" s="33">
        <v>3820</v>
      </c>
      <c r="B3802" s="24">
        <v>44275</v>
      </c>
      <c r="C3802" t="s">
        <v>39</v>
      </c>
      <c r="D3802" t="s">
        <v>41</v>
      </c>
      <c r="E3802">
        <v>2000719778</v>
      </c>
      <c r="F3802">
        <v>140</v>
      </c>
      <c r="G3802">
        <v>40</v>
      </c>
      <c r="H3802">
        <v>0</v>
      </c>
      <c r="I3802" t="s">
        <v>201</v>
      </c>
      <c r="J3802" t="s">
        <v>216</v>
      </c>
      <c r="K3802" t="s">
        <v>784</v>
      </c>
      <c r="O3802">
        <v>0</v>
      </c>
      <c r="U3802" t="s">
        <v>81</v>
      </c>
    </row>
    <row r="3803" spans="1:21" x14ac:dyDescent="0.25">
      <c r="A3803" s="33">
        <v>3821</v>
      </c>
      <c r="B3803" s="24">
        <v>44275</v>
      </c>
      <c r="C3803" t="s">
        <v>39</v>
      </c>
      <c r="D3803" t="s">
        <v>41</v>
      </c>
      <c r="E3803">
        <v>2000718821</v>
      </c>
      <c r="F3803">
        <v>1480</v>
      </c>
      <c r="G3803">
        <v>240</v>
      </c>
      <c r="H3803">
        <v>0</v>
      </c>
      <c r="I3803" t="s">
        <v>201</v>
      </c>
      <c r="J3803" t="s">
        <v>203</v>
      </c>
      <c r="K3803" t="s">
        <v>640</v>
      </c>
      <c r="O3803">
        <v>0</v>
      </c>
      <c r="U3803" t="s">
        <v>81</v>
      </c>
    </row>
    <row r="3804" spans="1:21" x14ac:dyDescent="0.25">
      <c r="A3804" s="33">
        <v>3822</v>
      </c>
      <c r="B3804" s="24">
        <v>44275</v>
      </c>
      <c r="C3804" t="s">
        <v>39</v>
      </c>
      <c r="D3804" t="s">
        <v>41</v>
      </c>
      <c r="E3804">
        <v>2000719036</v>
      </c>
      <c r="F3804">
        <v>600</v>
      </c>
      <c r="G3804">
        <v>300</v>
      </c>
      <c r="H3804">
        <v>0</v>
      </c>
      <c r="I3804" t="s">
        <v>201</v>
      </c>
      <c r="J3804" t="s">
        <v>169</v>
      </c>
      <c r="K3804" t="s">
        <v>847</v>
      </c>
      <c r="O3804">
        <v>0</v>
      </c>
      <c r="U3804" t="s">
        <v>81</v>
      </c>
    </row>
    <row r="3805" spans="1:21" x14ac:dyDescent="0.25">
      <c r="A3805" s="33">
        <v>3823</v>
      </c>
      <c r="B3805" s="24">
        <v>44275</v>
      </c>
      <c r="C3805" t="s">
        <v>39</v>
      </c>
      <c r="D3805" t="s">
        <v>41</v>
      </c>
      <c r="E3805">
        <v>2000719584</v>
      </c>
      <c r="F3805">
        <v>2800</v>
      </c>
      <c r="G3805">
        <v>300</v>
      </c>
      <c r="H3805">
        <v>0</v>
      </c>
      <c r="I3805" t="s">
        <v>201</v>
      </c>
      <c r="J3805" t="s">
        <v>645</v>
      </c>
      <c r="K3805" t="s">
        <v>658</v>
      </c>
      <c r="O3805">
        <v>0</v>
      </c>
      <c r="U3805" t="s">
        <v>81</v>
      </c>
    </row>
    <row r="3806" spans="1:21" x14ac:dyDescent="0.25">
      <c r="A3806" s="33">
        <v>3824</v>
      </c>
      <c r="B3806" s="24">
        <v>44275</v>
      </c>
      <c r="C3806" t="s">
        <v>39</v>
      </c>
      <c r="D3806" t="s">
        <v>41</v>
      </c>
      <c r="E3806">
        <v>2000719582</v>
      </c>
      <c r="F3806">
        <v>2800</v>
      </c>
      <c r="G3806">
        <v>300</v>
      </c>
      <c r="H3806">
        <v>0</v>
      </c>
      <c r="I3806" t="s">
        <v>201</v>
      </c>
      <c r="J3806" t="s">
        <v>645</v>
      </c>
      <c r="K3806" t="s">
        <v>756</v>
      </c>
      <c r="O3806">
        <v>0</v>
      </c>
      <c r="U3806" t="s">
        <v>81</v>
      </c>
    </row>
    <row r="3807" spans="1:21" x14ac:dyDescent="0.25">
      <c r="A3807" s="33">
        <v>3825</v>
      </c>
      <c r="B3807" s="24">
        <v>44275</v>
      </c>
      <c r="C3807" t="s">
        <v>39</v>
      </c>
      <c r="D3807" t="s">
        <v>41</v>
      </c>
      <c r="E3807">
        <v>2000719583</v>
      </c>
      <c r="F3807">
        <v>2800</v>
      </c>
      <c r="G3807">
        <v>200</v>
      </c>
      <c r="H3807">
        <v>0</v>
      </c>
      <c r="I3807" t="s">
        <v>201</v>
      </c>
      <c r="J3807" t="s">
        <v>645</v>
      </c>
      <c r="K3807" t="s">
        <v>739</v>
      </c>
      <c r="O3807">
        <v>0</v>
      </c>
      <c r="U3807" t="s">
        <v>81</v>
      </c>
    </row>
    <row r="3808" spans="1:21" x14ac:dyDescent="0.25">
      <c r="A3808" s="33">
        <v>3826</v>
      </c>
      <c r="B3808" s="24">
        <v>44275</v>
      </c>
      <c r="C3808" t="s">
        <v>39</v>
      </c>
      <c r="D3808" t="s">
        <v>41</v>
      </c>
      <c r="E3808">
        <v>2000719547</v>
      </c>
      <c r="F3808">
        <v>2500</v>
      </c>
      <c r="G3808">
        <v>200</v>
      </c>
      <c r="H3808">
        <v>0</v>
      </c>
      <c r="I3808" t="s">
        <v>201</v>
      </c>
      <c r="J3808" t="s">
        <v>172</v>
      </c>
      <c r="K3808" t="s">
        <v>725</v>
      </c>
      <c r="O3808">
        <v>0</v>
      </c>
      <c r="U3808" t="s">
        <v>81</v>
      </c>
    </row>
    <row r="3809" spans="1:21" x14ac:dyDescent="0.25">
      <c r="A3809" s="33">
        <v>3827</v>
      </c>
      <c r="B3809" s="24">
        <v>44275</v>
      </c>
      <c r="C3809" t="s">
        <v>39</v>
      </c>
      <c r="D3809" t="s">
        <v>41</v>
      </c>
      <c r="E3809">
        <v>2000718824</v>
      </c>
      <c r="F3809">
        <v>1140</v>
      </c>
      <c r="G3809">
        <v>200</v>
      </c>
      <c r="H3809">
        <v>0</v>
      </c>
      <c r="I3809" t="s">
        <v>201</v>
      </c>
      <c r="J3809" t="s">
        <v>745</v>
      </c>
      <c r="K3809" t="s">
        <v>746</v>
      </c>
      <c r="O3809">
        <v>0</v>
      </c>
      <c r="U3809" t="s">
        <v>81</v>
      </c>
    </row>
    <row r="3810" spans="1:21" x14ac:dyDescent="0.25">
      <c r="A3810" s="33">
        <v>3828</v>
      </c>
      <c r="B3810" s="24">
        <v>44275</v>
      </c>
      <c r="C3810" t="s">
        <v>39</v>
      </c>
      <c r="D3810" t="s">
        <v>41</v>
      </c>
      <c r="E3810">
        <v>2000719352</v>
      </c>
      <c r="F3810">
        <v>2609</v>
      </c>
      <c r="G3810">
        <v>240</v>
      </c>
      <c r="H3810">
        <v>0</v>
      </c>
      <c r="I3810" t="s">
        <v>201</v>
      </c>
      <c r="J3810" t="s">
        <v>169</v>
      </c>
      <c r="K3810" t="s">
        <v>652</v>
      </c>
      <c r="O3810">
        <v>0</v>
      </c>
      <c r="U3810" t="s">
        <v>81</v>
      </c>
    </row>
    <row r="3811" spans="1:21" x14ac:dyDescent="0.25">
      <c r="A3811" s="33">
        <v>3829</v>
      </c>
      <c r="B3811" s="24">
        <v>44275</v>
      </c>
      <c r="C3811" t="s">
        <v>39</v>
      </c>
      <c r="D3811" t="s">
        <v>41</v>
      </c>
      <c r="E3811">
        <v>2000719737</v>
      </c>
      <c r="F3811">
        <v>896</v>
      </c>
      <c r="G3811">
        <v>100</v>
      </c>
      <c r="H3811">
        <v>0</v>
      </c>
      <c r="I3811" t="s">
        <v>789</v>
      </c>
      <c r="J3811" t="s">
        <v>202</v>
      </c>
      <c r="K3811" t="s">
        <v>1062</v>
      </c>
      <c r="O3811">
        <v>0</v>
      </c>
      <c r="U3811" t="s">
        <v>81</v>
      </c>
    </row>
    <row r="3812" spans="1:21" x14ac:dyDescent="0.25">
      <c r="A3812" s="33">
        <v>3830</v>
      </c>
      <c r="B3812" s="24">
        <v>44275</v>
      </c>
      <c r="C3812" t="s">
        <v>39</v>
      </c>
      <c r="D3812" t="s">
        <v>41</v>
      </c>
      <c r="E3812">
        <v>2000720028</v>
      </c>
      <c r="F3812">
        <v>1048</v>
      </c>
      <c r="G3812">
        <v>100</v>
      </c>
      <c r="H3812">
        <v>0</v>
      </c>
      <c r="I3812" t="s">
        <v>789</v>
      </c>
      <c r="J3812" t="s">
        <v>645</v>
      </c>
      <c r="K3812" t="s">
        <v>813</v>
      </c>
      <c r="O3812">
        <v>0</v>
      </c>
      <c r="U3812" t="s">
        <v>81</v>
      </c>
    </row>
    <row r="3813" spans="1:21" x14ac:dyDescent="0.25">
      <c r="A3813" s="33">
        <v>3831</v>
      </c>
      <c r="B3813" s="24">
        <v>44275</v>
      </c>
      <c r="C3813" t="s">
        <v>39</v>
      </c>
      <c r="D3813" t="s">
        <v>41</v>
      </c>
      <c r="E3813">
        <v>2000719314</v>
      </c>
      <c r="F3813">
        <v>880</v>
      </c>
      <c r="G3813">
        <v>346</v>
      </c>
      <c r="H3813">
        <v>0</v>
      </c>
      <c r="I3813" t="s">
        <v>168</v>
      </c>
      <c r="J3813" t="s">
        <v>203</v>
      </c>
      <c r="K3813" t="s">
        <v>891</v>
      </c>
      <c r="O3813">
        <v>0</v>
      </c>
      <c r="U3813" t="s">
        <v>81</v>
      </c>
    </row>
    <row r="3814" spans="1:21" x14ac:dyDescent="0.25">
      <c r="A3814" s="33">
        <v>3832</v>
      </c>
      <c r="B3814" s="24">
        <v>44275</v>
      </c>
      <c r="C3814" t="s">
        <v>39</v>
      </c>
      <c r="D3814" t="s">
        <v>41</v>
      </c>
      <c r="E3814">
        <v>2000715552</v>
      </c>
      <c r="F3814">
        <v>1010</v>
      </c>
      <c r="G3814">
        <v>1</v>
      </c>
      <c r="H3814">
        <v>0</v>
      </c>
      <c r="I3814" t="s">
        <v>168</v>
      </c>
      <c r="J3814" t="s">
        <v>203</v>
      </c>
      <c r="K3814" t="s">
        <v>768</v>
      </c>
      <c r="O3814">
        <v>0</v>
      </c>
      <c r="U3814" t="s">
        <v>81</v>
      </c>
    </row>
    <row r="3815" spans="1:21" x14ac:dyDescent="0.25">
      <c r="A3815" s="33">
        <v>3833</v>
      </c>
      <c r="B3815" s="24">
        <v>44275</v>
      </c>
      <c r="C3815" t="s">
        <v>39</v>
      </c>
      <c r="D3815" t="s">
        <v>41</v>
      </c>
      <c r="E3815">
        <v>2000719313</v>
      </c>
      <c r="F3815">
        <v>410</v>
      </c>
      <c r="G3815">
        <v>10</v>
      </c>
      <c r="H3815">
        <v>0</v>
      </c>
      <c r="I3815" t="s">
        <v>168</v>
      </c>
      <c r="J3815" t="s">
        <v>203</v>
      </c>
      <c r="K3815" t="s">
        <v>768</v>
      </c>
      <c r="O3815">
        <v>0</v>
      </c>
      <c r="U3815" t="s">
        <v>81</v>
      </c>
    </row>
    <row r="3816" spans="1:21" x14ac:dyDescent="0.25">
      <c r="A3816" s="33">
        <v>3834</v>
      </c>
      <c r="B3816" s="24">
        <v>44275</v>
      </c>
      <c r="C3816" t="s">
        <v>39</v>
      </c>
      <c r="D3816" t="s">
        <v>41</v>
      </c>
      <c r="E3816">
        <v>2000719600</v>
      </c>
      <c r="F3816">
        <v>120</v>
      </c>
      <c r="G3816">
        <v>55</v>
      </c>
      <c r="H3816">
        <v>0</v>
      </c>
      <c r="I3816" t="s">
        <v>168</v>
      </c>
      <c r="J3816" t="s">
        <v>745</v>
      </c>
      <c r="K3816" t="s">
        <v>836</v>
      </c>
      <c r="O3816">
        <v>0</v>
      </c>
      <c r="U3816" t="s">
        <v>81</v>
      </c>
    </row>
    <row r="3817" spans="1:21" x14ac:dyDescent="0.25">
      <c r="A3817" s="33">
        <v>3835</v>
      </c>
      <c r="B3817" s="24">
        <v>44275</v>
      </c>
      <c r="C3817" t="s">
        <v>39</v>
      </c>
      <c r="D3817" t="s">
        <v>41</v>
      </c>
      <c r="E3817">
        <v>2000719492</v>
      </c>
      <c r="F3817">
        <v>320</v>
      </c>
      <c r="G3817">
        <v>5</v>
      </c>
      <c r="H3817">
        <v>0</v>
      </c>
      <c r="I3817" t="s">
        <v>168</v>
      </c>
      <c r="J3817" t="s">
        <v>745</v>
      </c>
      <c r="K3817" t="s">
        <v>836</v>
      </c>
      <c r="O3817">
        <v>0</v>
      </c>
      <c r="T3817" s="62"/>
      <c r="U3817" t="s">
        <v>81</v>
      </c>
    </row>
    <row r="3818" spans="1:21" x14ac:dyDescent="0.25">
      <c r="A3818" s="33">
        <v>3836</v>
      </c>
      <c r="B3818" s="24">
        <v>44275</v>
      </c>
      <c r="C3818" t="s">
        <v>39</v>
      </c>
      <c r="D3818" t="s">
        <v>41</v>
      </c>
      <c r="E3818">
        <v>2000719971</v>
      </c>
      <c r="F3818">
        <v>650</v>
      </c>
      <c r="G3818">
        <v>80</v>
      </c>
      <c r="H3818">
        <v>0</v>
      </c>
      <c r="I3818" t="s">
        <v>642</v>
      </c>
      <c r="J3818" t="s">
        <v>645</v>
      </c>
      <c r="K3818" t="s">
        <v>649</v>
      </c>
      <c r="O3818">
        <v>0</v>
      </c>
      <c r="U3818" t="s">
        <v>81</v>
      </c>
    </row>
    <row r="3819" spans="1:21" x14ac:dyDescent="0.25">
      <c r="A3819" s="33">
        <v>3837</v>
      </c>
      <c r="B3819" s="24">
        <v>44275</v>
      </c>
      <c r="C3819" t="s">
        <v>39</v>
      </c>
      <c r="D3819" t="s">
        <v>41</v>
      </c>
      <c r="E3819">
        <v>2000719311</v>
      </c>
      <c r="F3819">
        <v>3700</v>
      </c>
      <c r="G3819">
        <v>30</v>
      </c>
      <c r="H3819">
        <v>0</v>
      </c>
      <c r="I3819" t="s">
        <v>642</v>
      </c>
      <c r="J3819" t="s">
        <v>172</v>
      </c>
      <c r="K3819" t="s">
        <v>173</v>
      </c>
      <c r="O3819">
        <v>0</v>
      </c>
      <c r="U3819" t="s">
        <v>81</v>
      </c>
    </row>
    <row r="3820" spans="1:21" x14ac:dyDescent="0.25">
      <c r="A3820" s="33">
        <v>3838</v>
      </c>
      <c r="B3820" s="24">
        <v>44275</v>
      </c>
      <c r="C3820" t="s">
        <v>39</v>
      </c>
      <c r="D3820" t="s">
        <v>41</v>
      </c>
      <c r="E3820">
        <v>2000718795</v>
      </c>
      <c r="F3820">
        <v>1000</v>
      </c>
      <c r="G3820">
        <v>80</v>
      </c>
      <c r="H3820">
        <v>0</v>
      </c>
      <c r="I3820" t="s">
        <v>642</v>
      </c>
      <c r="J3820" t="s">
        <v>193</v>
      </c>
      <c r="K3820" t="s">
        <v>647</v>
      </c>
      <c r="O3820">
        <v>0</v>
      </c>
      <c r="U3820" t="s">
        <v>81</v>
      </c>
    </row>
    <row r="3821" spans="1:21" x14ac:dyDescent="0.25">
      <c r="A3821" s="33">
        <v>3839</v>
      </c>
      <c r="B3821" s="24">
        <v>44275</v>
      </c>
      <c r="C3821" t="s">
        <v>39</v>
      </c>
      <c r="D3821" t="s">
        <v>41</v>
      </c>
      <c r="E3821">
        <v>2000719548</v>
      </c>
      <c r="F3821">
        <v>2500</v>
      </c>
      <c r="G3821">
        <v>140</v>
      </c>
      <c r="H3821">
        <v>0</v>
      </c>
      <c r="I3821" t="s">
        <v>642</v>
      </c>
      <c r="J3821" t="s">
        <v>172</v>
      </c>
      <c r="K3821" t="s">
        <v>173</v>
      </c>
      <c r="O3821">
        <v>0</v>
      </c>
      <c r="U3821" t="s">
        <v>81</v>
      </c>
    </row>
    <row r="3822" spans="1:21" x14ac:dyDescent="0.25">
      <c r="A3822" s="33">
        <v>3840</v>
      </c>
      <c r="B3822" s="24">
        <v>44275</v>
      </c>
      <c r="C3822" t="s">
        <v>39</v>
      </c>
      <c r="D3822" t="s">
        <v>41</v>
      </c>
      <c r="E3822">
        <v>2000715875</v>
      </c>
      <c r="F3822">
        <v>540</v>
      </c>
      <c r="G3822">
        <v>80</v>
      </c>
      <c r="H3822">
        <v>0</v>
      </c>
      <c r="I3822" t="s">
        <v>642</v>
      </c>
      <c r="J3822" t="s">
        <v>195</v>
      </c>
      <c r="K3822" t="s">
        <v>887</v>
      </c>
      <c r="O3822">
        <v>0</v>
      </c>
      <c r="U3822" t="s">
        <v>81</v>
      </c>
    </row>
    <row r="3823" spans="1:21" x14ac:dyDescent="0.25">
      <c r="A3823" s="33">
        <v>3841</v>
      </c>
      <c r="B3823" s="24">
        <v>44275</v>
      </c>
      <c r="C3823" t="s">
        <v>39</v>
      </c>
      <c r="D3823" t="s">
        <v>41</v>
      </c>
      <c r="E3823">
        <v>2000719581</v>
      </c>
      <c r="F3823">
        <v>720</v>
      </c>
      <c r="G3823">
        <v>50</v>
      </c>
      <c r="H3823">
        <v>0</v>
      </c>
      <c r="I3823" t="s">
        <v>642</v>
      </c>
      <c r="J3823" t="s">
        <v>645</v>
      </c>
      <c r="K3823" t="s">
        <v>718</v>
      </c>
      <c r="O3823">
        <v>0</v>
      </c>
      <c r="U3823" t="s">
        <v>81</v>
      </c>
    </row>
    <row r="3824" spans="1:21" x14ac:dyDescent="0.25">
      <c r="A3824" s="33">
        <v>3842</v>
      </c>
      <c r="B3824" s="24">
        <v>44275</v>
      </c>
      <c r="C3824" t="s">
        <v>39</v>
      </c>
      <c r="D3824" t="s">
        <v>41</v>
      </c>
      <c r="E3824">
        <v>2000719716</v>
      </c>
      <c r="F3824">
        <v>1970</v>
      </c>
      <c r="G3824">
        <v>273</v>
      </c>
      <c r="H3824">
        <v>0</v>
      </c>
      <c r="I3824" t="s">
        <v>666</v>
      </c>
      <c r="J3824" t="s">
        <v>174</v>
      </c>
      <c r="K3824" t="s">
        <v>662</v>
      </c>
      <c r="O3824">
        <v>0</v>
      </c>
      <c r="U3824" t="s">
        <v>81</v>
      </c>
    </row>
    <row r="3825" spans="1:21" x14ac:dyDescent="0.25">
      <c r="A3825" s="33">
        <v>3843</v>
      </c>
      <c r="B3825" s="24">
        <v>44275</v>
      </c>
      <c r="C3825" t="s">
        <v>39</v>
      </c>
      <c r="D3825" t="s">
        <v>41</v>
      </c>
      <c r="E3825">
        <v>2000720020</v>
      </c>
      <c r="F3825">
        <v>680</v>
      </c>
      <c r="G3825">
        <v>505</v>
      </c>
      <c r="H3825">
        <v>0</v>
      </c>
      <c r="I3825" t="s">
        <v>666</v>
      </c>
      <c r="J3825" t="s">
        <v>174</v>
      </c>
      <c r="K3825" t="s">
        <v>763</v>
      </c>
      <c r="O3825">
        <v>0</v>
      </c>
      <c r="U3825" t="s">
        <v>81</v>
      </c>
    </row>
    <row r="3826" spans="1:21" x14ac:dyDescent="0.25">
      <c r="A3826" s="33">
        <v>3844</v>
      </c>
      <c r="B3826" s="24">
        <v>44275</v>
      </c>
      <c r="C3826" t="s">
        <v>39</v>
      </c>
      <c r="D3826" t="s">
        <v>41</v>
      </c>
      <c r="E3826">
        <v>2000719716</v>
      </c>
      <c r="F3826">
        <v>1970</v>
      </c>
      <c r="G3826">
        <v>80</v>
      </c>
      <c r="H3826">
        <v>0</v>
      </c>
      <c r="I3826" t="s">
        <v>194</v>
      </c>
      <c r="J3826" t="s">
        <v>174</v>
      </c>
      <c r="K3826" t="s">
        <v>662</v>
      </c>
      <c r="O3826">
        <v>0</v>
      </c>
      <c r="U3826" t="s">
        <v>81</v>
      </c>
    </row>
    <row r="3827" spans="1:21" x14ac:dyDescent="0.25">
      <c r="A3827" s="33">
        <v>3845</v>
      </c>
      <c r="B3827" s="24">
        <v>44275</v>
      </c>
      <c r="C3827" t="s">
        <v>39</v>
      </c>
      <c r="D3827" t="s">
        <v>41</v>
      </c>
      <c r="E3827">
        <v>2000719287</v>
      </c>
      <c r="F3827">
        <v>800</v>
      </c>
      <c r="G3827">
        <v>480</v>
      </c>
      <c r="H3827">
        <v>0</v>
      </c>
      <c r="I3827" t="s">
        <v>194</v>
      </c>
      <c r="J3827" t="s">
        <v>174</v>
      </c>
      <c r="K3827" t="s">
        <v>177</v>
      </c>
      <c r="O3827">
        <v>0</v>
      </c>
      <c r="U3827" t="s">
        <v>81</v>
      </c>
    </row>
    <row r="3828" spans="1:21" x14ac:dyDescent="0.25">
      <c r="A3828" s="33">
        <v>3846</v>
      </c>
      <c r="B3828" s="24">
        <v>44275</v>
      </c>
      <c r="C3828" t="s">
        <v>39</v>
      </c>
      <c r="D3828" t="s">
        <v>41</v>
      </c>
      <c r="E3828">
        <v>2000719581</v>
      </c>
      <c r="F3828">
        <v>720</v>
      </c>
      <c r="G3828">
        <v>30</v>
      </c>
      <c r="H3828">
        <v>0</v>
      </c>
      <c r="I3828" t="s">
        <v>194</v>
      </c>
      <c r="J3828" t="s">
        <v>645</v>
      </c>
      <c r="K3828" t="s">
        <v>718</v>
      </c>
      <c r="O3828">
        <v>0</v>
      </c>
      <c r="U3828" t="s">
        <v>81</v>
      </c>
    </row>
    <row r="3829" spans="1:21" x14ac:dyDescent="0.25">
      <c r="A3829" s="33">
        <v>3847</v>
      </c>
      <c r="B3829" s="24">
        <v>44275</v>
      </c>
      <c r="C3829" t="s">
        <v>39</v>
      </c>
      <c r="D3829" t="s">
        <v>41</v>
      </c>
      <c r="E3829">
        <v>2000719271</v>
      </c>
      <c r="F3829">
        <v>1300</v>
      </c>
      <c r="G3829">
        <v>45</v>
      </c>
      <c r="H3829">
        <v>0</v>
      </c>
      <c r="I3829" t="s">
        <v>178</v>
      </c>
      <c r="J3829" t="s">
        <v>170</v>
      </c>
      <c r="K3829" t="s">
        <v>732</v>
      </c>
      <c r="O3829">
        <v>0</v>
      </c>
      <c r="U3829" t="s">
        <v>81</v>
      </c>
    </row>
    <row r="3830" spans="1:21" x14ac:dyDescent="0.25">
      <c r="A3830" s="33">
        <v>3848</v>
      </c>
      <c r="B3830" s="24">
        <v>44275</v>
      </c>
      <c r="C3830" t="s">
        <v>39</v>
      </c>
      <c r="D3830" t="s">
        <v>41</v>
      </c>
      <c r="E3830">
        <v>2000719668</v>
      </c>
      <c r="F3830">
        <v>1920</v>
      </c>
      <c r="G3830">
        <v>60</v>
      </c>
      <c r="H3830">
        <v>0</v>
      </c>
      <c r="I3830" t="s">
        <v>178</v>
      </c>
      <c r="J3830" t="s">
        <v>169</v>
      </c>
      <c r="K3830" t="s">
        <v>637</v>
      </c>
      <c r="O3830">
        <v>0</v>
      </c>
      <c r="U3830" t="s">
        <v>81</v>
      </c>
    </row>
    <row r="3831" spans="1:21" x14ac:dyDescent="0.25">
      <c r="A3831" s="33">
        <v>3849</v>
      </c>
      <c r="B3831" s="24">
        <v>44275</v>
      </c>
      <c r="C3831" t="s">
        <v>39</v>
      </c>
      <c r="D3831" t="s">
        <v>41</v>
      </c>
      <c r="E3831">
        <v>2000719537</v>
      </c>
      <c r="F3831">
        <v>900</v>
      </c>
      <c r="G3831">
        <v>80</v>
      </c>
      <c r="H3831">
        <v>0</v>
      </c>
      <c r="I3831" t="s">
        <v>178</v>
      </c>
      <c r="J3831" t="s">
        <v>169</v>
      </c>
      <c r="K3831" t="s">
        <v>663</v>
      </c>
      <c r="O3831">
        <v>0</v>
      </c>
      <c r="U3831" t="s">
        <v>81</v>
      </c>
    </row>
    <row r="3832" spans="1:21" x14ac:dyDescent="0.25">
      <c r="A3832" s="33">
        <v>3850</v>
      </c>
      <c r="B3832" s="24">
        <v>44275</v>
      </c>
      <c r="C3832" t="s">
        <v>39</v>
      </c>
      <c r="D3832" t="s">
        <v>41</v>
      </c>
      <c r="E3832">
        <v>2000719267</v>
      </c>
      <c r="F3832">
        <v>2001</v>
      </c>
      <c r="G3832">
        <v>120</v>
      </c>
      <c r="H3832">
        <v>0</v>
      </c>
      <c r="I3832" t="s">
        <v>178</v>
      </c>
      <c r="J3832" t="s">
        <v>687</v>
      </c>
      <c r="K3832" t="s">
        <v>688</v>
      </c>
      <c r="O3832">
        <v>0</v>
      </c>
      <c r="T3832">
        <v>0</v>
      </c>
      <c r="U3832" t="s">
        <v>81</v>
      </c>
    </row>
    <row r="3833" spans="1:21" x14ac:dyDescent="0.25">
      <c r="A3833" s="33">
        <v>3851</v>
      </c>
      <c r="B3833" s="24">
        <v>44275</v>
      </c>
      <c r="C3833" t="s">
        <v>39</v>
      </c>
      <c r="D3833" t="s">
        <v>41</v>
      </c>
      <c r="E3833">
        <v>2000719550</v>
      </c>
      <c r="F3833">
        <v>1000</v>
      </c>
      <c r="G3833">
        <v>270</v>
      </c>
      <c r="H3833">
        <v>0</v>
      </c>
      <c r="I3833" t="s">
        <v>178</v>
      </c>
      <c r="J3833" t="s">
        <v>203</v>
      </c>
      <c r="K3833" t="s">
        <v>768</v>
      </c>
      <c r="O3833">
        <v>0</v>
      </c>
      <c r="T3833">
        <v>0</v>
      </c>
      <c r="U3833" t="s">
        <v>81</v>
      </c>
    </row>
    <row r="3834" spans="1:21" x14ac:dyDescent="0.25">
      <c r="A3834" s="33">
        <v>3852</v>
      </c>
      <c r="B3834" s="24">
        <v>44275</v>
      </c>
      <c r="C3834" t="s">
        <v>39</v>
      </c>
      <c r="D3834" t="s">
        <v>41</v>
      </c>
      <c r="E3834">
        <v>2000719271</v>
      </c>
      <c r="F3834">
        <v>1300</v>
      </c>
      <c r="G3834">
        <v>270</v>
      </c>
      <c r="H3834">
        <v>0</v>
      </c>
      <c r="I3834" t="s">
        <v>661</v>
      </c>
      <c r="J3834" t="s">
        <v>170</v>
      </c>
      <c r="K3834" t="s">
        <v>732</v>
      </c>
      <c r="O3834">
        <v>0</v>
      </c>
      <c r="U3834" t="s">
        <v>81</v>
      </c>
    </row>
    <row r="3835" spans="1:21" x14ac:dyDescent="0.25">
      <c r="A3835" s="33">
        <v>3853</v>
      </c>
      <c r="B3835" s="24">
        <v>44275</v>
      </c>
      <c r="C3835" t="s">
        <v>39</v>
      </c>
      <c r="D3835" t="s">
        <v>41</v>
      </c>
      <c r="E3835">
        <v>2000719663</v>
      </c>
      <c r="F3835">
        <v>2000</v>
      </c>
      <c r="G3835">
        <v>450</v>
      </c>
      <c r="H3835">
        <v>0</v>
      </c>
      <c r="I3835" t="s">
        <v>661</v>
      </c>
      <c r="J3835" t="s">
        <v>174</v>
      </c>
      <c r="K3835" t="s">
        <v>774</v>
      </c>
      <c r="O3835">
        <v>0</v>
      </c>
      <c r="U3835" t="s">
        <v>81</v>
      </c>
    </row>
    <row r="3836" spans="1:21" x14ac:dyDescent="0.25">
      <c r="A3836" s="33">
        <v>3854</v>
      </c>
      <c r="B3836" s="24">
        <v>44275</v>
      </c>
      <c r="C3836" t="s">
        <v>39</v>
      </c>
      <c r="D3836" t="s">
        <v>51</v>
      </c>
      <c r="E3836">
        <v>2000718984</v>
      </c>
      <c r="F3836">
        <v>620</v>
      </c>
      <c r="G3836">
        <v>240</v>
      </c>
      <c r="H3836">
        <v>0</v>
      </c>
      <c r="I3836" t="s">
        <v>191</v>
      </c>
      <c r="J3836" t="s">
        <v>676</v>
      </c>
      <c r="K3836" t="s">
        <v>874</v>
      </c>
      <c r="O3836">
        <v>0</v>
      </c>
      <c r="U3836" t="s">
        <v>81</v>
      </c>
    </row>
    <row r="3837" spans="1:21" x14ac:dyDescent="0.25">
      <c r="A3837" s="33">
        <v>3855</v>
      </c>
      <c r="B3837" s="24">
        <v>44275</v>
      </c>
      <c r="C3837" t="s">
        <v>39</v>
      </c>
      <c r="D3837" t="s">
        <v>51</v>
      </c>
      <c r="E3837">
        <v>2000719769</v>
      </c>
      <c r="F3837">
        <v>450</v>
      </c>
      <c r="G3837">
        <v>70</v>
      </c>
      <c r="H3837">
        <v>0</v>
      </c>
      <c r="I3837" t="s">
        <v>191</v>
      </c>
      <c r="J3837" t="s">
        <v>667</v>
      </c>
      <c r="K3837" t="s">
        <v>671</v>
      </c>
      <c r="O3837">
        <v>0</v>
      </c>
      <c r="U3837" t="s">
        <v>81</v>
      </c>
    </row>
    <row r="3838" spans="1:21" x14ac:dyDescent="0.25">
      <c r="A3838" s="33">
        <v>3856</v>
      </c>
      <c r="B3838" s="24">
        <v>44275</v>
      </c>
      <c r="C3838" t="s">
        <v>39</v>
      </c>
      <c r="D3838" t="s">
        <v>51</v>
      </c>
      <c r="E3838">
        <v>2000719770</v>
      </c>
      <c r="F3838">
        <v>450</v>
      </c>
      <c r="G3838">
        <v>140</v>
      </c>
      <c r="H3838">
        <v>0</v>
      </c>
      <c r="I3838" t="s">
        <v>191</v>
      </c>
      <c r="J3838" t="s">
        <v>667</v>
      </c>
      <c r="K3838" t="s">
        <v>671</v>
      </c>
      <c r="O3838">
        <v>0</v>
      </c>
      <c r="U3838" t="s">
        <v>81</v>
      </c>
    </row>
    <row r="3839" spans="1:21" x14ac:dyDescent="0.25">
      <c r="A3839" s="33">
        <v>3857</v>
      </c>
      <c r="B3839" s="24">
        <v>44275</v>
      </c>
      <c r="C3839" t="s">
        <v>39</v>
      </c>
      <c r="D3839" t="s">
        <v>51</v>
      </c>
      <c r="E3839">
        <v>2000719229</v>
      </c>
      <c r="F3839">
        <v>310</v>
      </c>
      <c r="G3839">
        <v>10</v>
      </c>
      <c r="H3839">
        <v>0</v>
      </c>
      <c r="I3839" t="s">
        <v>191</v>
      </c>
      <c r="J3839" t="s">
        <v>676</v>
      </c>
      <c r="K3839" t="s">
        <v>874</v>
      </c>
      <c r="O3839">
        <v>0</v>
      </c>
      <c r="U3839" t="s">
        <v>81</v>
      </c>
    </row>
    <row r="3840" spans="1:21" x14ac:dyDescent="0.25">
      <c r="A3840" s="33">
        <v>3858</v>
      </c>
      <c r="B3840" s="24">
        <v>44275</v>
      </c>
      <c r="C3840" t="s">
        <v>39</v>
      </c>
      <c r="D3840" t="s">
        <v>51</v>
      </c>
      <c r="E3840">
        <v>2000719527</v>
      </c>
      <c r="F3840">
        <v>380</v>
      </c>
      <c r="G3840">
        <v>99</v>
      </c>
      <c r="H3840">
        <v>0</v>
      </c>
      <c r="I3840" t="s">
        <v>191</v>
      </c>
      <c r="J3840" t="s">
        <v>673</v>
      </c>
      <c r="K3840" t="s">
        <v>708</v>
      </c>
      <c r="O3840">
        <v>0</v>
      </c>
      <c r="U3840" t="s">
        <v>81</v>
      </c>
    </row>
    <row r="3841" spans="1:21" x14ac:dyDescent="0.25">
      <c r="A3841" s="33">
        <v>3859</v>
      </c>
      <c r="B3841" s="24">
        <v>44275</v>
      </c>
      <c r="C3841" t="s">
        <v>39</v>
      </c>
      <c r="D3841" t="s">
        <v>51</v>
      </c>
      <c r="E3841">
        <v>2000719235</v>
      </c>
      <c r="F3841">
        <v>600</v>
      </c>
      <c r="G3841">
        <v>30</v>
      </c>
      <c r="H3841">
        <v>0</v>
      </c>
      <c r="I3841" t="s">
        <v>191</v>
      </c>
      <c r="J3841" t="s">
        <v>667</v>
      </c>
      <c r="K3841" t="s">
        <v>668</v>
      </c>
      <c r="O3841">
        <v>0</v>
      </c>
      <c r="U3841" t="s">
        <v>81</v>
      </c>
    </row>
    <row r="3842" spans="1:21" x14ac:dyDescent="0.25">
      <c r="A3842" s="33">
        <v>3860</v>
      </c>
      <c r="B3842" s="24">
        <v>44275</v>
      </c>
      <c r="C3842" t="s">
        <v>39</v>
      </c>
      <c r="D3842" t="s">
        <v>51</v>
      </c>
      <c r="E3842">
        <v>2000719828</v>
      </c>
      <c r="F3842">
        <v>796</v>
      </c>
      <c r="G3842">
        <v>150</v>
      </c>
      <c r="H3842">
        <v>0</v>
      </c>
      <c r="I3842" t="s">
        <v>191</v>
      </c>
      <c r="J3842" t="s">
        <v>667</v>
      </c>
      <c r="K3842" t="s">
        <v>668</v>
      </c>
      <c r="O3842">
        <v>0</v>
      </c>
      <c r="U3842" t="s">
        <v>81</v>
      </c>
    </row>
    <row r="3843" spans="1:21" x14ac:dyDescent="0.25">
      <c r="A3843" s="33">
        <v>3861</v>
      </c>
      <c r="B3843" s="24">
        <v>44275</v>
      </c>
      <c r="C3843" t="s">
        <v>39</v>
      </c>
      <c r="D3843" t="s">
        <v>51</v>
      </c>
      <c r="E3843">
        <v>2000718986</v>
      </c>
      <c r="F3843">
        <v>620</v>
      </c>
      <c r="G3843">
        <v>620</v>
      </c>
      <c r="H3843">
        <v>0</v>
      </c>
      <c r="I3843" t="s">
        <v>191</v>
      </c>
      <c r="J3843" t="s">
        <v>673</v>
      </c>
      <c r="K3843" t="s">
        <v>679</v>
      </c>
      <c r="O3843">
        <v>0</v>
      </c>
      <c r="U3843" t="s">
        <v>81</v>
      </c>
    </row>
    <row r="3844" spans="1:21" x14ac:dyDescent="0.25">
      <c r="A3844" s="33">
        <v>3862</v>
      </c>
      <c r="B3844" s="24">
        <v>44275</v>
      </c>
      <c r="C3844" t="s">
        <v>39</v>
      </c>
      <c r="D3844" t="s">
        <v>51</v>
      </c>
      <c r="E3844">
        <v>2000719533</v>
      </c>
      <c r="F3844">
        <v>500</v>
      </c>
      <c r="G3844">
        <v>60</v>
      </c>
      <c r="H3844">
        <v>0</v>
      </c>
      <c r="I3844" t="s">
        <v>191</v>
      </c>
      <c r="J3844" t="s">
        <v>779</v>
      </c>
      <c r="K3844" t="s">
        <v>780</v>
      </c>
      <c r="O3844">
        <v>0</v>
      </c>
      <c r="U3844" t="s">
        <v>81</v>
      </c>
    </row>
    <row r="3845" spans="1:21" x14ac:dyDescent="0.25">
      <c r="A3845" s="33">
        <v>3863</v>
      </c>
      <c r="B3845" s="24">
        <v>44275</v>
      </c>
      <c r="C3845" t="s">
        <v>181</v>
      </c>
      <c r="D3845" t="s">
        <v>41</v>
      </c>
      <c r="E3845">
        <v>2000719287</v>
      </c>
      <c r="F3845">
        <v>800</v>
      </c>
      <c r="G3845">
        <v>40</v>
      </c>
      <c r="H3845">
        <v>0</v>
      </c>
      <c r="I3845" t="s">
        <v>696</v>
      </c>
      <c r="J3845" t="s">
        <v>174</v>
      </c>
      <c r="K3845" t="s">
        <v>177</v>
      </c>
      <c r="O3845">
        <v>0</v>
      </c>
      <c r="U3845" t="s">
        <v>81</v>
      </c>
    </row>
    <row r="3846" spans="1:21" x14ac:dyDescent="0.25">
      <c r="A3846" s="33">
        <v>3864</v>
      </c>
      <c r="B3846" s="24">
        <v>44275</v>
      </c>
      <c r="C3846" t="s">
        <v>181</v>
      </c>
      <c r="D3846" t="s">
        <v>41</v>
      </c>
      <c r="E3846">
        <v>2000720021</v>
      </c>
      <c r="F3846">
        <v>320</v>
      </c>
      <c r="G3846">
        <v>80</v>
      </c>
      <c r="H3846">
        <v>0</v>
      </c>
      <c r="I3846" t="s">
        <v>696</v>
      </c>
      <c r="J3846" t="s">
        <v>174</v>
      </c>
      <c r="K3846" t="s">
        <v>662</v>
      </c>
      <c r="O3846">
        <v>0</v>
      </c>
      <c r="U3846" t="s">
        <v>81</v>
      </c>
    </row>
    <row r="3847" spans="1:21" x14ac:dyDescent="0.25">
      <c r="A3847" s="33">
        <v>3865</v>
      </c>
      <c r="B3847" s="24">
        <v>44275</v>
      </c>
      <c r="C3847" t="s">
        <v>181</v>
      </c>
      <c r="D3847" t="s">
        <v>41</v>
      </c>
      <c r="E3847">
        <v>2000718328</v>
      </c>
      <c r="F3847">
        <v>1240</v>
      </c>
      <c r="G3847">
        <v>80</v>
      </c>
      <c r="H3847">
        <v>0</v>
      </c>
      <c r="I3847" t="s">
        <v>696</v>
      </c>
      <c r="J3847" t="s">
        <v>174</v>
      </c>
      <c r="K3847" t="s">
        <v>644</v>
      </c>
      <c r="O3847">
        <v>0</v>
      </c>
      <c r="U3847" t="s">
        <v>81</v>
      </c>
    </row>
    <row r="3848" spans="1:21" x14ac:dyDescent="0.25">
      <c r="A3848" s="33">
        <v>3866</v>
      </c>
      <c r="B3848" s="24">
        <v>44275</v>
      </c>
      <c r="C3848" t="s">
        <v>181</v>
      </c>
      <c r="D3848" t="s">
        <v>41</v>
      </c>
      <c r="E3848">
        <v>2000717861</v>
      </c>
      <c r="F3848">
        <v>760</v>
      </c>
      <c r="G3848">
        <v>40</v>
      </c>
      <c r="H3848">
        <v>0</v>
      </c>
      <c r="I3848" t="s">
        <v>696</v>
      </c>
      <c r="J3848" t="s">
        <v>174</v>
      </c>
      <c r="K3848" t="s">
        <v>644</v>
      </c>
      <c r="O3848">
        <v>0</v>
      </c>
      <c r="U3848" t="s">
        <v>81</v>
      </c>
    </row>
    <row r="3849" spans="1:21" x14ac:dyDescent="0.25">
      <c r="A3849" s="33">
        <v>3867</v>
      </c>
      <c r="B3849" s="24">
        <v>44275</v>
      </c>
      <c r="C3849" t="s">
        <v>181</v>
      </c>
      <c r="D3849" t="s">
        <v>41</v>
      </c>
      <c r="E3849">
        <v>2000720384</v>
      </c>
      <c r="F3849">
        <v>1840</v>
      </c>
      <c r="G3849">
        <v>280</v>
      </c>
      <c r="H3849">
        <v>0</v>
      </c>
      <c r="I3849" t="s">
        <v>696</v>
      </c>
      <c r="J3849" t="s">
        <v>174</v>
      </c>
      <c r="K3849" t="s">
        <v>644</v>
      </c>
      <c r="O3849">
        <v>0</v>
      </c>
      <c r="U3849" t="s">
        <v>81</v>
      </c>
    </row>
    <row r="3850" spans="1:21" x14ac:dyDescent="0.25">
      <c r="A3850" s="33">
        <v>3868</v>
      </c>
      <c r="B3850" s="24">
        <v>44275</v>
      </c>
      <c r="C3850" t="s">
        <v>181</v>
      </c>
      <c r="D3850" t="s">
        <v>41</v>
      </c>
      <c r="E3850">
        <v>2000719600</v>
      </c>
      <c r="F3850">
        <v>120</v>
      </c>
      <c r="G3850">
        <v>60</v>
      </c>
      <c r="H3850">
        <v>0</v>
      </c>
      <c r="I3850" t="s">
        <v>184</v>
      </c>
      <c r="J3850" t="s">
        <v>745</v>
      </c>
      <c r="K3850" t="s">
        <v>836</v>
      </c>
      <c r="O3850">
        <v>0</v>
      </c>
      <c r="U3850" t="s">
        <v>81</v>
      </c>
    </row>
    <row r="3851" spans="1:21" x14ac:dyDescent="0.25">
      <c r="A3851" s="33">
        <v>3869</v>
      </c>
      <c r="B3851" s="24">
        <v>44275</v>
      </c>
      <c r="C3851" t="s">
        <v>181</v>
      </c>
      <c r="D3851" t="s">
        <v>41</v>
      </c>
      <c r="E3851">
        <v>2000719550</v>
      </c>
      <c r="F3851">
        <v>1000</v>
      </c>
      <c r="G3851">
        <v>180</v>
      </c>
      <c r="H3851">
        <v>0</v>
      </c>
      <c r="I3851" t="s">
        <v>184</v>
      </c>
      <c r="J3851" t="s">
        <v>203</v>
      </c>
      <c r="K3851" t="s">
        <v>768</v>
      </c>
      <c r="O3851">
        <v>0</v>
      </c>
      <c r="U3851" t="s">
        <v>81</v>
      </c>
    </row>
    <row r="3852" spans="1:21" x14ac:dyDescent="0.25">
      <c r="A3852" s="33">
        <v>3870</v>
      </c>
      <c r="B3852" s="24">
        <v>44275</v>
      </c>
      <c r="C3852" t="s">
        <v>181</v>
      </c>
      <c r="D3852" t="s">
        <v>41</v>
      </c>
      <c r="E3852">
        <v>2000720384</v>
      </c>
      <c r="F3852">
        <v>1840</v>
      </c>
      <c r="G3852">
        <v>40</v>
      </c>
      <c r="H3852">
        <v>0</v>
      </c>
      <c r="I3852" t="s">
        <v>184</v>
      </c>
      <c r="J3852" t="s">
        <v>174</v>
      </c>
      <c r="K3852" t="s">
        <v>644</v>
      </c>
      <c r="O3852">
        <v>0</v>
      </c>
      <c r="U3852" t="s">
        <v>81</v>
      </c>
    </row>
    <row r="3853" spans="1:21" x14ac:dyDescent="0.25">
      <c r="A3853" s="33">
        <v>3871</v>
      </c>
      <c r="B3853" s="24">
        <v>44275</v>
      </c>
      <c r="C3853" t="s">
        <v>181</v>
      </c>
      <c r="D3853" t="s">
        <v>41</v>
      </c>
      <c r="E3853">
        <v>2000719663</v>
      </c>
      <c r="F3853">
        <v>2000</v>
      </c>
      <c r="G3853">
        <v>180</v>
      </c>
      <c r="H3853">
        <v>0</v>
      </c>
      <c r="I3853" t="s">
        <v>184</v>
      </c>
      <c r="J3853" t="s">
        <v>174</v>
      </c>
      <c r="K3853" t="s">
        <v>774</v>
      </c>
      <c r="O3853">
        <v>0</v>
      </c>
      <c r="U3853" t="s">
        <v>81</v>
      </c>
    </row>
    <row r="3854" spans="1:21" x14ac:dyDescent="0.25">
      <c r="A3854" s="33">
        <v>3872</v>
      </c>
      <c r="B3854" s="24">
        <v>44275</v>
      </c>
      <c r="C3854" t="s">
        <v>181</v>
      </c>
      <c r="D3854" t="s">
        <v>41</v>
      </c>
      <c r="E3854">
        <v>2000719581</v>
      </c>
      <c r="F3854">
        <v>720</v>
      </c>
      <c r="G3854">
        <v>50</v>
      </c>
      <c r="H3854">
        <v>0</v>
      </c>
      <c r="I3854" t="s">
        <v>185</v>
      </c>
      <c r="J3854" t="s">
        <v>645</v>
      </c>
      <c r="K3854" t="s">
        <v>718</v>
      </c>
      <c r="O3854">
        <v>0</v>
      </c>
      <c r="U3854" t="s">
        <v>81</v>
      </c>
    </row>
    <row r="3855" spans="1:21" x14ac:dyDescent="0.25">
      <c r="A3855" s="33">
        <v>3873</v>
      </c>
      <c r="B3855" s="24">
        <v>44275</v>
      </c>
      <c r="C3855" t="s">
        <v>181</v>
      </c>
      <c r="D3855" t="s">
        <v>41</v>
      </c>
      <c r="E3855">
        <v>2000719668</v>
      </c>
      <c r="F3855">
        <v>1920</v>
      </c>
      <c r="G3855">
        <v>60</v>
      </c>
      <c r="H3855">
        <v>0</v>
      </c>
      <c r="I3855" t="s">
        <v>185</v>
      </c>
      <c r="J3855" t="s">
        <v>169</v>
      </c>
      <c r="K3855" t="s">
        <v>637</v>
      </c>
      <c r="O3855">
        <v>0</v>
      </c>
      <c r="U3855" t="s">
        <v>81</v>
      </c>
    </row>
    <row r="3856" spans="1:21" x14ac:dyDescent="0.25">
      <c r="A3856" s="33">
        <v>3874</v>
      </c>
      <c r="B3856" s="24">
        <v>44275</v>
      </c>
      <c r="C3856" t="s">
        <v>181</v>
      </c>
      <c r="D3856" t="s">
        <v>41</v>
      </c>
      <c r="E3856">
        <v>2000719594</v>
      </c>
      <c r="F3856">
        <v>1240</v>
      </c>
      <c r="G3856">
        <v>120</v>
      </c>
      <c r="H3856">
        <v>0</v>
      </c>
      <c r="I3856" t="s">
        <v>185</v>
      </c>
      <c r="J3856" t="s">
        <v>195</v>
      </c>
      <c r="K3856" t="s">
        <v>887</v>
      </c>
      <c r="O3856">
        <v>0</v>
      </c>
      <c r="U3856" t="s">
        <v>81</v>
      </c>
    </row>
    <row r="3857" spans="1:21" x14ac:dyDescent="0.25">
      <c r="A3857" s="33">
        <v>3875</v>
      </c>
      <c r="B3857" s="24">
        <v>44275</v>
      </c>
      <c r="C3857" t="s">
        <v>181</v>
      </c>
      <c r="D3857" t="s">
        <v>41</v>
      </c>
      <c r="E3857">
        <v>2000719671</v>
      </c>
      <c r="F3857">
        <v>3999</v>
      </c>
      <c r="G3857">
        <v>120</v>
      </c>
      <c r="H3857">
        <v>0</v>
      </c>
      <c r="I3857" t="s">
        <v>185</v>
      </c>
      <c r="J3857" t="s">
        <v>687</v>
      </c>
      <c r="K3857" t="s">
        <v>688</v>
      </c>
      <c r="O3857">
        <v>0</v>
      </c>
      <c r="U3857" t="s">
        <v>81</v>
      </c>
    </row>
    <row r="3858" spans="1:21" x14ac:dyDescent="0.25">
      <c r="A3858" s="33">
        <v>3876</v>
      </c>
      <c r="B3858" s="24">
        <v>44275</v>
      </c>
      <c r="C3858" t="s">
        <v>181</v>
      </c>
      <c r="D3858" t="s">
        <v>41</v>
      </c>
      <c r="E3858">
        <v>2000719607</v>
      </c>
      <c r="F3858">
        <v>2720</v>
      </c>
      <c r="G3858">
        <v>120</v>
      </c>
      <c r="H3858">
        <v>0</v>
      </c>
      <c r="I3858" t="s">
        <v>185</v>
      </c>
      <c r="J3858" t="s">
        <v>655</v>
      </c>
      <c r="K3858" t="s">
        <v>656</v>
      </c>
      <c r="O3858">
        <v>0</v>
      </c>
      <c r="U3858" t="s">
        <v>81</v>
      </c>
    </row>
    <row r="3859" spans="1:21" x14ac:dyDescent="0.25">
      <c r="A3859" s="33">
        <v>3877</v>
      </c>
      <c r="B3859" s="24">
        <v>44275</v>
      </c>
      <c r="C3859" t="s">
        <v>181</v>
      </c>
      <c r="D3859" t="s">
        <v>41</v>
      </c>
      <c r="E3859">
        <v>2000719986</v>
      </c>
      <c r="F3859">
        <v>1300</v>
      </c>
      <c r="G3859">
        <v>90</v>
      </c>
      <c r="H3859">
        <v>0</v>
      </c>
      <c r="I3859" t="s">
        <v>185</v>
      </c>
      <c r="J3859" t="s">
        <v>169</v>
      </c>
      <c r="K3859" t="s">
        <v>179</v>
      </c>
      <c r="O3859">
        <v>0</v>
      </c>
      <c r="U3859" t="s">
        <v>81</v>
      </c>
    </row>
    <row r="3860" spans="1:21" x14ac:dyDescent="0.25">
      <c r="A3860" s="33">
        <v>3878</v>
      </c>
      <c r="B3860" s="24">
        <v>44275</v>
      </c>
      <c r="C3860" t="s">
        <v>181</v>
      </c>
      <c r="D3860" t="s">
        <v>41</v>
      </c>
      <c r="E3860">
        <v>2000719580</v>
      </c>
      <c r="F3860">
        <v>830</v>
      </c>
      <c r="G3860">
        <v>80</v>
      </c>
      <c r="H3860">
        <v>0</v>
      </c>
      <c r="I3860" t="s">
        <v>185</v>
      </c>
      <c r="J3860" t="s">
        <v>645</v>
      </c>
      <c r="K3860" t="s">
        <v>765</v>
      </c>
      <c r="O3860">
        <v>0</v>
      </c>
      <c r="U3860" t="s">
        <v>81</v>
      </c>
    </row>
    <row r="3861" spans="1:21" x14ac:dyDescent="0.25">
      <c r="A3861" s="33">
        <v>3879</v>
      </c>
      <c r="B3861" s="24">
        <v>44275</v>
      </c>
      <c r="C3861" t="s">
        <v>181</v>
      </c>
      <c r="D3861" t="s">
        <v>41</v>
      </c>
      <c r="E3861">
        <v>2000719287</v>
      </c>
      <c r="F3861">
        <v>800</v>
      </c>
      <c r="G3861">
        <v>278</v>
      </c>
      <c r="H3861">
        <v>0</v>
      </c>
      <c r="I3861" t="s">
        <v>183</v>
      </c>
      <c r="J3861" t="s">
        <v>174</v>
      </c>
      <c r="K3861" t="s">
        <v>177</v>
      </c>
      <c r="O3861">
        <v>0</v>
      </c>
      <c r="U3861" t="s">
        <v>81</v>
      </c>
    </row>
    <row r="3862" spans="1:21" x14ac:dyDescent="0.25">
      <c r="A3862" s="33">
        <v>3880</v>
      </c>
      <c r="B3862" s="24">
        <v>44275</v>
      </c>
      <c r="C3862" t="s">
        <v>181</v>
      </c>
      <c r="D3862" t="s">
        <v>41</v>
      </c>
      <c r="E3862">
        <v>2000719702</v>
      </c>
      <c r="F3862">
        <v>720</v>
      </c>
      <c r="G3862">
        <v>2</v>
      </c>
      <c r="H3862">
        <v>0</v>
      </c>
      <c r="I3862" t="s">
        <v>183</v>
      </c>
      <c r="J3862" t="s">
        <v>174</v>
      </c>
      <c r="K3862" t="s">
        <v>204</v>
      </c>
      <c r="O3862">
        <v>0</v>
      </c>
      <c r="U3862" t="s">
        <v>81</v>
      </c>
    </row>
    <row r="3863" spans="1:21" x14ac:dyDescent="0.25">
      <c r="A3863" s="33">
        <v>3881</v>
      </c>
      <c r="B3863" s="24">
        <v>44275</v>
      </c>
      <c r="C3863" t="s">
        <v>181</v>
      </c>
      <c r="D3863" t="s">
        <v>41</v>
      </c>
      <c r="E3863">
        <v>2000718748</v>
      </c>
      <c r="F3863">
        <v>560</v>
      </c>
      <c r="G3863">
        <v>6</v>
      </c>
      <c r="H3863">
        <v>0</v>
      </c>
      <c r="I3863" t="s">
        <v>183</v>
      </c>
      <c r="J3863" t="s">
        <v>174</v>
      </c>
      <c r="K3863" t="s">
        <v>204</v>
      </c>
      <c r="O3863">
        <v>0</v>
      </c>
      <c r="U3863" t="s">
        <v>81</v>
      </c>
    </row>
    <row r="3864" spans="1:21" x14ac:dyDescent="0.25">
      <c r="A3864" s="33">
        <v>3882</v>
      </c>
      <c r="B3864" s="24">
        <v>44275</v>
      </c>
      <c r="C3864" t="s">
        <v>181</v>
      </c>
      <c r="D3864" t="s">
        <v>41</v>
      </c>
      <c r="E3864">
        <v>2000720385</v>
      </c>
      <c r="F3864">
        <v>720</v>
      </c>
      <c r="G3864">
        <v>480</v>
      </c>
      <c r="H3864">
        <v>0</v>
      </c>
      <c r="I3864" t="s">
        <v>183</v>
      </c>
      <c r="J3864" t="s">
        <v>174</v>
      </c>
      <c r="K3864" t="s">
        <v>204</v>
      </c>
      <c r="O3864">
        <v>0</v>
      </c>
      <c r="U3864" t="s">
        <v>81</v>
      </c>
    </row>
    <row r="3865" spans="1:21" x14ac:dyDescent="0.25">
      <c r="A3865" s="33">
        <v>3883</v>
      </c>
      <c r="B3865" s="24">
        <v>44275</v>
      </c>
      <c r="C3865" t="s">
        <v>181</v>
      </c>
      <c r="D3865" t="s">
        <v>41</v>
      </c>
      <c r="E3865">
        <v>2000720021</v>
      </c>
      <c r="F3865">
        <v>320</v>
      </c>
      <c r="G3865">
        <v>160</v>
      </c>
      <c r="H3865">
        <v>1</v>
      </c>
      <c r="I3865" t="s">
        <v>180</v>
      </c>
      <c r="J3865" t="s">
        <v>174</v>
      </c>
      <c r="K3865" t="s">
        <v>662</v>
      </c>
      <c r="L3865" t="s">
        <v>118</v>
      </c>
      <c r="N3865" t="s">
        <v>1122</v>
      </c>
      <c r="O3865">
        <v>1</v>
      </c>
      <c r="P3865" t="s">
        <v>1119</v>
      </c>
      <c r="Q3865" t="s">
        <v>1120</v>
      </c>
      <c r="R3865" t="s">
        <v>1121</v>
      </c>
      <c r="S3865" s="36">
        <v>0.90972222222222221</v>
      </c>
      <c r="U3865" t="s">
        <v>81</v>
      </c>
    </row>
    <row r="3866" spans="1:21" x14ac:dyDescent="0.25">
      <c r="A3866" s="33">
        <v>3884</v>
      </c>
      <c r="B3866" s="24">
        <v>44275</v>
      </c>
      <c r="C3866" t="s">
        <v>181</v>
      </c>
      <c r="D3866" t="s">
        <v>41</v>
      </c>
      <c r="E3866">
        <v>2000718328</v>
      </c>
      <c r="F3866">
        <v>1240</v>
      </c>
      <c r="G3866">
        <v>40</v>
      </c>
      <c r="H3866">
        <v>0</v>
      </c>
      <c r="I3866" t="s">
        <v>180</v>
      </c>
      <c r="J3866" t="s">
        <v>174</v>
      </c>
      <c r="K3866" t="s">
        <v>644</v>
      </c>
      <c r="O3866">
        <v>0</v>
      </c>
      <c r="U3866" t="s">
        <v>81</v>
      </c>
    </row>
    <row r="3867" spans="1:21" x14ac:dyDescent="0.25">
      <c r="A3867" s="33">
        <v>3885</v>
      </c>
      <c r="B3867" s="24">
        <v>44275</v>
      </c>
      <c r="C3867" t="s">
        <v>181</v>
      </c>
      <c r="D3867" t="s">
        <v>41</v>
      </c>
      <c r="E3867">
        <v>2000717861</v>
      </c>
      <c r="F3867">
        <v>760</v>
      </c>
      <c r="G3867">
        <v>80</v>
      </c>
      <c r="H3867">
        <v>0</v>
      </c>
      <c r="I3867" t="s">
        <v>180</v>
      </c>
      <c r="J3867" t="s">
        <v>174</v>
      </c>
      <c r="K3867" t="s">
        <v>644</v>
      </c>
      <c r="O3867">
        <v>0</v>
      </c>
      <c r="U3867" t="s">
        <v>81</v>
      </c>
    </row>
    <row r="3868" spans="1:21" x14ac:dyDescent="0.25">
      <c r="A3868" s="33">
        <v>3886</v>
      </c>
      <c r="B3868" s="24">
        <v>44275</v>
      </c>
      <c r="C3868" t="s">
        <v>181</v>
      </c>
      <c r="D3868" t="s">
        <v>41</v>
      </c>
      <c r="E3868">
        <v>2000720384</v>
      </c>
      <c r="F3868">
        <v>1840</v>
      </c>
      <c r="G3868">
        <v>400</v>
      </c>
      <c r="H3868">
        <v>0</v>
      </c>
      <c r="I3868" t="s">
        <v>180</v>
      </c>
      <c r="J3868" t="s">
        <v>174</v>
      </c>
      <c r="K3868" t="s">
        <v>644</v>
      </c>
      <c r="O3868">
        <v>0</v>
      </c>
      <c r="T3868" s="62"/>
      <c r="U3868" t="s">
        <v>81</v>
      </c>
    </row>
    <row r="3869" spans="1:21" x14ac:dyDescent="0.25">
      <c r="A3869" s="33">
        <v>3887</v>
      </c>
      <c r="B3869" s="24">
        <v>44275</v>
      </c>
      <c r="C3869" t="s">
        <v>181</v>
      </c>
      <c r="D3869" t="s">
        <v>41</v>
      </c>
      <c r="E3869">
        <v>2000719663</v>
      </c>
      <c r="F3869">
        <v>2000</v>
      </c>
      <c r="G3869">
        <v>900</v>
      </c>
      <c r="H3869">
        <v>0</v>
      </c>
      <c r="I3869" t="s">
        <v>693</v>
      </c>
      <c r="J3869" t="s">
        <v>174</v>
      </c>
      <c r="K3869" t="s">
        <v>774</v>
      </c>
      <c r="O3869">
        <v>0</v>
      </c>
      <c r="U3869" t="s">
        <v>81</v>
      </c>
    </row>
    <row r="3870" spans="1:21" x14ac:dyDescent="0.25">
      <c r="A3870" s="33">
        <v>3888</v>
      </c>
      <c r="B3870" s="24">
        <v>44275</v>
      </c>
      <c r="C3870" t="s">
        <v>181</v>
      </c>
      <c r="D3870" t="s">
        <v>41</v>
      </c>
      <c r="E3870">
        <v>2000715877</v>
      </c>
      <c r="F3870">
        <v>540</v>
      </c>
      <c r="G3870">
        <v>200</v>
      </c>
      <c r="H3870">
        <v>0</v>
      </c>
      <c r="I3870" t="s">
        <v>680</v>
      </c>
      <c r="J3870" t="s">
        <v>195</v>
      </c>
      <c r="K3870" t="s">
        <v>818</v>
      </c>
      <c r="O3870">
        <v>0</v>
      </c>
      <c r="U3870" t="s">
        <v>81</v>
      </c>
    </row>
    <row r="3871" spans="1:21" x14ac:dyDescent="0.25">
      <c r="A3871" s="33">
        <v>3889</v>
      </c>
      <c r="B3871" s="24">
        <v>44275</v>
      </c>
      <c r="C3871" t="s">
        <v>181</v>
      </c>
      <c r="D3871" t="s">
        <v>41</v>
      </c>
      <c r="E3871">
        <v>2000719353</v>
      </c>
      <c r="F3871">
        <v>600</v>
      </c>
      <c r="G3871">
        <v>300</v>
      </c>
      <c r="H3871">
        <v>0</v>
      </c>
      <c r="I3871" t="s">
        <v>680</v>
      </c>
      <c r="J3871" t="s">
        <v>169</v>
      </c>
      <c r="K3871" t="s">
        <v>867</v>
      </c>
      <c r="O3871">
        <v>0</v>
      </c>
      <c r="U3871" t="s">
        <v>81</v>
      </c>
    </row>
    <row r="3872" spans="1:21" x14ac:dyDescent="0.25">
      <c r="A3872" s="33">
        <v>3890</v>
      </c>
      <c r="B3872" s="24">
        <v>44275</v>
      </c>
      <c r="C3872" t="s">
        <v>181</v>
      </c>
      <c r="D3872" t="s">
        <v>41</v>
      </c>
      <c r="E3872">
        <v>2000715878</v>
      </c>
      <c r="F3872">
        <v>540</v>
      </c>
      <c r="G3872">
        <v>150</v>
      </c>
      <c r="H3872">
        <v>0</v>
      </c>
      <c r="I3872" t="s">
        <v>680</v>
      </c>
      <c r="J3872" t="s">
        <v>195</v>
      </c>
      <c r="K3872" t="s">
        <v>819</v>
      </c>
      <c r="O3872">
        <v>0</v>
      </c>
      <c r="U3872" t="s">
        <v>81</v>
      </c>
    </row>
    <row r="3873" spans="1:21" x14ac:dyDescent="0.25">
      <c r="A3873" s="33">
        <v>3891</v>
      </c>
      <c r="B3873" s="24">
        <v>44275</v>
      </c>
      <c r="C3873" t="s">
        <v>181</v>
      </c>
      <c r="D3873" t="s">
        <v>41</v>
      </c>
      <c r="E3873">
        <v>2000715876</v>
      </c>
      <c r="F3873">
        <v>540</v>
      </c>
      <c r="G3873">
        <v>200</v>
      </c>
      <c r="H3873">
        <v>0</v>
      </c>
      <c r="I3873" t="s">
        <v>680</v>
      </c>
      <c r="J3873" t="s">
        <v>195</v>
      </c>
      <c r="K3873" t="s">
        <v>820</v>
      </c>
      <c r="O3873">
        <v>0</v>
      </c>
      <c r="U3873" t="s">
        <v>81</v>
      </c>
    </row>
    <row r="3874" spans="1:21" x14ac:dyDescent="0.25">
      <c r="A3874" s="33">
        <v>3892</v>
      </c>
      <c r="B3874" s="24">
        <v>44275</v>
      </c>
      <c r="C3874" t="s">
        <v>181</v>
      </c>
      <c r="D3874" t="s">
        <v>41</v>
      </c>
      <c r="E3874">
        <v>2000644659</v>
      </c>
      <c r="F3874">
        <v>60</v>
      </c>
      <c r="G3874">
        <v>60</v>
      </c>
      <c r="H3874">
        <v>0</v>
      </c>
      <c r="I3874" t="s">
        <v>680</v>
      </c>
      <c r="J3874" t="s">
        <v>195</v>
      </c>
      <c r="K3874" t="s">
        <v>818</v>
      </c>
      <c r="O3874">
        <v>0</v>
      </c>
      <c r="U3874" t="s">
        <v>81</v>
      </c>
    </row>
    <row r="3875" spans="1:21" x14ac:dyDescent="0.25">
      <c r="A3875" s="33">
        <v>3893</v>
      </c>
      <c r="B3875" s="24">
        <v>44275</v>
      </c>
      <c r="C3875" t="s">
        <v>181</v>
      </c>
      <c r="D3875" t="s">
        <v>41</v>
      </c>
      <c r="E3875">
        <v>2000718470</v>
      </c>
      <c r="F3875">
        <v>1600</v>
      </c>
      <c r="G3875">
        <v>200</v>
      </c>
      <c r="H3875">
        <v>0</v>
      </c>
      <c r="I3875" t="s">
        <v>680</v>
      </c>
      <c r="J3875" t="s">
        <v>193</v>
      </c>
      <c r="K3875" t="s">
        <v>683</v>
      </c>
      <c r="O3875">
        <v>0</v>
      </c>
      <c r="U3875" t="s">
        <v>81</v>
      </c>
    </row>
    <row r="3876" spans="1:21" x14ac:dyDescent="0.25">
      <c r="A3876" s="33">
        <v>3894</v>
      </c>
      <c r="B3876" s="24">
        <v>44275</v>
      </c>
      <c r="C3876" t="s">
        <v>181</v>
      </c>
      <c r="D3876" t="s">
        <v>41</v>
      </c>
      <c r="E3876">
        <v>2000718821</v>
      </c>
      <c r="F3876">
        <v>1480</v>
      </c>
      <c r="G3876">
        <v>240</v>
      </c>
      <c r="H3876">
        <v>0</v>
      </c>
      <c r="I3876" t="s">
        <v>680</v>
      </c>
      <c r="J3876" t="s">
        <v>203</v>
      </c>
      <c r="K3876" t="s">
        <v>640</v>
      </c>
      <c r="O3876">
        <v>0</v>
      </c>
      <c r="U3876" t="s">
        <v>81</v>
      </c>
    </row>
    <row r="3877" spans="1:21" x14ac:dyDescent="0.25">
      <c r="A3877" s="33">
        <v>3895</v>
      </c>
      <c r="B3877" s="24">
        <v>44275</v>
      </c>
      <c r="C3877" t="s">
        <v>181</v>
      </c>
      <c r="D3877" t="s">
        <v>41</v>
      </c>
      <c r="E3877">
        <v>2000720183</v>
      </c>
      <c r="F3877">
        <v>7890</v>
      </c>
      <c r="G3877">
        <v>300</v>
      </c>
      <c r="H3877">
        <v>0</v>
      </c>
      <c r="I3877" t="s">
        <v>680</v>
      </c>
      <c r="J3877" t="s">
        <v>200</v>
      </c>
      <c r="K3877" t="s">
        <v>737</v>
      </c>
      <c r="O3877">
        <v>0</v>
      </c>
      <c r="U3877" t="s">
        <v>81</v>
      </c>
    </row>
    <row r="3878" spans="1:21" x14ac:dyDescent="0.25">
      <c r="A3878" s="33">
        <v>3896</v>
      </c>
      <c r="B3878" s="24">
        <v>44275</v>
      </c>
      <c r="C3878" t="s">
        <v>181</v>
      </c>
      <c r="D3878" t="s">
        <v>41</v>
      </c>
      <c r="E3878">
        <v>2000718824</v>
      </c>
      <c r="F3878">
        <v>1140</v>
      </c>
      <c r="G3878">
        <v>100</v>
      </c>
      <c r="H3878">
        <v>0</v>
      </c>
      <c r="I3878" t="s">
        <v>680</v>
      </c>
      <c r="J3878" t="s">
        <v>745</v>
      </c>
      <c r="K3878" t="s">
        <v>746</v>
      </c>
      <c r="O3878">
        <v>0</v>
      </c>
      <c r="U3878" t="s">
        <v>81</v>
      </c>
    </row>
    <row r="3879" spans="1:21" x14ac:dyDescent="0.25">
      <c r="A3879" s="33">
        <v>3897</v>
      </c>
      <c r="B3879" s="24">
        <v>44275</v>
      </c>
      <c r="C3879" t="s">
        <v>181</v>
      </c>
      <c r="D3879" t="s">
        <v>41</v>
      </c>
      <c r="E3879">
        <v>2000720021</v>
      </c>
      <c r="F3879">
        <v>320</v>
      </c>
      <c r="G3879">
        <v>79</v>
      </c>
      <c r="H3879">
        <v>0</v>
      </c>
      <c r="I3879" t="s">
        <v>198</v>
      </c>
      <c r="J3879" t="s">
        <v>174</v>
      </c>
      <c r="K3879" t="s">
        <v>662</v>
      </c>
      <c r="O3879">
        <v>0</v>
      </c>
      <c r="U3879" t="s">
        <v>81</v>
      </c>
    </row>
    <row r="3880" spans="1:21" x14ac:dyDescent="0.25">
      <c r="A3880" s="33">
        <v>3898</v>
      </c>
      <c r="B3880" s="24">
        <v>44275</v>
      </c>
      <c r="C3880" t="s">
        <v>181</v>
      </c>
      <c r="D3880" t="s">
        <v>41</v>
      </c>
      <c r="E3880">
        <v>2000719550</v>
      </c>
      <c r="F3880">
        <v>1000</v>
      </c>
      <c r="G3880">
        <v>537</v>
      </c>
      <c r="H3880">
        <v>1</v>
      </c>
      <c r="I3880" t="s">
        <v>198</v>
      </c>
      <c r="J3880" t="s">
        <v>203</v>
      </c>
      <c r="K3880" t="s">
        <v>768</v>
      </c>
      <c r="L3880" t="s">
        <v>88</v>
      </c>
      <c r="N3880" t="s">
        <v>1116</v>
      </c>
      <c r="O3880">
        <v>1</v>
      </c>
      <c r="P3880" t="s">
        <v>1117</v>
      </c>
      <c r="Q3880" t="s">
        <v>1118</v>
      </c>
      <c r="R3880">
        <v>4110021967</v>
      </c>
      <c r="S3880" s="36">
        <v>0.90069444444444446</v>
      </c>
      <c r="U3880" t="s">
        <v>81</v>
      </c>
    </row>
    <row r="3881" spans="1:21" x14ac:dyDescent="0.25">
      <c r="A3881" s="33">
        <v>3899</v>
      </c>
      <c r="B3881" s="24">
        <v>44275</v>
      </c>
      <c r="C3881" t="s">
        <v>181</v>
      </c>
      <c r="D3881" t="s">
        <v>41</v>
      </c>
      <c r="E3881">
        <v>2000720384</v>
      </c>
      <c r="F3881">
        <v>1840</v>
      </c>
      <c r="G3881">
        <v>80</v>
      </c>
      <c r="H3881">
        <v>0</v>
      </c>
      <c r="I3881" t="s">
        <v>198</v>
      </c>
      <c r="J3881" t="s">
        <v>174</v>
      </c>
      <c r="K3881" t="s">
        <v>644</v>
      </c>
      <c r="O3881">
        <v>0</v>
      </c>
      <c r="U3881" t="s">
        <v>81</v>
      </c>
    </row>
    <row r="3882" spans="1:21" x14ac:dyDescent="0.25">
      <c r="A3882" s="33">
        <v>3900</v>
      </c>
      <c r="B3882" s="24">
        <v>44275</v>
      </c>
      <c r="C3882" t="s">
        <v>181</v>
      </c>
      <c r="D3882" t="s">
        <v>51</v>
      </c>
      <c r="E3882">
        <v>2000719229</v>
      </c>
      <c r="F3882">
        <v>310</v>
      </c>
      <c r="G3882">
        <v>250</v>
      </c>
      <c r="H3882">
        <v>0</v>
      </c>
      <c r="I3882" t="s">
        <v>706</v>
      </c>
      <c r="J3882" t="s">
        <v>676</v>
      </c>
      <c r="K3882" t="s">
        <v>874</v>
      </c>
      <c r="O3882">
        <v>0</v>
      </c>
      <c r="U3882" t="s">
        <v>81</v>
      </c>
    </row>
    <row r="3883" spans="1:21" x14ac:dyDescent="0.25">
      <c r="A3883" s="33">
        <v>3901</v>
      </c>
      <c r="B3883" s="24">
        <v>44275</v>
      </c>
      <c r="C3883" t="s">
        <v>181</v>
      </c>
      <c r="D3883" t="s">
        <v>51</v>
      </c>
      <c r="E3883">
        <v>2000719829</v>
      </c>
      <c r="F3883">
        <v>960</v>
      </c>
      <c r="G3883">
        <v>192</v>
      </c>
      <c r="H3883">
        <v>0</v>
      </c>
      <c r="I3883" t="s">
        <v>706</v>
      </c>
      <c r="J3883" t="s">
        <v>709</v>
      </c>
      <c r="K3883" t="s">
        <v>710</v>
      </c>
      <c r="O3883">
        <v>0</v>
      </c>
      <c r="U3883" t="s">
        <v>81</v>
      </c>
    </row>
    <row r="3884" spans="1:21" x14ac:dyDescent="0.25">
      <c r="A3884" s="33">
        <v>3902</v>
      </c>
      <c r="B3884" s="24">
        <v>44275</v>
      </c>
      <c r="C3884" t="s">
        <v>181</v>
      </c>
      <c r="D3884" t="s">
        <v>51</v>
      </c>
      <c r="E3884">
        <v>2000719527</v>
      </c>
      <c r="F3884">
        <v>380</v>
      </c>
      <c r="G3884">
        <v>40</v>
      </c>
      <c r="H3884">
        <v>0</v>
      </c>
      <c r="I3884" t="s">
        <v>706</v>
      </c>
      <c r="J3884" t="s">
        <v>673</v>
      </c>
      <c r="K3884" t="s">
        <v>708</v>
      </c>
      <c r="O3884">
        <v>0</v>
      </c>
      <c r="U3884" t="s">
        <v>81</v>
      </c>
    </row>
    <row r="3885" spans="1:21" x14ac:dyDescent="0.25">
      <c r="A3885" s="33">
        <v>3903</v>
      </c>
      <c r="B3885" s="24">
        <v>44275</v>
      </c>
      <c r="C3885" t="s">
        <v>181</v>
      </c>
      <c r="D3885" t="s">
        <v>51</v>
      </c>
      <c r="E3885">
        <v>2000719530</v>
      </c>
      <c r="F3885">
        <v>945</v>
      </c>
      <c r="G3885">
        <v>100</v>
      </c>
      <c r="H3885">
        <v>0</v>
      </c>
      <c r="I3885" t="s">
        <v>706</v>
      </c>
      <c r="J3885" t="s">
        <v>673</v>
      </c>
      <c r="K3885" t="s">
        <v>951</v>
      </c>
      <c r="O3885">
        <v>0</v>
      </c>
      <c r="U3885" t="s">
        <v>81</v>
      </c>
    </row>
    <row r="3886" spans="1:21" x14ac:dyDescent="0.25">
      <c r="A3886" s="33">
        <v>3904</v>
      </c>
      <c r="B3886" s="24">
        <v>44275</v>
      </c>
      <c r="C3886" t="s">
        <v>181</v>
      </c>
      <c r="D3886" t="s">
        <v>51</v>
      </c>
      <c r="E3886">
        <v>2000719533</v>
      </c>
      <c r="F3886">
        <v>500</v>
      </c>
      <c r="G3886">
        <v>165</v>
      </c>
      <c r="H3886">
        <v>0</v>
      </c>
      <c r="I3886" t="s">
        <v>706</v>
      </c>
      <c r="J3886" t="s">
        <v>779</v>
      </c>
      <c r="K3886" t="s">
        <v>780</v>
      </c>
      <c r="O3886">
        <v>0</v>
      </c>
      <c r="U3886" t="s">
        <v>81</v>
      </c>
    </row>
    <row r="3887" spans="1:21" x14ac:dyDescent="0.25">
      <c r="A3887" s="33">
        <v>3905</v>
      </c>
      <c r="B3887" s="24">
        <v>44275</v>
      </c>
      <c r="C3887" t="s">
        <v>181</v>
      </c>
      <c r="D3887" t="s">
        <v>51</v>
      </c>
      <c r="E3887">
        <v>2000720112</v>
      </c>
      <c r="F3887">
        <v>80</v>
      </c>
      <c r="G3887">
        <v>40</v>
      </c>
      <c r="H3887">
        <v>0</v>
      </c>
      <c r="I3887" t="s">
        <v>706</v>
      </c>
      <c r="J3887" t="s">
        <v>669</v>
      </c>
      <c r="K3887" t="s">
        <v>670</v>
      </c>
      <c r="O3887">
        <v>0</v>
      </c>
      <c r="U3887" t="s">
        <v>81</v>
      </c>
    </row>
    <row r="3888" spans="1:21" x14ac:dyDescent="0.25">
      <c r="A3888" s="33">
        <v>3906</v>
      </c>
      <c r="B3888" s="24">
        <v>44276</v>
      </c>
      <c r="C3888" t="s">
        <v>181</v>
      </c>
      <c r="D3888" t="s">
        <v>41</v>
      </c>
      <c r="E3888">
        <v>2000718464</v>
      </c>
      <c r="F3888">
        <v>2000</v>
      </c>
      <c r="G3888">
        <v>199</v>
      </c>
      <c r="H3888">
        <v>0</v>
      </c>
      <c r="I3888" t="s">
        <v>191</v>
      </c>
      <c r="J3888" t="s">
        <v>170</v>
      </c>
      <c r="K3888" t="s">
        <v>732</v>
      </c>
      <c r="O3888">
        <v>0</v>
      </c>
      <c r="U3888" t="s">
        <v>81</v>
      </c>
    </row>
    <row r="3889" spans="1:21" x14ac:dyDescent="0.25">
      <c r="A3889" s="33">
        <v>3907</v>
      </c>
      <c r="B3889" s="24">
        <v>44276</v>
      </c>
      <c r="C3889" t="s">
        <v>181</v>
      </c>
      <c r="D3889" t="s">
        <v>41</v>
      </c>
      <c r="E3889">
        <v>2000716481</v>
      </c>
      <c r="F3889">
        <v>700</v>
      </c>
      <c r="G3889">
        <v>6</v>
      </c>
      <c r="H3889">
        <v>0</v>
      </c>
      <c r="I3889" t="s">
        <v>191</v>
      </c>
      <c r="J3889" t="s">
        <v>170</v>
      </c>
      <c r="K3889" t="s">
        <v>732</v>
      </c>
      <c r="O3889">
        <v>0</v>
      </c>
      <c r="U3889" t="s">
        <v>81</v>
      </c>
    </row>
    <row r="3890" spans="1:21" x14ac:dyDescent="0.25">
      <c r="A3890" s="33">
        <v>3908</v>
      </c>
      <c r="B3890" s="24">
        <v>44276</v>
      </c>
      <c r="C3890" t="s">
        <v>181</v>
      </c>
      <c r="D3890" t="s">
        <v>41</v>
      </c>
      <c r="E3890">
        <v>2000719271</v>
      </c>
      <c r="F3890">
        <v>1300</v>
      </c>
      <c r="G3890">
        <v>323</v>
      </c>
      <c r="H3890">
        <v>0</v>
      </c>
      <c r="I3890" t="s">
        <v>191</v>
      </c>
      <c r="J3890" t="s">
        <v>170</v>
      </c>
      <c r="K3890" t="s">
        <v>732</v>
      </c>
      <c r="O3890">
        <v>0</v>
      </c>
      <c r="U3890" t="s">
        <v>81</v>
      </c>
    </row>
    <row r="3891" spans="1:21" x14ac:dyDescent="0.25">
      <c r="A3891" s="33">
        <v>3909</v>
      </c>
      <c r="B3891" s="24">
        <v>44276</v>
      </c>
      <c r="C3891" t="s">
        <v>181</v>
      </c>
      <c r="D3891" t="s">
        <v>41</v>
      </c>
      <c r="E3891">
        <v>2000718831</v>
      </c>
      <c r="F3891">
        <v>910</v>
      </c>
      <c r="G3891">
        <v>45</v>
      </c>
      <c r="H3891">
        <v>0</v>
      </c>
      <c r="I3891" t="s">
        <v>191</v>
      </c>
      <c r="J3891" t="s">
        <v>170</v>
      </c>
      <c r="K3891" t="s">
        <v>899</v>
      </c>
      <c r="O3891">
        <v>0</v>
      </c>
      <c r="U3891" t="s">
        <v>81</v>
      </c>
    </row>
    <row r="3892" spans="1:21" x14ac:dyDescent="0.25">
      <c r="A3892" s="33">
        <v>3910</v>
      </c>
      <c r="B3892" s="24">
        <v>44276</v>
      </c>
      <c r="C3892" t="s">
        <v>181</v>
      </c>
      <c r="D3892" t="s">
        <v>41</v>
      </c>
      <c r="E3892">
        <v>2000719660</v>
      </c>
      <c r="F3892">
        <v>990</v>
      </c>
      <c r="G3892">
        <v>45</v>
      </c>
      <c r="H3892">
        <v>0</v>
      </c>
      <c r="I3892" t="s">
        <v>191</v>
      </c>
      <c r="J3892" t="s">
        <v>170</v>
      </c>
      <c r="K3892" t="s">
        <v>697</v>
      </c>
      <c r="O3892">
        <v>0</v>
      </c>
      <c r="U3892" t="s">
        <v>81</v>
      </c>
    </row>
    <row r="3893" spans="1:21" x14ac:dyDescent="0.25">
      <c r="A3893" s="33">
        <v>3911</v>
      </c>
      <c r="B3893" s="24">
        <v>44276</v>
      </c>
      <c r="C3893" t="s">
        <v>181</v>
      </c>
      <c r="D3893" t="s">
        <v>41</v>
      </c>
      <c r="E3893">
        <v>2000718464</v>
      </c>
      <c r="F3893">
        <v>2000</v>
      </c>
      <c r="G3893">
        <v>225</v>
      </c>
      <c r="H3893">
        <v>0</v>
      </c>
      <c r="I3893" t="s">
        <v>178</v>
      </c>
      <c r="J3893" t="s">
        <v>170</v>
      </c>
      <c r="K3893" t="s">
        <v>732</v>
      </c>
      <c r="O3893">
        <v>0</v>
      </c>
      <c r="U3893" t="s">
        <v>81</v>
      </c>
    </row>
    <row r="3894" spans="1:21" x14ac:dyDescent="0.25">
      <c r="A3894" s="33">
        <v>3912</v>
      </c>
      <c r="B3894" s="24">
        <v>44276</v>
      </c>
      <c r="C3894" t="s">
        <v>181</v>
      </c>
      <c r="D3894" t="s">
        <v>41</v>
      </c>
      <c r="E3894">
        <v>2000719660</v>
      </c>
      <c r="F3894">
        <v>990</v>
      </c>
      <c r="G3894">
        <v>90</v>
      </c>
      <c r="H3894">
        <v>0</v>
      </c>
      <c r="I3894" t="s">
        <v>178</v>
      </c>
      <c r="J3894" t="s">
        <v>170</v>
      </c>
      <c r="K3894" t="s">
        <v>697</v>
      </c>
      <c r="O3894">
        <v>0</v>
      </c>
      <c r="U3894" t="s">
        <v>81</v>
      </c>
    </row>
    <row r="3895" spans="1:21" x14ac:dyDescent="0.25">
      <c r="A3895" s="33">
        <v>3913</v>
      </c>
      <c r="B3895" s="24">
        <v>44276</v>
      </c>
      <c r="C3895" t="s">
        <v>181</v>
      </c>
      <c r="D3895" t="s">
        <v>41</v>
      </c>
      <c r="E3895">
        <v>2000719606</v>
      </c>
      <c r="F3895">
        <v>3824</v>
      </c>
      <c r="G3895">
        <v>240</v>
      </c>
      <c r="H3895">
        <v>0</v>
      </c>
      <c r="I3895" t="s">
        <v>178</v>
      </c>
      <c r="J3895" t="s">
        <v>200</v>
      </c>
      <c r="K3895" t="s">
        <v>653</v>
      </c>
      <c r="O3895">
        <v>0</v>
      </c>
      <c r="U3895" t="s">
        <v>81</v>
      </c>
    </row>
    <row r="3896" spans="1:21" x14ac:dyDescent="0.25">
      <c r="A3896" s="33">
        <v>3914</v>
      </c>
      <c r="B3896" s="24">
        <v>44276</v>
      </c>
      <c r="C3896" t="s">
        <v>181</v>
      </c>
      <c r="D3896" t="s">
        <v>41</v>
      </c>
      <c r="E3896">
        <v>2000719301</v>
      </c>
      <c r="F3896">
        <v>1050</v>
      </c>
      <c r="G3896">
        <v>80</v>
      </c>
      <c r="H3896">
        <v>0</v>
      </c>
      <c r="I3896" t="s">
        <v>178</v>
      </c>
      <c r="J3896" t="s">
        <v>193</v>
      </c>
      <c r="K3896" t="s">
        <v>647</v>
      </c>
      <c r="O3896">
        <v>0</v>
      </c>
      <c r="U3896" t="s">
        <v>81</v>
      </c>
    </row>
    <row r="3897" spans="1:21" x14ac:dyDescent="0.25">
      <c r="A3897" s="33">
        <v>3915</v>
      </c>
      <c r="B3897" s="24">
        <v>44276</v>
      </c>
      <c r="C3897" t="s">
        <v>181</v>
      </c>
      <c r="D3897" t="s">
        <v>41</v>
      </c>
      <c r="E3897">
        <v>2000719589</v>
      </c>
      <c r="F3897">
        <v>800</v>
      </c>
      <c r="G3897">
        <v>80</v>
      </c>
      <c r="H3897">
        <v>0</v>
      </c>
      <c r="I3897" t="s">
        <v>178</v>
      </c>
      <c r="J3897" t="s">
        <v>645</v>
      </c>
      <c r="K3897" t="s">
        <v>786</v>
      </c>
      <c r="O3897">
        <v>0</v>
      </c>
      <c r="U3897" t="s">
        <v>81</v>
      </c>
    </row>
    <row r="3898" spans="1:21" x14ac:dyDescent="0.25">
      <c r="A3898" s="33">
        <v>3916</v>
      </c>
      <c r="B3898" s="24">
        <v>44276</v>
      </c>
      <c r="C3898" t="s">
        <v>181</v>
      </c>
      <c r="D3898" t="s">
        <v>41</v>
      </c>
      <c r="E3898">
        <v>2000712038</v>
      </c>
      <c r="F3898">
        <v>1840</v>
      </c>
      <c r="G3898">
        <v>80</v>
      </c>
      <c r="H3898">
        <v>0</v>
      </c>
      <c r="I3898" t="s">
        <v>180</v>
      </c>
      <c r="J3898" t="s">
        <v>174</v>
      </c>
      <c r="K3898" t="s">
        <v>644</v>
      </c>
      <c r="O3898">
        <v>0</v>
      </c>
      <c r="U3898" t="s">
        <v>81</v>
      </c>
    </row>
    <row r="3899" spans="1:21" x14ac:dyDescent="0.25">
      <c r="A3899" s="33">
        <v>3917</v>
      </c>
      <c r="B3899" s="24">
        <v>44276</v>
      </c>
      <c r="C3899" t="s">
        <v>181</v>
      </c>
      <c r="D3899" t="s">
        <v>41</v>
      </c>
      <c r="E3899">
        <v>2000719596</v>
      </c>
      <c r="F3899">
        <v>1240</v>
      </c>
      <c r="G3899">
        <v>250</v>
      </c>
      <c r="H3899">
        <v>0</v>
      </c>
      <c r="I3899" t="s">
        <v>180</v>
      </c>
      <c r="J3899" t="s">
        <v>195</v>
      </c>
      <c r="K3899" t="s">
        <v>818</v>
      </c>
      <c r="O3899">
        <v>0</v>
      </c>
      <c r="T3899">
        <v>0</v>
      </c>
      <c r="U3899" t="s">
        <v>81</v>
      </c>
    </row>
    <row r="3900" spans="1:21" x14ac:dyDescent="0.25">
      <c r="A3900" s="33">
        <v>3918</v>
      </c>
      <c r="B3900" s="24">
        <v>44276</v>
      </c>
      <c r="C3900" t="s">
        <v>181</v>
      </c>
      <c r="D3900" t="s">
        <v>41</v>
      </c>
      <c r="E3900">
        <v>2000719595</v>
      </c>
      <c r="F3900">
        <v>1240</v>
      </c>
      <c r="G3900">
        <v>300</v>
      </c>
      <c r="H3900">
        <v>0</v>
      </c>
      <c r="I3900" t="s">
        <v>180</v>
      </c>
      <c r="J3900" t="s">
        <v>195</v>
      </c>
      <c r="K3900" t="s">
        <v>820</v>
      </c>
      <c r="O3900">
        <v>0</v>
      </c>
      <c r="U3900" t="s">
        <v>81</v>
      </c>
    </row>
    <row r="3901" spans="1:21" x14ac:dyDescent="0.25">
      <c r="A3901" s="33">
        <v>3919</v>
      </c>
      <c r="B3901" s="24">
        <v>44276</v>
      </c>
      <c r="C3901" t="s">
        <v>181</v>
      </c>
      <c r="D3901" t="s">
        <v>41</v>
      </c>
      <c r="E3901">
        <v>2000719597</v>
      </c>
      <c r="F3901">
        <v>1240</v>
      </c>
      <c r="G3901">
        <v>300</v>
      </c>
      <c r="H3901">
        <v>0</v>
      </c>
      <c r="I3901" t="s">
        <v>180</v>
      </c>
      <c r="J3901" t="s">
        <v>195</v>
      </c>
      <c r="K3901" t="s">
        <v>819</v>
      </c>
      <c r="O3901">
        <v>0</v>
      </c>
      <c r="U3901" t="s">
        <v>81</v>
      </c>
    </row>
    <row r="3902" spans="1:21" x14ac:dyDescent="0.25">
      <c r="A3902" s="33">
        <v>3920</v>
      </c>
      <c r="B3902" s="24">
        <v>44276</v>
      </c>
      <c r="C3902" t="s">
        <v>181</v>
      </c>
      <c r="D3902" t="s">
        <v>41</v>
      </c>
      <c r="E3902">
        <v>2000718831</v>
      </c>
      <c r="F3902">
        <v>910</v>
      </c>
      <c r="G3902">
        <v>90</v>
      </c>
      <c r="H3902">
        <v>0</v>
      </c>
      <c r="I3902" t="s">
        <v>180</v>
      </c>
      <c r="J3902" t="s">
        <v>170</v>
      </c>
      <c r="K3902" t="s">
        <v>899</v>
      </c>
      <c r="O3902">
        <v>0</v>
      </c>
      <c r="U3902" t="s">
        <v>81</v>
      </c>
    </row>
    <row r="3903" spans="1:21" x14ac:dyDescent="0.25">
      <c r="A3903" s="33">
        <v>3921</v>
      </c>
      <c r="B3903" s="24">
        <v>44276</v>
      </c>
      <c r="C3903" t="s">
        <v>181</v>
      </c>
      <c r="D3903" t="s">
        <v>41</v>
      </c>
      <c r="E3903">
        <v>2000719660</v>
      </c>
      <c r="F3903">
        <v>990</v>
      </c>
      <c r="G3903">
        <v>90</v>
      </c>
      <c r="H3903">
        <v>0</v>
      </c>
      <c r="I3903" t="s">
        <v>180</v>
      </c>
      <c r="J3903" t="s">
        <v>170</v>
      </c>
      <c r="K3903" t="s">
        <v>697</v>
      </c>
      <c r="O3903">
        <v>0</v>
      </c>
      <c r="U3903" t="s">
        <v>81</v>
      </c>
    </row>
    <row r="3904" spans="1:21" x14ac:dyDescent="0.25">
      <c r="A3904" s="33">
        <v>3922</v>
      </c>
      <c r="B3904" s="24">
        <v>44277</v>
      </c>
      <c r="C3904" t="s">
        <v>39</v>
      </c>
      <c r="D3904" t="s">
        <v>51</v>
      </c>
      <c r="E3904">
        <v>2000720112</v>
      </c>
      <c r="F3904">
        <v>80</v>
      </c>
      <c r="G3904">
        <v>40</v>
      </c>
      <c r="H3904">
        <v>0</v>
      </c>
      <c r="I3904" t="s">
        <v>184</v>
      </c>
      <c r="J3904" t="s">
        <v>669</v>
      </c>
      <c r="K3904" t="s">
        <v>1123</v>
      </c>
      <c r="O3904">
        <v>0</v>
      </c>
      <c r="U3904" t="s">
        <v>81</v>
      </c>
    </row>
    <row r="3905" spans="1:21" x14ac:dyDescent="0.25">
      <c r="A3905" s="33">
        <v>3923</v>
      </c>
      <c r="B3905" s="24">
        <v>44277</v>
      </c>
      <c r="C3905" t="s">
        <v>39</v>
      </c>
      <c r="D3905" t="s">
        <v>51</v>
      </c>
      <c r="E3905">
        <v>2000720210</v>
      </c>
      <c r="F3905">
        <v>350</v>
      </c>
      <c r="G3905">
        <v>180</v>
      </c>
      <c r="H3905">
        <v>0</v>
      </c>
      <c r="I3905" t="s">
        <v>184</v>
      </c>
      <c r="J3905" t="s">
        <v>669</v>
      </c>
      <c r="K3905" t="s">
        <v>1123</v>
      </c>
      <c r="O3905">
        <v>0</v>
      </c>
      <c r="U3905" t="s">
        <v>81</v>
      </c>
    </row>
    <row r="3906" spans="1:21" x14ac:dyDescent="0.25">
      <c r="A3906" s="33">
        <v>3924</v>
      </c>
      <c r="B3906" s="24">
        <v>44277</v>
      </c>
      <c r="C3906" t="s">
        <v>39</v>
      </c>
      <c r="D3906" t="s">
        <v>51</v>
      </c>
      <c r="E3906">
        <v>2000719837</v>
      </c>
      <c r="F3906">
        <v>450</v>
      </c>
      <c r="G3906">
        <v>70</v>
      </c>
      <c r="H3906">
        <v>0</v>
      </c>
      <c r="I3906" t="s">
        <v>184</v>
      </c>
      <c r="J3906" t="s">
        <v>667</v>
      </c>
      <c r="K3906" t="s">
        <v>671</v>
      </c>
      <c r="O3906">
        <v>0</v>
      </c>
      <c r="U3906" t="s">
        <v>81</v>
      </c>
    </row>
    <row r="3907" spans="1:21" x14ac:dyDescent="0.25">
      <c r="A3907" s="33">
        <v>3925</v>
      </c>
      <c r="B3907" s="24">
        <v>44277</v>
      </c>
      <c r="C3907" t="s">
        <v>39</v>
      </c>
      <c r="D3907" t="s">
        <v>51</v>
      </c>
      <c r="E3907">
        <v>2000719838</v>
      </c>
      <c r="F3907">
        <v>450</v>
      </c>
      <c r="G3907">
        <v>105</v>
      </c>
      <c r="H3907">
        <v>0</v>
      </c>
      <c r="I3907" t="s">
        <v>184</v>
      </c>
      <c r="J3907" t="s">
        <v>667</v>
      </c>
      <c r="K3907" t="s">
        <v>671</v>
      </c>
      <c r="O3907">
        <v>0</v>
      </c>
      <c r="U3907" t="s">
        <v>81</v>
      </c>
    </row>
    <row r="3908" spans="1:21" x14ac:dyDescent="0.25">
      <c r="A3908" s="33">
        <v>3926</v>
      </c>
      <c r="B3908" s="24">
        <v>44277</v>
      </c>
      <c r="C3908" t="s">
        <v>39</v>
      </c>
      <c r="D3908" t="s">
        <v>51</v>
      </c>
      <c r="E3908">
        <v>2000720157</v>
      </c>
      <c r="F3908">
        <v>500</v>
      </c>
      <c r="G3908">
        <v>70</v>
      </c>
      <c r="H3908">
        <v>0</v>
      </c>
      <c r="I3908" t="s">
        <v>184</v>
      </c>
      <c r="J3908" t="s">
        <v>669</v>
      </c>
      <c r="K3908" t="s">
        <v>1123</v>
      </c>
      <c r="O3908">
        <v>0</v>
      </c>
      <c r="U3908" t="s">
        <v>81</v>
      </c>
    </row>
    <row r="3909" spans="1:21" x14ac:dyDescent="0.25">
      <c r="A3909" s="33">
        <v>3927</v>
      </c>
      <c r="B3909" s="24">
        <v>44277</v>
      </c>
      <c r="C3909" t="s">
        <v>39</v>
      </c>
      <c r="D3909" t="s">
        <v>51</v>
      </c>
      <c r="E3909">
        <v>2000719533</v>
      </c>
      <c r="F3909">
        <v>500</v>
      </c>
      <c r="G3909">
        <v>275</v>
      </c>
      <c r="H3909">
        <v>0</v>
      </c>
      <c r="I3909" t="s">
        <v>184</v>
      </c>
      <c r="J3909" t="s">
        <v>779</v>
      </c>
      <c r="K3909" t="s">
        <v>780</v>
      </c>
      <c r="O3909">
        <v>0</v>
      </c>
      <c r="U3909" t="s">
        <v>81</v>
      </c>
    </row>
    <row r="3910" spans="1:21" x14ac:dyDescent="0.25">
      <c r="A3910" s="33">
        <v>3928</v>
      </c>
      <c r="B3910" s="24">
        <v>44277</v>
      </c>
      <c r="C3910" t="s">
        <v>39</v>
      </c>
      <c r="D3910" t="s">
        <v>51</v>
      </c>
      <c r="E3910">
        <v>2000719229</v>
      </c>
      <c r="F3910">
        <v>310</v>
      </c>
      <c r="G3910">
        <v>40</v>
      </c>
      <c r="H3910">
        <v>0</v>
      </c>
      <c r="I3910" t="s">
        <v>184</v>
      </c>
      <c r="J3910" t="s">
        <v>676</v>
      </c>
      <c r="K3910" t="s">
        <v>874</v>
      </c>
      <c r="O3910">
        <v>0</v>
      </c>
      <c r="U3910" t="s">
        <v>81</v>
      </c>
    </row>
    <row r="3911" spans="1:21" x14ac:dyDescent="0.25">
      <c r="A3911" s="33">
        <v>3929</v>
      </c>
      <c r="B3911" s="24">
        <v>44277</v>
      </c>
      <c r="C3911" t="s">
        <v>39</v>
      </c>
      <c r="D3911" t="s">
        <v>41</v>
      </c>
      <c r="E3911">
        <v>2000719663</v>
      </c>
      <c r="F3911">
        <v>2000</v>
      </c>
      <c r="G3911">
        <v>180</v>
      </c>
      <c r="H3911">
        <v>0</v>
      </c>
      <c r="I3911" t="s">
        <v>696</v>
      </c>
      <c r="J3911" t="s">
        <v>174</v>
      </c>
      <c r="K3911" t="s">
        <v>774</v>
      </c>
      <c r="O3911">
        <v>0</v>
      </c>
      <c r="U3911" t="s">
        <v>81</v>
      </c>
    </row>
    <row r="3912" spans="1:21" x14ac:dyDescent="0.25">
      <c r="A3912" s="33">
        <v>3930</v>
      </c>
      <c r="B3912" s="24">
        <v>44277</v>
      </c>
      <c r="C3912" t="s">
        <v>39</v>
      </c>
      <c r="D3912" t="s">
        <v>41</v>
      </c>
      <c r="E3912">
        <v>2000716662</v>
      </c>
      <c r="F3912">
        <v>1000</v>
      </c>
      <c r="G3912">
        <v>45</v>
      </c>
      <c r="H3912">
        <v>0</v>
      </c>
      <c r="I3912" t="s">
        <v>696</v>
      </c>
      <c r="J3912" t="s">
        <v>174</v>
      </c>
      <c r="K3912" t="s">
        <v>774</v>
      </c>
      <c r="O3912">
        <v>0</v>
      </c>
      <c r="U3912" t="s">
        <v>81</v>
      </c>
    </row>
    <row r="3913" spans="1:21" x14ac:dyDescent="0.25">
      <c r="A3913" s="33">
        <v>3931</v>
      </c>
      <c r="B3913" s="24">
        <v>44277</v>
      </c>
      <c r="C3913" t="s">
        <v>39</v>
      </c>
      <c r="D3913" t="s">
        <v>41</v>
      </c>
      <c r="E3913">
        <v>2000720377</v>
      </c>
      <c r="F3913">
        <v>216</v>
      </c>
      <c r="G3913">
        <v>45</v>
      </c>
      <c r="H3913">
        <v>0</v>
      </c>
      <c r="I3913" t="s">
        <v>696</v>
      </c>
      <c r="J3913" t="s">
        <v>170</v>
      </c>
      <c r="K3913" t="s">
        <v>182</v>
      </c>
      <c r="O3913">
        <v>0</v>
      </c>
      <c r="T3913" s="62"/>
      <c r="U3913" t="s">
        <v>81</v>
      </c>
    </row>
    <row r="3914" spans="1:21" x14ac:dyDescent="0.25">
      <c r="A3914" s="33">
        <v>3932</v>
      </c>
      <c r="B3914" s="24">
        <v>44277</v>
      </c>
      <c r="C3914" t="s">
        <v>39</v>
      </c>
      <c r="D3914" t="s">
        <v>41</v>
      </c>
      <c r="E3914">
        <v>2000720384</v>
      </c>
      <c r="F3914">
        <v>1840</v>
      </c>
      <c r="G3914">
        <v>40</v>
      </c>
      <c r="H3914">
        <v>0</v>
      </c>
      <c r="I3914" t="s">
        <v>696</v>
      </c>
      <c r="J3914" t="s">
        <v>174</v>
      </c>
      <c r="K3914" t="s">
        <v>644</v>
      </c>
      <c r="O3914">
        <v>0</v>
      </c>
      <c r="U3914" t="s">
        <v>81</v>
      </c>
    </row>
    <row r="3915" spans="1:21" x14ac:dyDescent="0.25">
      <c r="A3915" s="33">
        <v>3933</v>
      </c>
      <c r="B3915" s="24">
        <v>44277</v>
      </c>
      <c r="C3915" t="s">
        <v>39</v>
      </c>
      <c r="D3915" t="s">
        <v>41</v>
      </c>
      <c r="E3915">
        <v>2000720386</v>
      </c>
      <c r="F3915">
        <v>400</v>
      </c>
      <c r="G3915">
        <v>162</v>
      </c>
      <c r="H3915">
        <v>0</v>
      </c>
      <c r="I3915" t="s">
        <v>696</v>
      </c>
      <c r="J3915" t="s">
        <v>174</v>
      </c>
      <c r="K3915" t="s">
        <v>717</v>
      </c>
      <c r="O3915">
        <v>0</v>
      </c>
      <c r="U3915" t="s">
        <v>81</v>
      </c>
    </row>
    <row r="3916" spans="1:21" x14ac:dyDescent="0.25">
      <c r="A3916" s="33">
        <v>3934</v>
      </c>
      <c r="B3916" s="24">
        <v>44277</v>
      </c>
      <c r="C3916" t="s">
        <v>39</v>
      </c>
      <c r="D3916" t="s">
        <v>41</v>
      </c>
      <c r="E3916">
        <v>2000720635</v>
      </c>
      <c r="F3916">
        <v>1784</v>
      </c>
      <c r="G3916">
        <v>135</v>
      </c>
      <c r="H3916">
        <v>0</v>
      </c>
      <c r="I3916" t="s">
        <v>696</v>
      </c>
      <c r="J3916" t="s">
        <v>174</v>
      </c>
      <c r="K3916" t="s">
        <v>205</v>
      </c>
      <c r="O3916">
        <v>0</v>
      </c>
      <c r="U3916" t="s">
        <v>81</v>
      </c>
    </row>
    <row r="3917" spans="1:21" ht="30" x14ac:dyDescent="0.25">
      <c r="A3917" s="33">
        <v>3935</v>
      </c>
      <c r="B3917" s="24">
        <v>44277</v>
      </c>
      <c r="C3917" t="s">
        <v>39</v>
      </c>
      <c r="D3917" t="s">
        <v>41</v>
      </c>
      <c r="E3917">
        <v>2000720635</v>
      </c>
      <c r="F3917">
        <v>1784</v>
      </c>
      <c r="G3917">
        <v>270</v>
      </c>
      <c r="H3917">
        <v>0</v>
      </c>
      <c r="I3917" t="s">
        <v>789</v>
      </c>
      <c r="J3917" t="s">
        <v>174</v>
      </c>
      <c r="K3917" t="s">
        <v>205</v>
      </c>
      <c r="O3917">
        <v>0</v>
      </c>
      <c r="T3917" s="62" t="s">
        <v>723</v>
      </c>
      <c r="U3917" t="s">
        <v>81</v>
      </c>
    </row>
    <row r="3918" spans="1:21" x14ac:dyDescent="0.25">
      <c r="A3918" s="33">
        <v>3936</v>
      </c>
      <c r="B3918" s="24">
        <v>44277</v>
      </c>
      <c r="C3918" t="s">
        <v>39</v>
      </c>
      <c r="D3918" t="s">
        <v>41</v>
      </c>
      <c r="E3918">
        <v>2000719660</v>
      </c>
      <c r="F3918">
        <v>990</v>
      </c>
      <c r="G3918">
        <v>45</v>
      </c>
      <c r="H3918">
        <v>0</v>
      </c>
      <c r="I3918" t="s">
        <v>693</v>
      </c>
      <c r="J3918" t="s">
        <v>170</v>
      </c>
      <c r="K3918" t="s">
        <v>697</v>
      </c>
      <c r="O3918">
        <v>0</v>
      </c>
      <c r="U3918" t="s">
        <v>81</v>
      </c>
    </row>
    <row r="3919" spans="1:21" x14ac:dyDescent="0.25">
      <c r="A3919" s="33">
        <v>3937</v>
      </c>
      <c r="B3919" s="24">
        <v>44277</v>
      </c>
      <c r="C3919" t="s">
        <v>39</v>
      </c>
      <c r="D3919" t="s">
        <v>41</v>
      </c>
      <c r="E3919">
        <v>2000719663</v>
      </c>
      <c r="F3919">
        <v>2000</v>
      </c>
      <c r="G3919">
        <v>155</v>
      </c>
      <c r="H3919">
        <v>0</v>
      </c>
      <c r="I3919" t="s">
        <v>693</v>
      </c>
      <c r="J3919" t="s">
        <v>174</v>
      </c>
      <c r="K3919" t="s">
        <v>774</v>
      </c>
      <c r="O3919">
        <v>0</v>
      </c>
      <c r="U3919" t="s">
        <v>81</v>
      </c>
    </row>
    <row r="3920" spans="1:21" x14ac:dyDescent="0.25">
      <c r="A3920" s="33">
        <v>3938</v>
      </c>
      <c r="B3920" s="24">
        <v>44277</v>
      </c>
      <c r="C3920" t="s">
        <v>39</v>
      </c>
      <c r="D3920" t="s">
        <v>41</v>
      </c>
      <c r="E3920">
        <v>2000716662</v>
      </c>
      <c r="F3920">
        <v>1000</v>
      </c>
      <c r="G3920">
        <v>43</v>
      </c>
      <c r="H3920">
        <v>0</v>
      </c>
      <c r="I3920" t="s">
        <v>693</v>
      </c>
      <c r="J3920" t="s">
        <v>174</v>
      </c>
      <c r="K3920" t="s">
        <v>774</v>
      </c>
      <c r="O3920">
        <v>0</v>
      </c>
      <c r="U3920" t="s">
        <v>81</v>
      </c>
    </row>
    <row r="3921" spans="1:21" x14ac:dyDescent="0.25">
      <c r="A3921" s="33">
        <v>3939</v>
      </c>
      <c r="B3921" s="24">
        <v>44277</v>
      </c>
      <c r="C3921" t="s">
        <v>39</v>
      </c>
      <c r="D3921" t="s">
        <v>41</v>
      </c>
      <c r="E3921">
        <v>2000720377</v>
      </c>
      <c r="F3921">
        <v>216</v>
      </c>
      <c r="G3921">
        <v>131</v>
      </c>
      <c r="H3921">
        <v>0</v>
      </c>
      <c r="I3921" t="s">
        <v>693</v>
      </c>
      <c r="J3921" t="s">
        <v>170</v>
      </c>
      <c r="K3921" t="s">
        <v>182</v>
      </c>
      <c r="O3921">
        <v>0</v>
      </c>
      <c r="U3921" t="s">
        <v>81</v>
      </c>
    </row>
    <row r="3922" spans="1:21" x14ac:dyDescent="0.25">
      <c r="A3922" s="33">
        <v>3940</v>
      </c>
      <c r="B3922" s="24">
        <v>44277</v>
      </c>
      <c r="C3922" t="s">
        <v>39</v>
      </c>
      <c r="D3922" t="s">
        <v>41</v>
      </c>
      <c r="E3922">
        <v>2000720635</v>
      </c>
      <c r="F3922">
        <v>1784</v>
      </c>
      <c r="G3922">
        <v>45</v>
      </c>
      <c r="H3922">
        <v>0</v>
      </c>
      <c r="I3922" t="s">
        <v>693</v>
      </c>
      <c r="J3922" t="s">
        <v>174</v>
      </c>
      <c r="K3922" t="s">
        <v>205</v>
      </c>
      <c r="O3922">
        <v>0</v>
      </c>
      <c r="U3922" t="s">
        <v>81</v>
      </c>
    </row>
    <row r="3923" spans="1:21" x14ac:dyDescent="0.25">
      <c r="A3923" s="33">
        <v>3941</v>
      </c>
      <c r="B3923" s="24">
        <v>44277</v>
      </c>
      <c r="C3923" t="s">
        <v>39</v>
      </c>
      <c r="D3923" t="s">
        <v>41</v>
      </c>
      <c r="E3923">
        <v>2000720384</v>
      </c>
      <c r="F3923">
        <v>1840</v>
      </c>
      <c r="G3923">
        <v>160</v>
      </c>
      <c r="H3923">
        <v>0</v>
      </c>
      <c r="I3923" t="s">
        <v>693</v>
      </c>
      <c r="J3923" t="s">
        <v>174</v>
      </c>
      <c r="K3923" t="s">
        <v>644</v>
      </c>
      <c r="O3923">
        <v>0</v>
      </c>
      <c r="U3923" t="s">
        <v>81</v>
      </c>
    </row>
    <row r="3924" spans="1:21" x14ac:dyDescent="0.25">
      <c r="A3924" s="33">
        <v>3942</v>
      </c>
      <c r="B3924" s="24">
        <v>44277</v>
      </c>
      <c r="C3924" t="s">
        <v>39</v>
      </c>
      <c r="D3924" t="s">
        <v>41</v>
      </c>
      <c r="E3924">
        <v>2000719663</v>
      </c>
      <c r="F3924">
        <v>2000</v>
      </c>
      <c r="G3924">
        <v>45</v>
      </c>
      <c r="H3924">
        <v>0</v>
      </c>
      <c r="I3924" t="s">
        <v>183</v>
      </c>
      <c r="J3924" t="s">
        <v>174</v>
      </c>
      <c r="K3924" t="s">
        <v>774</v>
      </c>
      <c r="O3924">
        <v>0</v>
      </c>
      <c r="U3924" t="s">
        <v>81</v>
      </c>
    </row>
    <row r="3925" spans="1:21" x14ac:dyDescent="0.25">
      <c r="A3925" s="33">
        <v>3943</v>
      </c>
      <c r="B3925" s="24">
        <v>44277</v>
      </c>
      <c r="C3925" t="s">
        <v>39</v>
      </c>
      <c r="D3925" t="s">
        <v>41</v>
      </c>
      <c r="E3925">
        <v>2000720384</v>
      </c>
      <c r="F3925">
        <v>1840</v>
      </c>
      <c r="G3925">
        <v>720</v>
      </c>
      <c r="H3925">
        <v>0</v>
      </c>
      <c r="I3925" t="s">
        <v>183</v>
      </c>
      <c r="J3925" t="s">
        <v>174</v>
      </c>
      <c r="K3925" t="s">
        <v>644</v>
      </c>
      <c r="O3925">
        <v>0</v>
      </c>
      <c r="U3925" t="s">
        <v>81</v>
      </c>
    </row>
    <row r="3926" spans="1:21" x14ac:dyDescent="0.25">
      <c r="A3926" s="33">
        <v>3944</v>
      </c>
      <c r="B3926" s="24">
        <v>44277</v>
      </c>
      <c r="C3926" t="s">
        <v>39</v>
      </c>
      <c r="D3926" t="s">
        <v>41</v>
      </c>
      <c r="E3926">
        <v>2000720386</v>
      </c>
      <c r="F3926">
        <v>400</v>
      </c>
      <c r="G3926">
        <v>38</v>
      </c>
      <c r="H3926">
        <v>0</v>
      </c>
      <c r="I3926" t="s">
        <v>183</v>
      </c>
      <c r="J3926" t="s">
        <v>174</v>
      </c>
      <c r="K3926" t="s">
        <v>717</v>
      </c>
      <c r="O3926">
        <v>0</v>
      </c>
      <c r="U3926" t="s">
        <v>81</v>
      </c>
    </row>
    <row r="3927" spans="1:21" x14ac:dyDescent="0.25">
      <c r="A3927" s="33">
        <v>3945</v>
      </c>
      <c r="B3927" s="24">
        <v>44277</v>
      </c>
      <c r="C3927" t="s">
        <v>39</v>
      </c>
      <c r="D3927" t="s">
        <v>41</v>
      </c>
      <c r="E3927">
        <v>2000718821</v>
      </c>
      <c r="F3927">
        <v>1480</v>
      </c>
      <c r="G3927">
        <v>240</v>
      </c>
      <c r="H3927">
        <v>0</v>
      </c>
      <c r="I3927" t="s">
        <v>680</v>
      </c>
      <c r="J3927" t="s">
        <v>203</v>
      </c>
      <c r="K3927" t="s">
        <v>640</v>
      </c>
      <c r="O3927">
        <v>0</v>
      </c>
      <c r="U3927" t="s">
        <v>81</v>
      </c>
    </row>
    <row r="3928" spans="1:21" x14ac:dyDescent="0.25">
      <c r="A3928" s="33">
        <v>3946</v>
      </c>
      <c r="B3928" s="24">
        <v>44277</v>
      </c>
      <c r="C3928" t="s">
        <v>39</v>
      </c>
      <c r="D3928" t="s">
        <v>41</v>
      </c>
      <c r="E3928">
        <v>2000711458</v>
      </c>
      <c r="F3928">
        <v>1980</v>
      </c>
      <c r="G3928">
        <v>2</v>
      </c>
      <c r="H3928">
        <v>0</v>
      </c>
      <c r="I3928" t="s">
        <v>680</v>
      </c>
      <c r="J3928" t="s">
        <v>745</v>
      </c>
      <c r="K3928" t="s">
        <v>849</v>
      </c>
      <c r="O3928">
        <v>0</v>
      </c>
      <c r="U3928" t="s">
        <v>81</v>
      </c>
    </row>
    <row r="3929" spans="1:21" x14ac:dyDescent="0.25">
      <c r="A3929" s="33">
        <v>3947</v>
      </c>
      <c r="B3929" s="24">
        <v>44277</v>
      </c>
      <c r="C3929" t="s">
        <v>39</v>
      </c>
      <c r="D3929" t="s">
        <v>41</v>
      </c>
      <c r="E3929">
        <v>2000720034</v>
      </c>
      <c r="F3929">
        <v>2808</v>
      </c>
      <c r="G3929">
        <v>184</v>
      </c>
      <c r="H3929">
        <v>0</v>
      </c>
      <c r="I3929" t="s">
        <v>680</v>
      </c>
      <c r="J3929" t="s">
        <v>745</v>
      </c>
      <c r="K3929" t="s">
        <v>1124</v>
      </c>
      <c r="O3929">
        <v>0</v>
      </c>
      <c r="U3929" t="s">
        <v>81</v>
      </c>
    </row>
    <row r="3930" spans="1:21" x14ac:dyDescent="0.25">
      <c r="A3930" s="33">
        <v>3948</v>
      </c>
      <c r="B3930" s="24">
        <v>44277</v>
      </c>
      <c r="C3930" t="s">
        <v>39</v>
      </c>
      <c r="D3930" t="s">
        <v>41</v>
      </c>
      <c r="E3930">
        <v>2000720377</v>
      </c>
      <c r="F3930">
        <v>216</v>
      </c>
      <c r="G3930">
        <v>36</v>
      </c>
      <c r="H3930">
        <v>0</v>
      </c>
      <c r="I3930" t="s">
        <v>680</v>
      </c>
      <c r="J3930" t="s">
        <v>170</v>
      </c>
      <c r="K3930" t="s">
        <v>182</v>
      </c>
      <c r="O3930">
        <v>0</v>
      </c>
      <c r="U3930" t="s">
        <v>81</v>
      </c>
    </row>
    <row r="3931" spans="1:21" x14ac:dyDescent="0.25">
      <c r="A3931" s="33">
        <v>3949</v>
      </c>
      <c r="B3931" s="24">
        <v>44277</v>
      </c>
      <c r="C3931" t="s">
        <v>39</v>
      </c>
      <c r="D3931" t="s">
        <v>41</v>
      </c>
      <c r="E3931">
        <v>2000720635</v>
      </c>
      <c r="F3931">
        <v>1784</v>
      </c>
      <c r="G3931">
        <v>270</v>
      </c>
      <c r="H3931">
        <v>0</v>
      </c>
      <c r="I3931" t="s">
        <v>680</v>
      </c>
      <c r="J3931" t="s">
        <v>174</v>
      </c>
      <c r="K3931" t="s">
        <v>205</v>
      </c>
      <c r="O3931">
        <v>0</v>
      </c>
      <c r="U3931" t="s">
        <v>81</v>
      </c>
    </row>
    <row r="3932" spans="1:21" x14ac:dyDescent="0.25">
      <c r="A3932" s="33">
        <v>3950</v>
      </c>
      <c r="B3932" s="24">
        <v>44277</v>
      </c>
      <c r="C3932" t="s">
        <v>39</v>
      </c>
      <c r="D3932" t="s">
        <v>41</v>
      </c>
      <c r="E3932">
        <v>2000719588</v>
      </c>
      <c r="F3932">
        <v>600</v>
      </c>
      <c r="G3932">
        <v>150</v>
      </c>
      <c r="H3932">
        <v>0</v>
      </c>
      <c r="I3932" t="s">
        <v>680</v>
      </c>
      <c r="J3932" t="s">
        <v>645</v>
      </c>
      <c r="K3932" t="s">
        <v>658</v>
      </c>
      <c r="O3932">
        <v>0</v>
      </c>
      <c r="U3932" t="s">
        <v>81</v>
      </c>
    </row>
    <row r="3933" spans="1:21" x14ac:dyDescent="0.25">
      <c r="A3933" s="33">
        <v>3951</v>
      </c>
      <c r="B3933" s="24">
        <v>44277</v>
      </c>
      <c r="C3933" t="s">
        <v>39</v>
      </c>
      <c r="D3933" t="s">
        <v>41</v>
      </c>
      <c r="E3933">
        <v>2000719586</v>
      </c>
      <c r="F3933">
        <v>600</v>
      </c>
      <c r="G3933">
        <v>100</v>
      </c>
      <c r="H3933">
        <v>0</v>
      </c>
      <c r="I3933" t="s">
        <v>680</v>
      </c>
      <c r="J3933" t="s">
        <v>645</v>
      </c>
      <c r="K3933" t="s">
        <v>756</v>
      </c>
      <c r="O3933">
        <v>0</v>
      </c>
      <c r="U3933" t="s">
        <v>81</v>
      </c>
    </row>
    <row r="3934" spans="1:21" x14ac:dyDescent="0.25">
      <c r="A3934" s="33">
        <v>3952</v>
      </c>
      <c r="B3934" s="24">
        <v>44277</v>
      </c>
      <c r="C3934" t="s">
        <v>39</v>
      </c>
      <c r="D3934" t="s">
        <v>41</v>
      </c>
      <c r="E3934">
        <v>2000719298</v>
      </c>
      <c r="F3934">
        <v>1050</v>
      </c>
      <c r="G3934">
        <v>150</v>
      </c>
      <c r="H3934">
        <v>0</v>
      </c>
      <c r="I3934" t="s">
        <v>680</v>
      </c>
      <c r="J3934" t="s">
        <v>193</v>
      </c>
      <c r="K3934" t="s">
        <v>683</v>
      </c>
      <c r="O3934">
        <v>0</v>
      </c>
      <c r="U3934" t="s">
        <v>81</v>
      </c>
    </row>
    <row r="3935" spans="1:21" x14ac:dyDescent="0.25">
      <c r="A3935" s="33">
        <v>3953</v>
      </c>
      <c r="B3935" s="24">
        <v>44277</v>
      </c>
      <c r="C3935" t="s">
        <v>39</v>
      </c>
      <c r="D3935" t="s">
        <v>41</v>
      </c>
      <c r="E3935">
        <v>2000720031</v>
      </c>
      <c r="F3935">
        <v>4200</v>
      </c>
      <c r="G3935">
        <v>240</v>
      </c>
      <c r="H3935">
        <v>0</v>
      </c>
      <c r="I3935" t="s">
        <v>680</v>
      </c>
      <c r="J3935" t="s">
        <v>199</v>
      </c>
      <c r="K3935" t="s">
        <v>660</v>
      </c>
      <c r="O3935">
        <v>0</v>
      </c>
      <c r="U3935" t="s">
        <v>81</v>
      </c>
    </row>
    <row r="3936" spans="1:21" x14ac:dyDescent="0.25">
      <c r="A3936" s="33">
        <v>3954</v>
      </c>
      <c r="B3936" s="24">
        <v>44277</v>
      </c>
      <c r="C3936" t="s">
        <v>39</v>
      </c>
      <c r="D3936" t="s">
        <v>41</v>
      </c>
      <c r="E3936">
        <v>2000720386</v>
      </c>
      <c r="F3936">
        <v>400</v>
      </c>
      <c r="G3936">
        <v>40</v>
      </c>
      <c r="H3936">
        <v>0</v>
      </c>
      <c r="I3936" t="s">
        <v>759</v>
      </c>
      <c r="J3936" t="s">
        <v>174</v>
      </c>
      <c r="K3936" t="s">
        <v>717</v>
      </c>
      <c r="O3936">
        <v>0</v>
      </c>
      <c r="U3936" t="s">
        <v>81</v>
      </c>
    </row>
    <row r="3937" spans="1:21" x14ac:dyDescent="0.25">
      <c r="A3937" s="33">
        <v>3955</v>
      </c>
      <c r="B3937" s="24">
        <v>44277</v>
      </c>
      <c r="C3937" t="s">
        <v>39</v>
      </c>
      <c r="D3937" t="s">
        <v>41</v>
      </c>
      <c r="E3937">
        <v>2000719589</v>
      </c>
      <c r="F3937">
        <v>800</v>
      </c>
      <c r="G3937">
        <v>40</v>
      </c>
      <c r="H3937">
        <v>0</v>
      </c>
      <c r="I3937" t="s">
        <v>185</v>
      </c>
      <c r="J3937" t="s">
        <v>645</v>
      </c>
      <c r="K3937" t="s">
        <v>721</v>
      </c>
      <c r="O3937">
        <v>0</v>
      </c>
      <c r="U3937" t="s">
        <v>81</v>
      </c>
    </row>
    <row r="3938" spans="1:21" x14ac:dyDescent="0.25">
      <c r="A3938" s="33">
        <v>3956</v>
      </c>
      <c r="B3938" s="24">
        <v>44277</v>
      </c>
      <c r="C3938" t="s">
        <v>39</v>
      </c>
      <c r="D3938" t="s">
        <v>41</v>
      </c>
      <c r="E3938">
        <v>2000720316</v>
      </c>
      <c r="F3938">
        <v>1200</v>
      </c>
      <c r="G3938">
        <v>80</v>
      </c>
      <c r="H3938">
        <v>0</v>
      </c>
      <c r="I3938" t="s">
        <v>185</v>
      </c>
      <c r="J3938" t="s">
        <v>645</v>
      </c>
      <c r="K3938" t="s">
        <v>765</v>
      </c>
      <c r="O3938">
        <v>0</v>
      </c>
      <c r="U3938" t="s">
        <v>81</v>
      </c>
    </row>
    <row r="3939" spans="1:21" x14ac:dyDescent="0.25">
      <c r="A3939" s="33">
        <v>3957</v>
      </c>
      <c r="B3939" s="24">
        <v>44277</v>
      </c>
      <c r="C3939" t="s">
        <v>39</v>
      </c>
      <c r="D3939" t="s">
        <v>41</v>
      </c>
      <c r="E3939">
        <v>2000720314</v>
      </c>
      <c r="F3939">
        <v>1200</v>
      </c>
      <c r="G3939">
        <v>80</v>
      </c>
      <c r="H3939">
        <v>0</v>
      </c>
      <c r="I3939" t="s">
        <v>185</v>
      </c>
      <c r="J3939" t="s">
        <v>645</v>
      </c>
      <c r="K3939" t="s">
        <v>690</v>
      </c>
      <c r="O3939">
        <v>0</v>
      </c>
      <c r="U3939" t="s">
        <v>81</v>
      </c>
    </row>
    <row r="3940" spans="1:21" x14ac:dyDescent="0.25">
      <c r="A3940" s="33">
        <v>3958</v>
      </c>
      <c r="B3940" s="24">
        <v>44277</v>
      </c>
      <c r="C3940" t="s">
        <v>39</v>
      </c>
      <c r="D3940" t="s">
        <v>41</v>
      </c>
      <c r="E3940">
        <v>2000720231</v>
      </c>
      <c r="F3940">
        <v>2800</v>
      </c>
      <c r="G3940">
        <v>120</v>
      </c>
      <c r="H3940">
        <v>0</v>
      </c>
      <c r="I3940" t="s">
        <v>185</v>
      </c>
      <c r="J3940" t="s">
        <v>645</v>
      </c>
      <c r="K3940" t="s">
        <v>721</v>
      </c>
      <c r="O3940">
        <v>0</v>
      </c>
      <c r="U3940" t="s">
        <v>81</v>
      </c>
    </row>
    <row r="3941" spans="1:21" x14ac:dyDescent="0.25">
      <c r="A3941" s="33">
        <v>3959</v>
      </c>
      <c r="B3941" s="24">
        <v>44277</v>
      </c>
      <c r="C3941" t="s">
        <v>39</v>
      </c>
      <c r="D3941" t="s">
        <v>41</v>
      </c>
      <c r="E3941">
        <v>2000719671</v>
      </c>
      <c r="F3941">
        <v>3999</v>
      </c>
      <c r="G3941">
        <v>120</v>
      </c>
      <c r="H3941">
        <v>0</v>
      </c>
      <c r="I3941" t="s">
        <v>185</v>
      </c>
      <c r="J3941" t="s">
        <v>687</v>
      </c>
      <c r="K3941" t="s">
        <v>688</v>
      </c>
      <c r="O3941">
        <v>0</v>
      </c>
      <c r="U3941" t="s">
        <v>81</v>
      </c>
    </row>
    <row r="3942" spans="1:21" x14ac:dyDescent="0.25">
      <c r="A3942" s="33">
        <v>3960</v>
      </c>
      <c r="B3942" s="24">
        <v>44277</v>
      </c>
      <c r="C3942" t="s">
        <v>39</v>
      </c>
      <c r="D3942" t="s">
        <v>41</v>
      </c>
      <c r="E3942">
        <v>2000719928</v>
      </c>
      <c r="F3942">
        <v>1200</v>
      </c>
      <c r="G3942">
        <v>80</v>
      </c>
      <c r="H3942">
        <v>0</v>
      </c>
      <c r="I3942" t="s">
        <v>185</v>
      </c>
      <c r="J3942" t="s">
        <v>172</v>
      </c>
      <c r="K3942" t="s">
        <v>724</v>
      </c>
      <c r="O3942">
        <v>0</v>
      </c>
      <c r="U3942" t="s">
        <v>81</v>
      </c>
    </row>
    <row r="3943" spans="1:21" x14ac:dyDescent="0.25">
      <c r="A3943" s="33">
        <v>3961</v>
      </c>
      <c r="B3943" s="24">
        <v>44277</v>
      </c>
      <c r="C3943" t="s">
        <v>39</v>
      </c>
      <c r="D3943" t="s">
        <v>41</v>
      </c>
      <c r="E3943">
        <v>2000719921</v>
      </c>
      <c r="F3943">
        <v>3808</v>
      </c>
      <c r="G3943">
        <v>160</v>
      </c>
      <c r="H3943">
        <v>0</v>
      </c>
      <c r="I3943" t="s">
        <v>185</v>
      </c>
      <c r="J3943" t="s">
        <v>200</v>
      </c>
      <c r="K3943" t="s">
        <v>653</v>
      </c>
      <c r="O3943">
        <v>0</v>
      </c>
      <c r="U3943" t="s">
        <v>81</v>
      </c>
    </row>
    <row r="3944" spans="1:21" x14ac:dyDescent="0.25">
      <c r="A3944" s="33">
        <v>3962</v>
      </c>
      <c r="B3944" s="24">
        <v>44277</v>
      </c>
      <c r="C3944" t="s">
        <v>39</v>
      </c>
      <c r="D3944" t="s">
        <v>41</v>
      </c>
      <c r="E3944">
        <v>2000719865</v>
      </c>
      <c r="F3944">
        <v>1800</v>
      </c>
      <c r="G3944">
        <v>40</v>
      </c>
      <c r="H3944">
        <v>0</v>
      </c>
      <c r="I3944" t="s">
        <v>185</v>
      </c>
      <c r="J3944" t="s">
        <v>169</v>
      </c>
      <c r="K3944" t="s">
        <v>663</v>
      </c>
      <c r="O3944">
        <v>0</v>
      </c>
      <c r="U3944" t="s">
        <v>81</v>
      </c>
    </row>
    <row r="3945" spans="1:21" x14ac:dyDescent="0.25">
      <c r="A3945" s="33">
        <v>3963</v>
      </c>
      <c r="B3945" s="24">
        <v>44277</v>
      </c>
      <c r="C3945" t="s">
        <v>39</v>
      </c>
      <c r="D3945" t="s">
        <v>41</v>
      </c>
      <c r="E3945">
        <v>2000715882</v>
      </c>
      <c r="F3945">
        <v>1020</v>
      </c>
      <c r="G3945">
        <v>40</v>
      </c>
      <c r="H3945">
        <v>0</v>
      </c>
      <c r="I3945" t="s">
        <v>185</v>
      </c>
      <c r="J3945" t="s">
        <v>645</v>
      </c>
      <c r="K3945" t="s">
        <v>694</v>
      </c>
      <c r="O3945">
        <v>0</v>
      </c>
      <c r="U3945" t="s">
        <v>81</v>
      </c>
    </row>
    <row r="3946" spans="1:21" x14ac:dyDescent="0.25">
      <c r="A3946" s="33">
        <v>3964</v>
      </c>
      <c r="B3946" s="24">
        <v>44277</v>
      </c>
      <c r="C3946" t="s">
        <v>39</v>
      </c>
      <c r="D3946" t="s">
        <v>41</v>
      </c>
      <c r="E3946">
        <v>2000719660</v>
      </c>
      <c r="F3946">
        <v>990</v>
      </c>
      <c r="G3946">
        <v>45</v>
      </c>
      <c r="H3946">
        <v>0</v>
      </c>
      <c r="I3946" t="s">
        <v>198</v>
      </c>
      <c r="J3946" t="s">
        <v>170</v>
      </c>
      <c r="K3946" t="s">
        <v>697</v>
      </c>
      <c r="O3946">
        <v>0</v>
      </c>
      <c r="U3946" t="s">
        <v>81</v>
      </c>
    </row>
    <row r="3947" spans="1:21" x14ac:dyDescent="0.25">
      <c r="A3947" s="33">
        <v>3965</v>
      </c>
      <c r="B3947" s="24">
        <v>44277</v>
      </c>
      <c r="C3947" t="s">
        <v>39</v>
      </c>
      <c r="D3947" t="s">
        <v>41</v>
      </c>
      <c r="E3947">
        <v>2000719551</v>
      </c>
      <c r="F3947">
        <v>430</v>
      </c>
      <c r="G3947">
        <v>180</v>
      </c>
      <c r="H3947">
        <v>0</v>
      </c>
      <c r="I3947" t="s">
        <v>198</v>
      </c>
      <c r="J3947" t="s">
        <v>203</v>
      </c>
      <c r="K3947" t="s">
        <v>785</v>
      </c>
      <c r="O3947">
        <v>0</v>
      </c>
      <c r="U3947" t="s">
        <v>81</v>
      </c>
    </row>
    <row r="3948" spans="1:21" x14ac:dyDescent="0.25">
      <c r="A3948" s="33">
        <v>3966</v>
      </c>
      <c r="B3948" s="24">
        <v>44277</v>
      </c>
      <c r="C3948" t="s">
        <v>39</v>
      </c>
      <c r="D3948" t="s">
        <v>41</v>
      </c>
      <c r="E3948">
        <v>2000719313</v>
      </c>
      <c r="F3948">
        <v>410</v>
      </c>
      <c r="G3948">
        <v>120</v>
      </c>
      <c r="H3948">
        <v>0</v>
      </c>
      <c r="I3948" t="s">
        <v>198</v>
      </c>
      <c r="J3948" t="s">
        <v>203</v>
      </c>
      <c r="K3948" t="s">
        <v>768</v>
      </c>
      <c r="O3948">
        <v>0</v>
      </c>
      <c r="U3948" t="s">
        <v>81</v>
      </c>
    </row>
    <row r="3949" spans="1:21" x14ac:dyDescent="0.25">
      <c r="A3949" s="33">
        <v>3967</v>
      </c>
      <c r="B3949" s="24">
        <v>44277</v>
      </c>
      <c r="C3949" t="s">
        <v>39</v>
      </c>
      <c r="D3949" t="s">
        <v>41</v>
      </c>
      <c r="E3949">
        <v>2000719314</v>
      </c>
      <c r="F3949">
        <v>880</v>
      </c>
      <c r="G3949">
        <v>120</v>
      </c>
      <c r="H3949">
        <v>0</v>
      </c>
      <c r="I3949" t="s">
        <v>198</v>
      </c>
      <c r="J3949" t="s">
        <v>203</v>
      </c>
      <c r="K3949" t="s">
        <v>891</v>
      </c>
      <c r="O3949">
        <v>0</v>
      </c>
      <c r="U3949" t="s">
        <v>81</v>
      </c>
    </row>
    <row r="3950" spans="1:21" x14ac:dyDescent="0.25">
      <c r="A3950" s="33">
        <v>3968</v>
      </c>
      <c r="B3950" s="24">
        <v>44277</v>
      </c>
      <c r="C3950" t="s">
        <v>39</v>
      </c>
      <c r="D3950" t="s">
        <v>41</v>
      </c>
      <c r="E3950">
        <v>2000720386</v>
      </c>
      <c r="F3950">
        <v>400</v>
      </c>
      <c r="G3950">
        <v>158</v>
      </c>
      <c r="H3950">
        <v>0</v>
      </c>
      <c r="I3950" t="s">
        <v>198</v>
      </c>
      <c r="J3950" t="s">
        <v>174</v>
      </c>
      <c r="K3950" t="s">
        <v>717</v>
      </c>
      <c r="O3950">
        <v>0</v>
      </c>
      <c r="U3950" t="s">
        <v>81</v>
      </c>
    </row>
    <row r="3951" spans="1:21" x14ac:dyDescent="0.25">
      <c r="A3951" s="33">
        <v>3969</v>
      </c>
      <c r="B3951" s="24">
        <v>44277</v>
      </c>
      <c r="C3951" t="s">
        <v>39</v>
      </c>
      <c r="D3951" t="s">
        <v>41</v>
      </c>
      <c r="E3951">
        <v>2000720385</v>
      </c>
      <c r="F3951">
        <v>720</v>
      </c>
      <c r="G3951">
        <v>40</v>
      </c>
      <c r="H3951">
        <v>0</v>
      </c>
      <c r="I3951" t="s">
        <v>198</v>
      </c>
      <c r="J3951" t="s">
        <v>174</v>
      </c>
      <c r="K3951" t="s">
        <v>204</v>
      </c>
      <c r="O3951">
        <v>0</v>
      </c>
      <c r="U3951" t="s">
        <v>81</v>
      </c>
    </row>
    <row r="3952" spans="1:21" x14ac:dyDescent="0.25">
      <c r="A3952" s="33">
        <v>3970</v>
      </c>
      <c r="B3952" s="24">
        <v>44277</v>
      </c>
      <c r="C3952" t="s">
        <v>39</v>
      </c>
      <c r="D3952" t="s">
        <v>41</v>
      </c>
      <c r="E3952">
        <v>2000718794</v>
      </c>
      <c r="F3952">
        <v>1000</v>
      </c>
      <c r="G3952">
        <v>120</v>
      </c>
      <c r="H3952">
        <v>0</v>
      </c>
      <c r="I3952" t="s">
        <v>1065</v>
      </c>
      <c r="J3952" t="s">
        <v>193</v>
      </c>
      <c r="K3952" t="s">
        <v>686</v>
      </c>
      <c r="O3952">
        <v>0</v>
      </c>
      <c r="U3952" t="s">
        <v>81</v>
      </c>
    </row>
    <row r="3953" spans="1:21" x14ac:dyDescent="0.25">
      <c r="A3953" s="33">
        <v>3971</v>
      </c>
      <c r="B3953" s="24">
        <v>44277</v>
      </c>
      <c r="C3953" t="s">
        <v>39</v>
      </c>
      <c r="D3953" t="s">
        <v>41</v>
      </c>
      <c r="E3953">
        <v>2000714130</v>
      </c>
      <c r="F3953">
        <v>920</v>
      </c>
      <c r="G3953">
        <v>28</v>
      </c>
      <c r="H3953">
        <v>0</v>
      </c>
      <c r="I3953" t="s">
        <v>1065</v>
      </c>
      <c r="J3953" t="s">
        <v>745</v>
      </c>
      <c r="K3953" t="s">
        <v>746</v>
      </c>
      <c r="O3953">
        <v>0</v>
      </c>
      <c r="U3953" t="s">
        <v>81</v>
      </c>
    </row>
    <row r="3954" spans="1:21" x14ac:dyDescent="0.25">
      <c r="A3954" s="33">
        <v>3972</v>
      </c>
      <c r="B3954" s="24">
        <v>44277</v>
      </c>
      <c r="C3954" t="s">
        <v>39</v>
      </c>
      <c r="D3954" t="s">
        <v>41</v>
      </c>
      <c r="E3954">
        <v>2000720034</v>
      </c>
      <c r="F3954">
        <v>2808</v>
      </c>
      <c r="G3954">
        <v>200</v>
      </c>
      <c r="H3954">
        <v>0</v>
      </c>
      <c r="I3954" t="s">
        <v>1065</v>
      </c>
      <c r="J3954" t="s">
        <v>745</v>
      </c>
      <c r="K3954" t="s">
        <v>1124</v>
      </c>
      <c r="O3954">
        <v>0</v>
      </c>
      <c r="U3954" t="s">
        <v>81</v>
      </c>
    </row>
    <row r="3955" spans="1:21" x14ac:dyDescent="0.25">
      <c r="A3955" s="33">
        <v>3973</v>
      </c>
      <c r="B3955" s="24">
        <v>44277</v>
      </c>
      <c r="C3955" t="s">
        <v>39</v>
      </c>
      <c r="D3955" t="s">
        <v>41</v>
      </c>
      <c r="E3955">
        <v>2000718821</v>
      </c>
      <c r="F3955">
        <v>1480</v>
      </c>
      <c r="G3955">
        <v>280</v>
      </c>
      <c r="H3955">
        <v>0</v>
      </c>
      <c r="I3955" t="s">
        <v>1065</v>
      </c>
      <c r="J3955" t="s">
        <v>203</v>
      </c>
      <c r="K3955" t="s">
        <v>640</v>
      </c>
      <c r="O3955">
        <v>0</v>
      </c>
      <c r="U3955" t="s">
        <v>81</v>
      </c>
    </row>
    <row r="3956" spans="1:21" x14ac:dyDescent="0.25">
      <c r="A3956" s="33">
        <v>3974</v>
      </c>
      <c r="B3956" s="24">
        <v>44277</v>
      </c>
      <c r="C3956" t="s">
        <v>39</v>
      </c>
      <c r="D3956" t="s">
        <v>41</v>
      </c>
      <c r="E3956">
        <v>2000718791</v>
      </c>
      <c r="F3956">
        <v>1000</v>
      </c>
      <c r="G3956">
        <v>100</v>
      </c>
      <c r="H3956">
        <v>0</v>
      </c>
      <c r="I3956" t="s">
        <v>1065</v>
      </c>
      <c r="J3956" t="s">
        <v>193</v>
      </c>
      <c r="K3956" t="s">
        <v>176</v>
      </c>
      <c r="O3956">
        <v>0</v>
      </c>
      <c r="U3956" t="s">
        <v>81</v>
      </c>
    </row>
    <row r="3957" spans="1:21" x14ac:dyDescent="0.25">
      <c r="A3957" s="33">
        <v>3975</v>
      </c>
      <c r="B3957" s="24">
        <v>44277</v>
      </c>
      <c r="C3957" t="s">
        <v>39</v>
      </c>
      <c r="D3957" t="s">
        <v>41</v>
      </c>
      <c r="E3957">
        <v>2000718792</v>
      </c>
      <c r="F3957">
        <v>1000</v>
      </c>
      <c r="G3957">
        <v>100</v>
      </c>
      <c r="H3957">
        <v>0</v>
      </c>
      <c r="I3957" t="s">
        <v>1065</v>
      </c>
      <c r="J3957" t="s">
        <v>193</v>
      </c>
      <c r="K3957" t="s">
        <v>683</v>
      </c>
      <c r="O3957">
        <v>0</v>
      </c>
      <c r="U3957" t="s">
        <v>81</v>
      </c>
    </row>
    <row r="3958" spans="1:21" x14ac:dyDescent="0.25">
      <c r="A3958" s="33">
        <v>3976</v>
      </c>
      <c r="B3958" s="24">
        <v>44277</v>
      </c>
      <c r="C3958" t="s">
        <v>39</v>
      </c>
      <c r="D3958" t="s">
        <v>41</v>
      </c>
      <c r="E3958">
        <v>2000720230</v>
      </c>
      <c r="F3958">
        <v>2800</v>
      </c>
      <c r="G3958">
        <v>150</v>
      </c>
      <c r="H3958">
        <v>0</v>
      </c>
      <c r="I3958" t="s">
        <v>1065</v>
      </c>
      <c r="J3958" t="s">
        <v>645</v>
      </c>
      <c r="K3958" t="s">
        <v>658</v>
      </c>
      <c r="O3958">
        <v>0</v>
      </c>
      <c r="U3958" t="s">
        <v>81</v>
      </c>
    </row>
    <row r="3959" spans="1:21" x14ac:dyDescent="0.25">
      <c r="A3959" s="33">
        <v>3977</v>
      </c>
      <c r="B3959" s="24">
        <v>44277</v>
      </c>
      <c r="C3959" t="s">
        <v>39</v>
      </c>
      <c r="D3959" t="s">
        <v>41</v>
      </c>
      <c r="E3959">
        <v>2000719929</v>
      </c>
      <c r="F3959">
        <v>1000</v>
      </c>
      <c r="G3959">
        <v>100</v>
      </c>
      <c r="H3959">
        <v>0</v>
      </c>
      <c r="I3959" t="s">
        <v>1065</v>
      </c>
      <c r="J3959" t="s">
        <v>172</v>
      </c>
      <c r="K3959" t="s">
        <v>725</v>
      </c>
      <c r="O3959">
        <v>0</v>
      </c>
      <c r="T3959" s="62"/>
      <c r="U3959" t="s">
        <v>81</v>
      </c>
    </row>
    <row r="3960" spans="1:21" x14ac:dyDescent="0.25">
      <c r="A3960" s="33">
        <v>3978</v>
      </c>
      <c r="B3960" s="24">
        <v>44277</v>
      </c>
      <c r="C3960" t="s">
        <v>39</v>
      </c>
      <c r="D3960" t="s">
        <v>41</v>
      </c>
      <c r="E3960">
        <v>2000718573</v>
      </c>
      <c r="F3960">
        <v>1776</v>
      </c>
      <c r="G3960">
        <v>154</v>
      </c>
      <c r="H3960">
        <v>0</v>
      </c>
      <c r="I3960" t="s">
        <v>1065</v>
      </c>
      <c r="J3960" t="s">
        <v>203</v>
      </c>
      <c r="K3960" t="s">
        <v>788</v>
      </c>
      <c r="O3960">
        <v>0</v>
      </c>
      <c r="U3960" t="s">
        <v>81</v>
      </c>
    </row>
    <row r="3961" spans="1:21" x14ac:dyDescent="0.25">
      <c r="A3961" s="33">
        <v>3979</v>
      </c>
      <c r="B3961" s="24">
        <v>44277</v>
      </c>
      <c r="C3961" t="s">
        <v>39</v>
      </c>
      <c r="D3961" t="s">
        <v>41</v>
      </c>
      <c r="E3961">
        <v>2000720033</v>
      </c>
      <c r="F3961">
        <v>3216</v>
      </c>
      <c r="G3961">
        <v>400</v>
      </c>
      <c r="H3961">
        <v>0</v>
      </c>
      <c r="I3961" t="s">
        <v>1065</v>
      </c>
      <c r="J3961" t="s">
        <v>203</v>
      </c>
      <c r="K3961" t="s">
        <v>788</v>
      </c>
      <c r="O3961">
        <v>0</v>
      </c>
      <c r="U3961" t="s">
        <v>81</v>
      </c>
    </row>
    <row r="3962" spans="1:21" x14ac:dyDescent="0.25">
      <c r="A3962" s="33">
        <v>3980</v>
      </c>
      <c r="B3962" s="24">
        <v>44277</v>
      </c>
      <c r="C3962" t="s">
        <v>181</v>
      </c>
      <c r="D3962" t="s">
        <v>41</v>
      </c>
      <c r="E3962">
        <v>2000720385</v>
      </c>
      <c r="F3962">
        <v>720</v>
      </c>
      <c r="G3962">
        <v>40</v>
      </c>
      <c r="H3962">
        <v>0</v>
      </c>
      <c r="I3962" t="s">
        <v>168</v>
      </c>
      <c r="J3962" t="s">
        <v>174</v>
      </c>
      <c r="K3962" t="s">
        <v>204</v>
      </c>
      <c r="O3962">
        <v>0</v>
      </c>
      <c r="U3962" t="s">
        <v>81</v>
      </c>
    </row>
    <row r="3963" spans="1:21" x14ac:dyDescent="0.25">
      <c r="A3963" s="33">
        <v>3981</v>
      </c>
      <c r="B3963" s="24">
        <v>44277</v>
      </c>
      <c r="C3963" t="s">
        <v>181</v>
      </c>
      <c r="D3963" t="s">
        <v>41</v>
      </c>
      <c r="E3963">
        <v>2000720024</v>
      </c>
      <c r="F3963">
        <v>1500</v>
      </c>
      <c r="G3963">
        <v>120</v>
      </c>
      <c r="H3963">
        <v>0</v>
      </c>
      <c r="I3963" t="s">
        <v>168</v>
      </c>
      <c r="J3963" t="s">
        <v>174</v>
      </c>
      <c r="K3963" t="s">
        <v>177</v>
      </c>
      <c r="O3963">
        <v>0</v>
      </c>
      <c r="U3963" t="s">
        <v>81</v>
      </c>
    </row>
    <row r="3964" spans="1:21" x14ac:dyDescent="0.25">
      <c r="A3964" s="33">
        <v>3982</v>
      </c>
      <c r="B3964" s="24">
        <v>44277</v>
      </c>
      <c r="C3964" t="s">
        <v>181</v>
      </c>
      <c r="D3964" t="s">
        <v>41</v>
      </c>
      <c r="E3964">
        <v>2000720231</v>
      </c>
      <c r="F3964">
        <v>2800</v>
      </c>
      <c r="G3964">
        <v>160</v>
      </c>
      <c r="H3964">
        <v>0</v>
      </c>
      <c r="I3964" t="s">
        <v>168</v>
      </c>
      <c r="J3964" t="s">
        <v>645</v>
      </c>
      <c r="K3964" t="s">
        <v>721</v>
      </c>
      <c r="O3964">
        <v>0</v>
      </c>
      <c r="U3964" t="s">
        <v>81</v>
      </c>
    </row>
    <row r="3965" spans="1:21" x14ac:dyDescent="0.25">
      <c r="A3965" s="33">
        <v>3983</v>
      </c>
      <c r="B3965" s="24">
        <v>44277</v>
      </c>
      <c r="C3965" t="s">
        <v>181</v>
      </c>
      <c r="D3965" t="s">
        <v>41</v>
      </c>
      <c r="E3965">
        <v>2000719551</v>
      </c>
      <c r="F3965">
        <v>430</v>
      </c>
      <c r="G3965">
        <v>75</v>
      </c>
      <c r="H3965">
        <v>0</v>
      </c>
      <c r="I3965" t="s">
        <v>168</v>
      </c>
      <c r="J3965" t="s">
        <v>203</v>
      </c>
      <c r="K3965" t="s">
        <v>785</v>
      </c>
      <c r="O3965">
        <v>0</v>
      </c>
      <c r="U3965" t="s">
        <v>81</v>
      </c>
    </row>
    <row r="3966" spans="1:21" x14ac:dyDescent="0.25">
      <c r="A3966" s="33">
        <v>3984</v>
      </c>
      <c r="B3966" s="24">
        <v>44277</v>
      </c>
      <c r="C3966" t="s">
        <v>181</v>
      </c>
      <c r="D3966" t="s">
        <v>41</v>
      </c>
      <c r="E3966">
        <v>2000719972</v>
      </c>
      <c r="F3966">
        <v>1400</v>
      </c>
      <c r="G3966">
        <v>210</v>
      </c>
      <c r="H3966">
        <v>0</v>
      </c>
      <c r="I3966" t="s">
        <v>168</v>
      </c>
      <c r="J3966" t="s">
        <v>203</v>
      </c>
      <c r="K3966" t="s">
        <v>891</v>
      </c>
      <c r="O3966">
        <v>0</v>
      </c>
      <c r="U3966" t="s">
        <v>81</v>
      </c>
    </row>
    <row r="3967" spans="1:21" x14ac:dyDescent="0.25">
      <c r="A3967" s="33">
        <v>3985</v>
      </c>
      <c r="B3967" s="24">
        <v>44277</v>
      </c>
      <c r="C3967" t="s">
        <v>181</v>
      </c>
      <c r="D3967" t="s">
        <v>41</v>
      </c>
      <c r="E3967">
        <v>2000720635</v>
      </c>
      <c r="F3967">
        <v>1784</v>
      </c>
      <c r="G3967">
        <v>225</v>
      </c>
      <c r="H3967">
        <v>0</v>
      </c>
      <c r="I3967" t="s">
        <v>180</v>
      </c>
      <c r="J3967" t="s">
        <v>174</v>
      </c>
      <c r="K3967" t="s">
        <v>205</v>
      </c>
      <c r="O3967">
        <v>0</v>
      </c>
      <c r="U3967" t="s">
        <v>81</v>
      </c>
    </row>
    <row r="3968" spans="1:21" x14ac:dyDescent="0.25">
      <c r="A3968" s="33">
        <v>3986</v>
      </c>
      <c r="B3968" s="24">
        <v>44277</v>
      </c>
      <c r="C3968" t="s">
        <v>181</v>
      </c>
      <c r="D3968" t="s">
        <v>41</v>
      </c>
      <c r="E3968">
        <v>2000719931</v>
      </c>
      <c r="F3968">
        <v>2700</v>
      </c>
      <c r="G3968">
        <v>110</v>
      </c>
      <c r="H3968">
        <v>0</v>
      </c>
      <c r="I3968" t="s">
        <v>180</v>
      </c>
      <c r="J3968" t="s">
        <v>172</v>
      </c>
      <c r="K3968" t="s">
        <v>173</v>
      </c>
      <c r="O3968">
        <v>0</v>
      </c>
      <c r="U3968" t="s">
        <v>81</v>
      </c>
    </row>
    <row r="3969" spans="1:21" x14ac:dyDescent="0.25">
      <c r="A3969" s="33">
        <v>3987</v>
      </c>
      <c r="B3969" s="24">
        <v>44277</v>
      </c>
      <c r="C3969" t="s">
        <v>181</v>
      </c>
      <c r="D3969" t="s">
        <v>41</v>
      </c>
      <c r="E3969">
        <v>2000720023</v>
      </c>
      <c r="F3969">
        <v>640</v>
      </c>
      <c r="G3969">
        <v>120</v>
      </c>
      <c r="H3969">
        <v>0</v>
      </c>
      <c r="I3969" t="s">
        <v>180</v>
      </c>
      <c r="J3969" t="s">
        <v>174</v>
      </c>
      <c r="K3969" t="s">
        <v>805</v>
      </c>
      <c r="O3969">
        <v>0</v>
      </c>
      <c r="U3969" t="s">
        <v>81</v>
      </c>
    </row>
    <row r="3970" spans="1:21" x14ac:dyDescent="0.25">
      <c r="A3970" s="33">
        <v>3988</v>
      </c>
      <c r="B3970" s="24">
        <v>44277</v>
      </c>
      <c r="C3970" t="s">
        <v>181</v>
      </c>
      <c r="D3970" t="s">
        <v>41</v>
      </c>
      <c r="E3970">
        <v>2000720024</v>
      </c>
      <c r="F3970">
        <v>1500</v>
      </c>
      <c r="G3970">
        <v>120</v>
      </c>
      <c r="H3970">
        <v>0</v>
      </c>
      <c r="I3970" t="s">
        <v>665</v>
      </c>
      <c r="J3970" t="s">
        <v>174</v>
      </c>
      <c r="K3970" t="s">
        <v>177</v>
      </c>
      <c r="O3970">
        <v>0</v>
      </c>
      <c r="U3970" t="s">
        <v>81</v>
      </c>
    </row>
    <row r="3971" spans="1:21" x14ac:dyDescent="0.25">
      <c r="A3971" s="33">
        <v>3989</v>
      </c>
      <c r="B3971" s="24">
        <v>44277</v>
      </c>
      <c r="C3971" t="s">
        <v>181</v>
      </c>
      <c r="D3971" t="s">
        <v>41</v>
      </c>
      <c r="E3971">
        <v>2000720635</v>
      </c>
      <c r="F3971">
        <v>1784</v>
      </c>
      <c r="G3971">
        <v>315</v>
      </c>
      <c r="H3971">
        <v>0</v>
      </c>
      <c r="I3971" t="s">
        <v>661</v>
      </c>
      <c r="J3971" t="s">
        <v>174</v>
      </c>
      <c r="K3971" t="s">
        <v>205</v>
      </c>
      <c r="O3971">
        <v>0</v>
      </c>
      <c r="U3971" t="s">
        <v>81</v>
      </c>
    </row>
    <row r="3972" spans="1:21" x14ac:dyDescent="0.25">
      <c r="A3972" s="33">
        <v>3990</v>
      </c>
      <c r="B3972" s="24">
        <v>44277</v>
      </c>
      <c r="C3972" t="s">
        <v>181</v>
      </c>
      <c r="D3972" t="s">
        <v>41</v>
      </c>
      <c r="E3972">
        <v>2000720024</v>
      </c>
      <c r="F3972">
        <v>1500</v>
      </c>
      <c r="G3972">
        <v>295</v>
      </c>
      <c r="H3972">
        <v>0</v>
      </c>
      <c r="I3972" t="s">
        <v>661</v>
      </c>
      <c r="J3972" t="s">
        <v>174</v>
      </c>
      <c r="K3972" t="s">
        <v>177</v>
      </c>
      <c r="O3972">
        <v>0</v>
      </c>
      <c r="U3972" t="s">
        <v>81</v>
      </c>
    </row>
    <row r="3973" spans="1:21" x14ac:dyDescent="0.25">
      <c r="A3973" s="33">
        <v>3991</v>
      </c>
      <c r="B3973" s="24">
        <v>44277</v>
      </c>
      <c r="C3973" t="s">
        <v>181</v>
      </c>
      <c r="D3973" t="s">
        <v>41</v>
      </c>
      <c r="E3973">
        <v>2000719865</v>
      </c>
      <c r="F3973">
        <v>1800</v>
      </c>
      <c r="G3973">
        <v>80</v>
      </c>
      <c r="H3973">
        <v>0</v>
      </c>
      <c r="I3973" t="s">
        <v>178</v>
      </c>
      <c r="J3973" t="s">
        <v>169</v>
      </c>
      <c r="K3973" t="s">
        <v>663</v>
      </c>
      <c r="O3973">
        <v>0</v>
      </c>
      <c r="U3973" t="s">
        <v>81</v>
      </c>
    </row>
    <row r="3974" spans="1:21" x14ac:dyDescent="0.25">
      <c r="A3974" s="33">
        <v>3992</v>
      </c>
      <c r="B3974" s="24">
        <v>44277</v>
      </c>
      <c r="C3974" t="s">
        <v>181</v>
      </c>
      <c r="D3974" t="s">
        <v>41</v>
      </c>
      <c r="E3974">
        <v>2000719542</v>
      </c>
      <c r="F3974">
        <v>1050</v>
      </c>
      <c r="G3974">
        <v>80</v>
      </c>
      <c r="H3974">
        <v>0</v>
      </c>
      <c r="I3974" t="s">
        <v>178</v>
      </c>
      <c r="J3974" t="s">
        <v>193</v>
      </c>
      <c r="K3974" t="s">
        <v>647</v>
      </c>
      <c r="O3974">
        <v>0</v>
      </c>
      <c r="U3974" t="s">
        <v>81</v>
      </c>
    </row>
    <row r="3975" spans="1:21" x14ac:dyDescent="0.25">
      <c r="A3975" s="33">
        <v>3993</v>
      </c>
      <c r="B3975" s="24">
        <v>44277</v>
      </c>
      <c r="C3975" t="s">
        <v>181</v>
      </c>
      <c r="D3975" t="s">
        <v>41</v>
      </c>
      <c r="E3975">
        <v>2000715882</v>
      </c>
      <c r="F3975">
        <v>1020</v>
      </c>
      <c r="G3975">
        <v>80</v>
      </c>
      <c r="H3975">
        <v>0</v>
      </c>
      <c r="I3975" t="s">
        <v>178</v>
      </c>
      <c r="J3975" t="s">
        <v>645</v>
      </c>
      <c r="K3975" t="s">
        <v>694</v>
      </c>
      <c r="O3975">
        <v>0</v>
      </c>
      <c r="U3975" t="s">
        <v>81</v>
      </c>
    </row>
    <row r="3976" spans="1:21" x14ac:dyDescent="0.25">
      <c r="A3976" s="33">
        <v>3994</v>
      </c>
      <c r="B3976" s="24">
        <v>44277</v>
      </c>
      <c r="C3976" t="s">
        <v>181</v>
      </c>
      <c r="D3976" t="s">
        <v>41</v>
      </c>
      <c r="E3976">
        <v>2000719921</v>
      </c>
      <c r="F3976">
        <v>3808</v>
      </c>
      <c r="G3976">
        <v>40</v>
      </c>
      <c r="H3976">
        <v>0</v>
      </c>
      <c r="I3976" t="s">
        <v>178</v>
      </c>
      <c r="J3976" t="s">
        <v>200</v>
      </c>
      <c r="K3976" t="s">
        <v>653</v>
      </c>
      <c r="O3976">
        <v>0</v>
      </c>
      <c r="U3976" t="s">
        <v>81</v>
      </c>
    </row>
    <row r="3977" spans="1:21" x14ac:dyDescent="0.25">
      <c r="A3977" s="33">
        <v>3995</v>
      </c>
      <c r="B3977" s="24">
        <v>44277</v>
      </c>
      <c r="C3977" t="s">
        <v>181</v>
      </c>
      <c r="D3977" t="s">
        <v>41</v>
      </c>
      <c r="E3977">
        <v>2000719922</v>
      </c>
      <c r="F3977">
        <v>2592</v>
      </c>
      <c r="G3977">
        <v>160</v>
      </c>
      <c r="H3977">
        <v>0</v>
      </c>
      <c r="I3977" t="s">
        <v>178</v>
      </c>
      <c r="J3977" t="s">
        <v>655</v>
      </c>
      <c r="K3977" t="s">
        <v>656</v>
      </c>
      <c r="O3977">
        <v>0</v>
      </c>
      <c r="U3977" t="s">
        <v>81</v>
      </c>
    </row>
    <row r="3978" spans="1:21" x14ac:dyDescent="0.25">
      <c r="A3978" s="33">
        <v>3996</v>
      </c>
      <c r="B3978" s="24">
        <v>44277</v>
      </c>
      <c r="C3978" t="s">
        <v>181</v>
      </c>
      <c r="D3978" t="s">
        <v>41</v>
      </c>
      <c r="E3978">
        <v>2000720011</v>
      </c>
      <c r="F3978">
        <v>3999</v>
      </c>
      <c r="G3978">
        <v>240</v>
      </c>
      <c r="H3978">
        <v>0</v>
      </c>
      <c r="I3978" t="s">
        <v>178</v>
      </c>
      <c r="J3978" t="s">
        <v>687</v>
      </c>
      <c r="K3978" t="s">
        <v>688</v>
      </c>
      <c r="O3978">
        <v>0</v>
      </c>
      <c r="U3978" t="s">
        <v>81</v>
      </c>
    </row>
    <row r="3979" spans="1:21" x14ac:dyDescent="0.25">
      <c r="A3979" s="33">
        <v>3997</v>
      </c>
      <c r="B3979" s="24">
        <v>44277</v>
      </c>
      <c r="C3979" t="s">
        <v>181</v>
      </c>
      <c r="D3979" t="s">
        <v>41</v>
      </c>
      <c r="E3979">
        <v>2000719932</v>
      </c>
      <c r="F3979">
        <v>1000</v>
      </c>
      <c r="G3979">
        <v>80</v>
      </c>
      <c r="H3979">
        <v>0</v>
      </c>
      <c r="I3979" t="s">
        <v>178</v>
      </c>
      <c r="J3979" t="s">
        <v>172</v>
      </c>
      <c r="K3979" t="s">
        <v>854</v>
      </c>
      <c r="O3979">
        <v>0</v>
      </c>
      <c r="U3979" t="s">
        <v>81</v>
      </c>
    </row>
    <row r="3980" spans="1:21" x14ac:dyDescent="0.25">
      <c r="A3980" s="33">
        <v>3998</v>
      </c>
      <c r="B3980" s="24">
        <v>44277</v>
      </c>
      <c r="C3980" t="s">
        <v>181</v>
      </c>
      <c r="D3980" t="s">
        <v>41</v>
      </c>
      <c r="E3980">
        <v>2000720384</v>
      </c>
      <c r="F3980">
        <v>1840</v>
      </c>
      <c r="G3980">
        <v>33</v>
      </c>
      <c r="H3980">
        <v>0</v>
      </c>
      <c r="I3980" t="s">
        <v>194</v>
      </c>
      <c r="J3980" t="s">
        <v>174</v>
      </c>
      <c r="K3980" t="s">
        <v>644</v>
      </c>
      <c r="O3980">
        <v>0</v>
      </c>
      <c r="U3980" t="s">
        <v>81</v>
      </c>
    </row>
    <row r="3981" spans="1:21" x14ac:dyDescent="0.25">
      <c r="A3981" s="33">
        <v>3999</v>
      </c>
      <c r="B3981" s="24">
        <v>44277</v>
      </c>
      <c r="C3981" t="s">
        <v>181</v>
      </c>
      <c r="D3981" t="s">
        <v>41</v>
      </c>
      <c r="E3981">
        <v>2000720385</v>
      </c>
      <c r="F3981">
        <v>720</v>
      </c>
      <c r="G3981">
        <v>40</v>
      </c>
      <c r="H3981">
        <v>0</v>
      </c>
      <c r="I3981" t="s">
        <v>194</v>
      </c>
      <c r="J3981" t="s">
        <v>174</v>
      </c>
      <c r="K3981" t="s">
        <v>204</v>
      </c>
      <c r="O3981">
        <v>0</v>
      </c>
      <c r="U3981" t="s">
        <v>81</v>
      </c>
    </row>
    <row r="3982" spans="1:21" x14ac:dyDescent="0.25">
      <c r="A3982" s="33">
        <v>4000</v>
      </c>
      <c r="B3982" s="24">
        <v>44277</v>
      </c>
      <c r="C3982" t="s">
        <v>181</v>
      </c>
      <c r="D3982" t="s">
        <v>41</v>
      </c>
      <c r="E3982">
        <v>2000720024</v>
      </c>
      <c r="F3982">
        <v>1500</v>
      </c>
      <c r="G3982">
        <v>480</v>
      </c>
      <c r="H3982">
        <v>0</v>
      </c>
      <c r="I3982" t="s">
        <v>194</v>
      </c>
      <c r="J3982" t="s">
        <v>174</v>
      </c>
      <c r="K3982" t="s">
        <v>177</v>
      </c>
      <c r="O3982">
        <v>0</v>
      </c>
      <c r="U3982" t="s">
        <v>81</v>
      </c>
    </row>
    <row r="3983" spans="1:21" x14ac:dyDescent="0.25">
      <c r="A3983" s="33">
        <v>4001</v>
      </c>
      <c r="B3983" s="24">
        <v>44277</v>
      </c>
      <c r="C3983" t="s">
        <v>181</v>
      </c>
      <c r="D3983" t="s">
        <v>41</v>
      </c>
      <c r="E3983">
        <v>2000719931</v>
      </c>
      <c r="F3983">
        <v>2700</v>
      </c>
      <c r="G3983">
        <v>10</v>
      </c>
      <c r="H3983">
        <v>0</v>
      </c>
      <c r="I3983" t="s">
        <v>194</v>
      </c>
      <c r="J3983" t="s">
        <v>172</v>
      </c>
      <c r="K3983" t="s">
        <v>173</v>
      </c>
      <c r="O3983">
        <v>0</v>
      </c>
      <c r="U3983" t="s">
        <v>81</v>
      </c>
    </row>
    <row r="3984" spans="1:21" x14ac:dyDescent="0.25">
      <c r="A3984" s="33">
        <v>4002</v>
      </c>
      <c r="B3984" s="24">
        <v>44277</v>
      </c>
      <c r="C3984" t="s">
        <v>181</v>
      </c>
      <c r="D3984" t="s">
        <v>41</v>
      </c>
      <c r="E3984">
        <v>2000720385</v>
      </c>
      <c r="F3984">
        <v>720</v>
      </c>
      <c r="G3984">
        <v>112</v>
      </c>
      <c r="H3984">
        <v>0</v>
      </c>
      <c r="I3984" t="s">
        <v>666</v>
      </c>
      <c r="J3984" t="s">
        <v>174</v>
      </c>
      <c r="K3984" t="s">
        <v>204</v>
      </c>
      <c r="O3984">
        <v>0</v>
      </c>
      <c r="U3984" t="s">
        <v>81</v>
      </c>
    </row>
    <row r="3985" spans="1:21" x14ac:dyDescent="0.25">
      <c r="A3985" s="33">
        <v>4003</v>
      </c>
      <c r="B3985" s="24">
        <v>44277</v>
      </c>
      <c r="C3985" t="s">
        <v>181</v>
      </c>
      <c r="D3985" t="s">
        <v>41</v>
      </c>
      <c r="E3985">
        <v>2000720024</v>
      </c>
      <c r="F3985">
        <v>1500</v>
      </c>
      <c r="G3985">
        <v>160</v>
      </c>
      <c r="H3985">
        <v>0</v>
      </c>
      <c r="I3985" t="s">
        <v>666</v>
      </c>
      <c r="J3985" t="s">
        <v>174</v>
      </c>
      <c r="K3985" t="s">
        <v>177</v>
      </c>
      <c r="O3985">
        <v>0</v>
      </c>
      <c r="U3985" t="s">
        <v>81</v>
      </c>
    </row>
    <row r="3986" spans="1:21" x14ac:dyDescent="0.25">
      <c r="A3986" s="33">
        <v>4004</v>
      </c>
      <c r="B3986" s="24">
        <v>44277</v>
      </c>
      <c r="C3986" t="s">
        <v>181</v>
      </c>
      <c r="D3986" t="s">
        <v>41</v>
      </c>
      <c r="E3986">
        <v>2000720023</v>
      </c>
      <c r="F3986">
        <v>640</v>
      </c>
      <c r="G3986">
        <v>400</v>
      </c>
      <c r="H3986">
        <v>0</v>
      </c>
      <c r="I3986" t="s">
        <v>666</v>
      </c>
      <c r="J3986" t="s">
        <v>174</v>
      </c>
      <c r="K3986" t="s">
        <v>805</v>
      </c>
      <c r="O3986">
        <v>0</v>
      </c>
      <c r="U3986" t="s">
        <v>81</v>
      </c>
    </row>
    <row r="3987" spans="1:21" x14ac:dyDescent="0.25">
      <c r="A3987" s="33">
        <v>4005</v>
      </c>
      <c r="B3987" s="24">
        <v>44277</v>
      </c>
      <c r="C3987" t="s">
        <v>181</v>
      </c>
      <c r="D3987" t="s">
        <v>41</v>
      </c>
      <c r="E3987">
        <v>2000719300</v>
      </c>
      <c r="F3987">
        <v>1050</v>
      </c>
      <c r="G3987">
        <v>160</v>
      </c>
      <c r="H3987">
        <v>0</v>
      </c>
      <c r="I3987" t="s">
        <v>201</v>
      </c>
      <c r="J3987" t="s">
        <v>193</v>
      </c>
      <c r="K3987" t="s">
        <v>686</v>
      </c>
      <c r="O3987">
        <v>0</v>
      </c>
      <c r="U3987" t="s">
        <v>81</v>
      </c>
    </row>
    <row r="3988" spans="1:21" x14ac:dyDescent="0.25">
      <c r="A3988" s="33">
        <v>4006</v>
      </c>
      <c r="B3988" s="24">
        <v>44277</v>
      </c>
      <c r="C3988" t="s">
        <v>181</v>
      </c>
      <c r="D3988" t="s">
        <v>41</v>
      </c>
      <c r="E3988">
        <v>2000719297</v>
      </c>
      <c r="F3988">
        <v>1050</v>
      </c>
      <c r="G3988">
        <v>150</v>
      </c>
      <c r="H3988">
        <v>0</v>
      </c>
      <c r="I3988" t="s">
        <v>201</v>
      </c>
      <c r="J3988" t="s">
        <v>193</v>
      </c>
      <c r="K3988" t="s">
        <v>176</v>
      </c>
      <c r="O3988">
        <v>0</v>
      </c>
      <c r="U3988" t="s">
        <v>81</v>
      </c>
    </row>
    <row r="3989" spans="1:21" x14ac:dyDescent="0.25">
      <c r="A3989" s="33">
        <v>4007</v>
      </c>
      <c r="B3989" s="24">
        <v>44277</v>
      </c>
      <c r="C3989" t="s">
        <v>181</v>
      </c>
      <c r="D3989" t="s">
        <v>41</v>
      </c>
      <c r="E3989">
        <v>2000719354</v>
      </c>
      <c r="F3989">
        <v>1200</v>
      </c>
      <c r="G3989">
        <v>240</v>
      </c>
      <c r="H3989">
        <v>0</v>
      </c>
      <c r="I3989" t="s">
        <v>201</v>
      </c>
      <c r="J3989" t="s">
        <v>203</v>
      </c>
      <c r="K3989" t="s">
        <v>640</v>
      </c>
      <c r="O3989">
        <v>0</v>
      </c>
      <c r="U3989" t="s">
        <v>81</v>
      </c>
    </row>
    <row r="3990" spans="1:21" x14ac:dyDescent="0.25">
      <c r="A3990" s="33">
        <v>4008</v>
      </c>
      <c r="B3990" s="24">
        <v>44277</v>
      </c>
      <c r="C3990" t="s">
        <v>181</v>
      </c>
      <c r="D3990" t="s">
        <v>41</v>
      </c>
      <c r="E3990">
        <v>2000715880</v>
      </c>
      <c r="F3990">
        <v>1020</v>
      </c>
      <c r="G3990">
        <v>150</v>
      </c>
      <c r="H3990">
        <v>0</v>
      </c>
      <c r="I3990" t="s">
        <v>201</v>
      </c>
      <c r="J3990" t="s">
        <v>645</v>
      </c>
      <c r="K3990" t="s">
        <v>726</v>
      </c>
      <c r="O3990">
        <v>0</v>
      </c>
      <c r="U3990" t="s">
        <v>81</v>
      </c>
    </row>
    <row r="3991" spans="1:21" x14ac:dyDescent="0.25">
      <c r="A3991" s="33">
        <v>4009</v>
      </c>
      <c r="B3991" s="24">
        <v>44277</v>
      </c>
      <c r="C3991" t="s">
        <v>181</v>
      </c>
      <c r="D3991" t="s">
        <v>41</v>
      </c>
      <c r="E3991">
        <v>2000718793</v>
      </c>
      <c r="F3991">
        <v>1000</v>
      </c>
      <c r="G3991">
        <v>120</v>
      </c>
      <c r="H3991">
        <v>0</v>
      </c>
      <c r="I3991" t="s">
        <v>201</v>
      </c>
      <c r="J3991" t="s">
        <v>193</v>
      </c>
      <c r="K3991" t="s">
        <v>650</v>
      </c>
      <c r="O3991">
        <v>0</v>
      </c>
      <c r="U3991" t="s">
        <v>81</v>
      </c>
    </row>
    <row r="3992" spans="1:21" x14ac:dyDescent="0.25">
      <c r="A3992" s="33">
        <v>4010</v>
      </c>
      <c r="B3992" s="24">
        <v>44277</v>
      </c>
      <c r="C3992" t="s">
        <v>181</v>
      </c>
      <c r="D3992" t="s">
        <v>41</v>
      </c>
      <c r="E3992">
        <v>2000719587</v>
      </c>
      <c r="F3992">
        <v>600</v>
      </c>
      <c r="G3992">
        <v>150</v>
      </c>
      <c r="H3992">
        <v>0</v>
      </c>
      <c r="I3992" t="s">
        <v>201</v>
      </c>
      <c r="J3992" t="s">
        <v>645</v>
      </c>
      <c r="K3992" t="s">
        <v>739</v>
      </c>
      <c r="O3992">
        <v>0</v>
      </c>
      <c r="U3992" t="s">
        <v>81</v>
      </c>
    </row>
    <row r="3993" spans="1:21" x14ac:dyDescent="0.25">
      <c r="A3993" s="33">
        <v>4011</v>
      </c>
      <c r="B3993" s="24">
        <v>44277</v>
      </c>
      <c r="C3993" t="s">
        <v>181</v>
      </c>
      <c r="D3993" t="s">
        <v>41</v>
      </c>
      <c r="E3993">
        <v>2000720185</v>
      </c>
      <c r="F3993">
        <v>600</v>
      </c>
      <c r="G3993">
        <v>150</v>
      </c>
      <c r="H3993">
        <v>0</v>
      </c>
      <c r="I3993" t="s">
        <v>201</v>
      </c>
      <c r="J3993" t="s">
        <v>169</v>
      </c>
      <c r="K3993" t="s">
        <v>847</v>
      </c>
      <c r="O3993">
        <v>0</v>
      </c>
      <c r="U3993" t="s">
        <v>81</v>
      </c>
    </row>
    <row r="3994" spans="1:21" x14ac:dyDescent="0.25">
      <c r="A3994" s="33">
        <v>4012</v>
      </c>
      <c r="B3994" s="24">
        <v>44277</v>
      </c>
      <c r="C3994" t="s">
        <v>181</v>
      </c>
      <c r="D3994" t="s">
        <v>41</v>
      </c>
      <c r="E3994">
        <v>2000720228</v>
      </c>
      <c r="F3994">
        <v>2800</v>
      </c>
      <c r="G3994">
        <v>200</v>
      </c>
      <c r="H3994">
        <v>0</v>
      </c>
      <c r="I3994" t="s">
        <v>201</v>
      </c>
      <c r="J3994" t="s">
        <v>645</v>
      </c>
      <c r="K3994" t="s">
        <v>756</v>
      </c>
      <c r="O3994">
        <v>0</v>
      </c>
      <c r="U3994" t="s">
        <v>81</v>
      </c>
    </row>
    <row r="3995" spans="1:21" x14ac:dyDescent="0.25">
      <c r="A3995" s="33">
        <v>4013</v>
      </c>
      <c r="B3995" s="24">
        <v>44277</v>
      </c>
      <c r="C3995" t="s">
        <v>181</v>
      </c>
      <c r="D3995" t="s">
        <v>41</v>
      </c>
      <c r="E3995">
        <v>2000719930</v>
      </c>
      <c r="F3995">
        <v>2700</v>
      </c>
      <c r="G3995">
        <v>200</v>
      </c>
      <c r="H3995">
        <v>0</v>
      </c>
      <c r="I3995" t="s">
        <v>201</v>
      </c>
      <c r="J3995" t="s">
        <v>172</v>
      </c>
      <c r="K3995" t="s">
        <v>725</v>
      </c>
      <c r="O3995">
        <v>0</v>
      </c>
      <c r="U3995" t="s">
        <v>81</v>
      </c>
    </row>
    <row r="3996" spans="1:21" x14ac:dyDescent="0.25">
      <c r="A3996" s="33">
        <v>4014</v>
      </c>
      <c r="B3996" s="24">
        <v>44277</v>
      </c>
      <c r="C3996" t="s">
        <v>181</v>
      </c>
      <c r="D3996" t="s">
        <v>41</v>
      </c>
      <c r="E3996">
        <v>2000719539</v>
      </c>
      <c r="F3996">
        <v>1050</v>
      </c>
      <c r="G3996">
        <v>150</v>
      </c>
      <c r="H3996">
        <v>0</v>
      </c>
      <c r="I3996" t="s">
        <v>201</v>
      </c>
      <c r="J3996" t="s">
        <v>193</v>
      </c>
      <c r="K3996" t="s">
        <v>683</v>
      </c>
      <c r="O3996">
        <v>0</v>
      </c>
      <c r="U3996" t="s">
        <v>81</v>
      </c>
    </row>
    <row r="3997" spans="1:21" x14ac:dyDescent="0.25">
      <c r="A3997" s="33">
        <v>4015</v>
      </c>
      <c r="B3997" s="24">
        <v>44277</v>
      </c>
      <c r="C3997" t="s">
        <v>181</v>
      </c>
      <c r="D3997" t="s">
        <v>41</v>
      </c>
      <c r="E3997">
        <v>2000720180</v>
      </c>
      <c r="F3997">
        <v>1120</v>
      </c>
      <c r="G3997">
        <v>200</v>
      </c>
      <c r="H3997">
        <v>0</v>
      </c>
      <c r="I3997" t="s">
        <v>201</v>
      </c>
      <c r="J3997" t="s">
        <v>745</v>
      </c>
      <c r="K3997" t="s">
        <v>879</v>
      </c>
      <c r="O3997">
        <v>0</v>
      </c>
      <c r="U3997" t="s">
        <v>81</v>
      </c>
    </row>
    <row r="3998" spans="1:21" x14ac:dyDescent="0.25">
      <c r="A3998" s="33">
        <v>4016</v>
      </c>
      <c r="B3998" s="24">
        <v>44277</v>
      </c>
      <c r="C3998" t="s">
        <v>181</v>
      </c>
      <c r="D3998" t="s">
        <v>41</v>
      </c>
      <c r="E3998">
        <v>2000719538</v>
      </c>
      <c r="F3998">
        <v>1050</v>
      </c>
      <c r="G3998">
        <v>150</v>
      </c>
      <c r="H3998">
        <v>0</v>
      </c>
      <c r="I3998" t="s">
        <v>201</v>
      </c>
      <c r="J3998" t="s">
        <v>193</v>
      </c>
      <c r="K3998" t="s">
        <v>176</v>
      </c>
      <c r="O3998">
        <v>0</v>
      </c>
      <c r="U3998" t="s">
        <v>81</v>
      </c>
    </row>
    <row r="3999" spans="1:21" x14ac:dyDescent="0.25">
      <c r="A3999" s="33">
        <v>4017</v>
      </c>
      <c r="B3999" s="24">
        <v>44277</v>
      </c>
      <c r="C3999" t="s">
        <v>181</v>
      </c>
      <c r="D3999" t="s">
        <v>41</v>
      </c>
      <c r="E3999">
        <v>2000720229</v>
      </c>
      <c r="F3999">
        <v>2800</v>
      </c>
      <c r="G3999">
        <v>150</v>
      </c>
      <c r="H3999">
        <v>0</v>
      </c>
      <c r="I3999" t="s">
        <v>201</v>
      </c>
      <c r="J3999" t="s">
        <v>645</v>
      </c>
      <c r="K3999" t="s">
        <v>739</v>
      </c>
      <c r="O3999">
        <v>0</v>
      </c>
      <c r="U3999" t="s">
        <v>81</v>
      </c>
    </row>
    <row r="4000" spans="1:21" x14ac:dyDescent="0.25">
      <c r="A4000" s="33">
        <v>4018</v>
      </c>
      <c r="B4000" s="24">
        <v>44277</v>
      </c>
      <c r="C4000" t="s">
        <v>181</v>
      </c>
      <c r="D4000" t="s">
        <v>51</v>
      </c>
      <c r="E4000">
        <v>2000720199</v>
      </c>
      <c r="F4000">
        <v>620</v>
      </c>
      <c r="G4000">
        <v>10</v>
      </c>
      <c r="H4000">
        <v>0</v>
      </c>
      <c r="I4000" t="s">
        <v>191</v>
      </c>
      <c r="J4000" t="s">
        <v>676</v>
      </c>
      <c r="K4000" t="s">
        <v>874</v>
      </c>
      <c r="O4000">
        <v>0</v>
      </c>
      <c r="U4000" t="s">
        <v>81</v>
      </c>
    </row>
    <row r="4001" spans="1:21" x14ac:dyDescent="0.25">
      <c r="A4001" s="33">
        <v>4019</v>
      </c>
      <c r="B4001" s="24">
        <v>44277</v>
      </c>
      <c r="C4001" t="s">
        <v>181</v>
      </c>
      <c r="D4001" t="s">
        <v>51</v>
      </c>
      <c r="E4001">
        <v>2000720157</v>
      </c>
      <c r="F4001">
        <v>500</v>
      </c>
      <c r="G4001">
        <v>105</v>
      </c>
      <c r="H4001">
        <v>0</v>
      </c>
      <c r="I4001" t="s">
        <v>191</v>
      </c>
      <c r="J4001" t="s">
        <v>667</v>
      </c>
      <c r="K4001" t="s">
        <v>671</v>
      </c>
      <c r="O4001">
        <v>0</v>
      </c>
      <c r="U4001" t="s">
        <v>81</v>
      </c>
    </row>
    <row r="4002" spans="1:21" x14ac:dyDescent="0.25">
      <c r="A4002" s="33">
        <v>4020</v>
      </c>
      <c r="B4002" s="24">
        <v>44277</v>
      </c>
      <c r="C4002" t="s">
        <v>181</v>
      </c>
      <c r="D4002" t="s">
        <v>51</v>
      </c>
      <c r="E4002">
        <v>2000718983</v>
      </c>
      <c r="F4002">
        <v>80</v>
      </c>
      <c r="G4002">
        <v>60</v>
      </c>
      <c r="H4002">
        <v>0</v>
      </c>
      <c r="I4002" t="s">
        <v>191</v>
      </c>
      <c r="J4002" t="s">
        <v>669</v>
      </c>
      <c r="K4002" t="s">
        <v>802</v>
      </c>
      <c r="O4002">
        <v>0</v>
      </c>
      <c r="U4002" t="s">
        <v>81</v>
      </c>
    </row>
    <row r="4003" spans="1:21" x14ac:dyDescent="0.25">
      <c r="A4003" s="33">
        <v>4021</v>
      </c>
      <c r="B4003" s="24">
        <v>44277</v>
      </c>
      <c r="C4003" t="s">
        <v>181</v>
      </c>
      <c r="D4003" t="s">
        <v>51</v>
      </c>
      <c r="E4003">
        <v>2000720210</v>
      </c>
      <c r="F4003">
        <v>350</v>
      </c>
      <c r="G4003">
        <v>171</v>
      </c>
      <c r="H4003">
        <v>0</v>
      </c>
      <c r="I4003" t="s">
        <v>191</v>
      </c>
      <c r="J4003" t="s">
        <v>669</v>
      </c>
      <c r="K4003" t="s">
        <v>670</v>
      </c>
      <c r="O4003">
        <v>0</v>
      </c>
      <c r="U4003" t="s">
        <v>81</v>
      </c>
    </row>
    <row r="4004" spans="1:21" x14ac:dyDescent="0.25">
      <c r="A4004" s="33">
        <v>4022</v>
      </c>
      <c r="B4004" s="24">
        <v>44277</v>
      </c>
      <c r="C4004" t="s">
        <v>181</v>
      </c>
      <c r="D4004" t="s">
        <v>51</v>
      </c>
      <c r="E4004">
        <v>2000719230</v>
      </c>
      <c r="F4004">
        <v>310</v>
      </c>
      <c r="G4004">
        <v>310</v>
      </c>
      <c r="H4004">
        <v>0</v>
      </c>
      <c r="I4004" t="s">
        <v>191</v>
      </c>
      <c r="J4004" t="s">
        <v>673</v>
      </c>
      <c r="K4004" t="s">
        <v>679</v>
      </c>
      <c r="O4004">
        <v>0</v>
      </c>
      <c r="U4004" t="s">
        <v>81</v>
      </c>
    </row>
    <row r="4005" spans="1:21" x14ac:dyDescent="0.25">
      <c r="A4005" s="33">
        <v>4023</v>
      </c>
      <c r="B4005" s="24">
        <v>44277</v>
      </c>
      <c r="C4005" t="s">
        <v>181</v>
      </c>
      <c r="D4005" t="s">
        <v>51</v>
      </c>
      <c r="E4005">
        <v>2000719829</v>
      </c>
      <c r="F4005">
        <v>960</v>
      </c>
      <c r="G4005">
        <v>192</v>
      </c>
      <c r="H4005">
        <v>0</v>
      </c>
      <c r="I4005" t="s">
        <v>191</v>
      </c>
      <c r="J4005" t="s">
        <v>709</v>
      </c>
      <c r="K4005" t="s">
        <v>710</v>
      </c>
      <c r="O4005">
        <v>0</v>
      </c>
      <c r="U4005" t="s">
        <v>81</v>
      </c>
    </row>
    <row r="4006" spans="1:21" x14ac:dyDescent="0.25">
      <c r="A4006" s="33">
        <v>4024</v>
      </c>
      <c r="B4006" s="24">
        <v>44277</v>
      </c>
      <c r="C4006" t="s">
        <v>181</v>
      </c>
      <c r="D4006" t="s">
        <v>51</v>
      </c>
      <c r="E4006">
        <v>2000719857</v>
      </c>
      <c r="F4006">
        <v>200</v>
      </c>
      <c r="G4006">
        <v>60</v>
      </c>
      <c r="H4006">
        <v>0</v>
      </c>
      <c r="I4006" t="s">
        <v>191</v>
      </c>
      <c r="J4006" t="s">
        <v>669</v>
      </c>
      <c r="K4006" t="s">
        <v>848</v>
      </c>
      <c r="O4006">
        <v>0</v>
      </c>
      <c r="U4006" t="s">
        <v>81</v>
      </c>
    </row>
    <row r="4007" spans="1:21" x14ac:dyDescent="0.25">
      <c r="A4007" s="33">
        <v>4025</v>
      </c>
      <c r="B4007" s="24">
        <v>44277</v>
      </c>
      <c r="C4007" t="s">
        <v>181</v>
      </c>
      <c r="D4007" t="s">
        <v>51</v>
      </c>
      <c r="E4007">
        <v>2000718982</v>
      </c>
      <c r="F4007">
        <v>210</v>
      </c>
      <c r="G4007">
        <v>20</v>
      </c>
      <c r="H4007">
        <v>0</v>
      </c>
      <c r="I4007" t="s">
        <v>191</v>
      </c>
      <c r="J4007" t="s">
        <v>669</v>
      </c>
      <c r="K4007" t="s">
        <v>810</v>
      </c>
      <c r="O4007">
        <v>0</v>
      </c>
      <c r="U4007" t="s">
        <v>81</v>
      </c>
    </row>
    <row r="4008" spans="1:21" x14ac:dyDescent="0.25">
      <c r="A4008" s="33">
        <v>4026</v>
      </c>
      <c r="B4008" s="24">
        <v>44278</v>
      </c>
      <c r="C4008" t="s">
        <v>39</v>
      </c>
      <c r="D4008" t="s">
        <v>51</v>
      </c>
      <c r="E4008">
        <v>2000720199</v>
      </c>
      <c r="F4008">
        <v>620</v>
      </c>
      <c r="G4008">
        <v>250</v>
      </c>
      <c r="H4008">
        <v>0</v>
      </c>
      <c r="I4008" t="s">
        <v>184</v>
      </c>
      <c r="J4008" t="s">
        <v>676</v>
      </c>
      <c r="K4008" t="s">
        <v>874</v>
      </c>
      <c r="O4008">
        <v>0</v>
      </c>
      <c r="U4008" t="s">
        <v>81</v>
      </c>
    </row>
    <row r="4009" spans="1:21" x14ac:dyDescent="0.25">
      <c r="A4009" s="33">
        <v>4027</v>
      </c>
      <c r="B4009" s="24">
        <v>44278</v>
      </c>
      <c r="C4009" t="s">
        <v>39</v>
      </c>
      <c r="D4009" t="s">
        <v>51</v>
      </c>
      <c r="E4009">
        <v>2000719229</v>
      </c>
      <c r="F4009">
        <v>310</v>
      </c>
      <c r="G4009">
        <v>10</v>
      </c>
      <c r="H4009">
        <v>0</v>
      </c>
      <c r="I4009" t="s">
        <v>184</v>
      </c>
      <c r="J4009" t="s">
        <v>676</v>
      </c>
      <c r="K4009" t="s">
        <v>874</v>
      </c>
      <c r="O4009">
        <v>0</v>
      </c>
      <c r="U4009" t="s">
        <v>81</v>
      </c>
    </row>
    <row r="4010" spans="1:21" x14ac:dyDescent="0.25">
      <c r="A4010" s="33">
        <v>4028</v>
      </c>
      <c r="B4010" s="24">
        <v>44278</v>
      </c>
      <c r="C4010" t="s">
        <v>39</v>
      </c>
      <c r="D4010" t="s">
        <v>51</v>
      </c>
      <c r="E4010">
        <v>2000720161</v>
      </c>
      <c r="F4010">
        <v>945</v>
      </c>
      <c r="G4010">
        <v>80</v>
      </c>
      <c r="H4010">
        <v>0</v>
      </c>
      <c r="I4010" t="s">
        <v>184</v>
      </c>
      <c r="J4010" t="s">
        <v>937</v>
      </c>
      <c r="K4010" t="s">
        <v>951</v>
      </c>
      <c r="O4010">
        <v>0</v>
      </c>
      <c r="U4010" t="s">
        <v>81</v>
      </c>
    </row>
    <row r="4011" spans="1:21" x14ac:dyDescent="0.25">
      <c r="A4011" s="33">
        <v>4029</v>
      </c>
      <c r="B4011" s="24">
        <v>44278</v>
      </c>
      <c r="C4011" t="s">
        <v>39</v>
      </c>
      <c r="D4011" t="s">
        <v>51</v>
      </c>
      <c r="E4011">
        <v>2000718982</v>
      </c>
      <c r="F4011">
        <v>210</v>
      </c>
      <c r="G4011">
        <v>90</v>
      </c>
      <c r="H4011">
        <v>0</v>
      </c>
      <c r="I4011" t="s">
        <v>184</v>
      </c>
      <c r="J4011" t="s">
        <v>669</v>
      </c>
      <c r="K4011" t="s">
        <v>810</v>
      </c>
      <c r="O4011">
        <v>0</v>
      </c>
      <c r="U4011" t="s">
        <v>81</v>
      </c>
    </row>
    <row r="4012" spans="1:21" x14ac:dyDescent="0.25">
      <c r="A4012" s="33">
        <v>4030</v>
      </c>
      <c r="B4012" s="24">
        <v>44278</v>
      </c>
      <c r="C4012" t="s">
        <v>39</v>
      </c>
      <c r="D4012" t="s">
        <v>51</v>
      </c>
      <c r="E4012">
        <v>2000720158</v>
      </c>
      <c r="F4012">
        <v>500</v>
      </c>
      <c r="G4012">
        <v>140</v>
      </c>
      <c r="H4012">
        <v>0</v>
      </c>
      <c r="I4012" t="s">
        <v>184</v>
      </c>
      <c r="J4012" t="s">
        <v>667</v>
      </c>
      <c r="K4012" t="s">
        <v>671</v>
      </c>
      <c r="O4012">
        <v>0</v>
      </c>
      <c r="U4012" t="s">
        <v>81</v>
      </c>
    </row>
    <row r="4013" spans="1:21" x14ac:dyDescent="0.25">
      <c r="A4013" s="33">
        <v>4031</v>
      </c>
      <c r="B4013" s="24">
        <v>44278</v>
      </c>
      <c r="C4013" t="s">
        <v>39</v>
      </c>
      <c r="D4013" t="s">
        <v>51</v>
      </c>
      <c r="E4013">
        <v>2000719837</v>
      </c>
      <c r="F4013">
        <v>450</v>
      </c>
      <c r="G4013">
        <v>30</v>
      </c>
      <c r="H4013">
        <v>0</v>
      </c>
      <c r="I4013" t="s">
        <v>184</v>
      </c>
      <c r="J4013" t="s">
        <v>667</v>
      </c>
      <c r="K4013" t="s">
        <v>671</v>
      </c>
      <c r="O4013">
        <v>0</v>
      </c>
      <c r="U4013" t="s">
        <v>81</v>
      </c>
    </row>
    <row r="4014" spans="1:21" x14ac:dyDescent="0.25">
      <c r="A4014" s="33">
        <v>4032</v>
      </c>
      <c r="B4014" s="24">
        <v>44278</v>
      </c>
      <c r="C4014" t="s">
        <v>39</v>
      </c>
      <c r="D4014" t="s">
        <v>51</v>
      </c>
      <c r="E4014">
        <v>2000719228</v>
      </c>
      <c r="F4014">
        <v>600</v>
      </c>
      <c r="G4014">
        <v>110</v>
      </c>
      <c r="H4014">
        <v>0</v>
      </c>
      <c r="I4014" t="s">
        <v>184</v>
      </c>
      <c r="J4014" t="s">
        <v>669</v>
      </c>
      <c r="K4014" t="s">
        <v>712</v>
      </c>
      <c r="O4014">
        <v>0</v>
      </c>
      <c r="U4014" t="s">
        <v>81</v>
      </c>
    </row>
    <row r="4015" spans="1:21" x14ac:dyDescent="0.25">
      <c r="A4015" s="33">
        <v>4033</v>
      </c>
      <c r="B4015" s="24">
        <v>44278</v>
      </c>
      <c r="C4015" t="s">
        <v>39</v>
      </c>
      <c r="D4015" t="s">
        <v>41</v>
      </c>
      <c r="E4015">
        <v>2000720180</v>
      </c>
      <c r="F4015">
        <v>1120</v>
      </c>
      <c r="G4015">
        <v>520</v>
      </c>
      <c r="H4015">
        <v>0</v>
      </c>
      <c r="I4015" t="s">
        <v>1065</v>
      </c>
      <c r="J4015" t="s">
        <v>745</v>
      </c>
      <c r="K4015" t="s">
        <v>879</v>
      </c>
      <c r="O4015">
        <v>0</v>
      </c>
      <c r="U4015" t="s">
        <v>81</v>
      </c>
    </row>
    <row r="4016" spans="1:21" ht="30" x14ac:dyDescent="0.25">
      <c r="A4016" s="33">
        <v>4034</v>
      </c>
      <c r="B4016" s="24">
        <v>44278</v>
      </c>
      <c r="C4016" t="s">
        <v>39</v>
      </c>
      <c r="D4016" t="s">
        <v>41</v>
      </c>
      <c r="E4016">
        <v>2000719858</v>
      </c>
      <c r="F4016">
        <v>2000</v>
      </c>
      <c r="G4016">
        <v>150</v>
      </c>
      <c r="H4016">
        <v>0</v>
      </c>
      <c r="I4016" t="s">
        <v>1065</v>
      </c>
      <c r="J4016" t="s">
        <v>193</v>
      </c>
      <c r="K4016" t="s">
        <v>176</v>
      </c>
      <c r="O4016">
        <v>0</v>
      </c>
      <c r="T4016" s="62" t="s">
        <v>723</v>
      </c>
      <c r="U4016" t="s">
        <v>81</v>
      </c>
    </row>
    <row r="4017" spans="1:21" x14ac:dyDescent="0.25">
      <c r="A4017" s="33">
        <v>4035</v>
      </c>
      <c r="B4017" s="24">
        <v>44278</v>
      </c>
      <c r="C4017" t="s">
        <v>39</v>
      </c>
      <c r="D4017" t="s">
        <v>41</v>
      </c>
      <c r="E4017">
        <v>2000719354</v>
      </c>
      <c r="F4017">
        <v>1200</v>
      </c>
      <c r="G4017">
        <v>240</v>
      </c>
      <c r="H4017">
        <v>0</v>
      </c>
      <c r="I4017" t="s">
        <v>1065</v>
      </c>
      <c r="J4017" t="s">
        <v>203</v>
      </c>
      <c r="K4017" t="s">
        <v>640</v>
      </c>
      <c r="O4017">
        <v>0</v>
      </c>
      <c r="U4017" t="s">
        <v>81</v>
      </c>
    </row>
    <row r="4018" spans="1:21" x14ac:dyDescent="0.25">
      <c r="A4018" s="33">
        <v>4036</v>
      </c>
      <c r="B4018" s="24">
        <v>44278</v>
      </c>
      <c r="C4018" t="s">
        <v>39</v>
      </c>
      <c r="D4018" t="s">
        <v>41</v>
      </c>
      <c r="E4018">
        <v>2000720635</v>
      </c>
      <c r="F4018">
        <v>1784</v>
      </c>
      <c r="G4018">
        <v>614</v>
      </c>
      <c r="H4018">
        <v>0</v>
      </c>
      <c r="I4018" t="s">
        <v>696</v>
      </c>
      <c r="J4018" t="s">
        <v>174</v>
      </c>
      <c r="K4018" t="s">
        <v>205</v>
      </c>
      <c r="O4018">
        <v>0</v>
      </c>
      <c r="U4018" t="s">
        <v>81</v>
      </c>
    </row>
    <row r="4019" spans="1:21" x14ac:dyDescent="0.25">
      <c r="A4019" s="33">
        <v>4037</v>
      </c>
      <c r="B4019" s="24">
        <v>44278</v>
      </c>
      <c r="C4019" t="s">
        <v>39</v>
      </c>
      <c r="D4019" t="s">
        <v>41</v>
      </c>
      <c r="E4019">
        <v>2000720852</v>
      </c>
      <c r="F4019">
        <v>1000</v>
      </c>
      <c r="G4019">
        <v>45</v>
      </c>
      <c r="H4019">
        <v>0</v>
      </c>
      <c r="I4019" t="s">
        <v>696</v>
      </c>
      <c r="J4019" t="s">
        <v>174</v>
      </c>
      <c r="K4019" t="s">
        <v>205</v>
      </c>
      <c r="O4019">
        <v>0</v>
      </c>
      <c r="U4019" t="s">
        <v>81</v>
      </c>
    </row>
    <row r="4020" spans="1:21" x14ac:dyDescent="0.25">
      <c r="A4020" s="33">
        <v>4038</v>
      </c>
      <c r="B4020" s="24">
        <v>44278</v>
      </c>
      <c r="C4020" t="s">
        <v>39</v>
      </c>
      <c r="D4020" t="s">
        <v>41</v>
      </c>
      <c r="E4020">
        <v>2000720023</v>
      </c>
      <c r="F4020">
        <v>640</v>
      </c>
      <c r="G4020">
        <v>118</v>
      </c>
      <c r="H4020">
        <v>0</v>
      </c>
      <c r="I4020" t="s">
        <v>183</v>
      </c>
      <c r="J4020" t="s">
        <v>174</v>
      </c>
      <c r="K4020" t="s">
        <v>805</v>
      </c>
      <c r="O4020">
        <v>0</v>
      </c>
      <c r="U4020" t="s">
        <v>81</v>
      </c>
    </row>
    <row r="4021" spans="1:21" x14ac:dyDescent="0.25">
      <c r="A4021" s="33">
        <v>4039</v>
      </c>
      <c r="B4021" s="24">
        <v>44278</v>
      </c>
      <c r="C4021" t="s">
        <v>39</v>
      </c>
      <c r="D4021" t="s">
        <v>41</v>
      </c>
      <c r="E4021">
        <v>2000720024</v>
      </c>
      <c r="F4021">
        <v>1500</v>
      </c>
      <c r="G4021">
        <v>178</v>
      </c>
      <c r="H4021">
        <v>0</v>
      </c>
      <c r="I4021" t="s">
        <v>183</v>
      </c>
      <c r="J4021" t="s">
        <v>174</v>
      </c>
      <c r="K4021" t="s">
        <v>177</v>
      </c>
      <c r="O4021">
        <v>0</v>
      </c>
      <c r="U4021" t="s">
        <v>81</v>
      </c>
    </row>
    <row r="4022" spans="1:21" x14ac:dyDescent="0.25">
      <c r="A4022" s="33">
        <v>4040</v>
      </c>
      <c r="B4022" s="24">
        <v>44278</v>
      </c>
      <c r="C4022" t="s">
        <v>39</v>
      </c>
      <c r="D4022" t="s">
        <v>41</v>
      </c>
      <c r="E4022">
        <v>2000720855</v>
      </c>
      <c r="F4022">
        <v>280</v>
      </c>
      <c r="G4022">
        <v>80</v>
      </c>
      <c r="H4022">
        <v>0</v>
      </c>
      <c r="I4022" t="s">
        <v>183</v>
      </c>
      <c r="J4022" t="s">
        <v>174</v>
      </c>
      <c r="K4022" t="s">
        <v>188</v>
      </c>
      <c r="O4022">
        <v>0</v>
      </c>
      <c r="U4022" t="s">
        <v>81</v>
      </c>
    </row>
    <row r="4023" spans="1:21" x14ac:dyDescent="0.25">
      <c r="A4023" s="33">
        <v>4041</v>
      </c>
      <c r="B4023" s="24">
        <v>44278</v>
      </c>
      <c r="C4023" t="s">
        <v>39</v>
      </c>
      <c r="D4023" t="s">
        <v>41</v>
      </c>
      <c r="E4023">
        <v>2000720662</v>
      </c>
      <c r="F4023">
        <v>1220</v>
      </c>
      <c r="G4023">
        <v>80</v>
      </c>
      <c r="H4023">
        <v>0</v>
      </c>
      <c r="I4023" t="s">
        <v>183</v>
      </c>
      <c r="J4023" t="s">
        <v>174</v>
      </c>
      <c r="K4023" t="s">
        <v>644</v>
      </c>
      <c r="O4023">
        <v>0</v>
      </c>
      <c r="U4023" t="s">
        <v>81</v>
      </c>
    </row>
    <row r="4024" spans="1:21" x14ac:dyDescent="0.25">
      <c r="A4024" s="33">
        <v>4042</v>
      </c>
      <c r="B4024" s="24">
        <v>44278</v>
      </c>
      <c r="C4024" t="s">
        <v>39</v>
      </c>
      <c r="D4024" t="s">
        <v>41</v>
      </c>
      <c r="E4024">
        <v>2000720852</v>
      </c>
      <c r="F4024">
        <v>1000</v>
      </c>
      <c r="G4024">
        <v>360</v>
      </c>
      <c r="H4024">
        <v>0</v>
      </c>
      <c r="I4024" t="s">
        <v>183</v>
      </c>
      <c r="J4024" t="s">
        <v>174</v>
      </c>
      <c r="K4024" t="s">
        <v>205</v>
      </c>
      <c r="O4024">
        <v>0</v>
      </c>
      <c r="U4024" t="s">
        <v>81</v>
      </c>
    </row>
    <row r="4025" spans="1:21" x14ac:dyDescent="0.25">
      <c r="A4025" s="33">
        <v>4043</v>
      </c>
      <c r="B4025" s="24">
        <v>44278</v>
      </c>
      <c r="C4025" t="s">
        <v>39</v>
      </c>
      <c r="D4025" t="s">
        <v>41</v>
      </c>
      <c r="E4025">
        <v>2000720024</v>
      </c>
      <c r="F4025">
        <v>1500</v>
      </c>
      <c r="G4025">
        <v>120</v>
      </c>
      <c r="H4025">
        <v>0</v>
      </c>
      <c r="I4025" t="s">
        <v>693</v>
      </c>
      <c r="J4025" t="s">
        <v>174</v>
      </c>
      <c r="K4025" t="s">
        <v>177</v>
      </c>
      <c r="O4025">
        <v>0</v>
      </c>
      <c r="U4025" t="s">
        <v>81</v>
      </c>
    </row>
    <row r="4026" spans="1:21" x14ac:dyDescent="0.25">
      <c r="A4026" s="33">
        <v>4045</v>
      </c>
      <c r="B4026" s="24">
        <v>44278</v>
      </c>
      <c r="C4026" t="s">
        <v>39</v>
      </c>
      <c r="D4026" t="s">
        <v>41</v>
      </c>
      <c r="E4026">
        <v>2000720855</v>
      </c>
      <c r="F4026">
        <v>280</v>
      </c>
      <c r="G4026">
        <v>200</v>
      </c>
      <c r="H4026">
        <v>0</v>
      </c>
      <c r="I4026" t="s">
        <v>693</v>
      </c>
      <c r="J4026" t="s">
        <v>174</v>
      </c>
      <c r="K4026" t="s">
        <v>188</v>
      </c>
      <c r="O4026">
        <v>0</v>
      </c>
      <c r="U4026" t="s">
        <v>81</v>
      </c>
    </row>
    <row r="4027" spans="1:21" ht="60" x14ac:dyDescent="0.25">
      <c r="A4027" s="33">
        <v>4046</v>
      </c>
      <c r="B4027" s="24">
        <v>44278</v>
      </c>
      <c r="C4027" t="s">
        <v>39</v>
      </c>
      <c r="D4027" t="s">
        <v>41</v>
      </c>
      <c r="E4027">
        <v>2000720022</v>
      </c>
      <c r="F4027">
        <v>160</v>
      </c>
      <c r="G4027">
        <v>120</v>
      </c>
      <c r="H4027">
        <v>0</v>
      </c>
      <c r="I4027" t="s">
        <v>693</v>
      </c>
      <c r="J4027" t="s">
        <v>174</v>
      </c>
      <c r="K4027" t="s">
        <v>188</v>
      </c>
      <c r="O4027">
        <v>0</v>
      </c>
      <c r="T4027" s="62" t="s">
        <v>821</v>
      </c>
      <c r="U4027" t="s">
        <v>81</v>
      </c>
    </row>
    <row r="4028" spans="1:21" x14ac:dyDescent="0.25">
      <c r="A4028" s="33">
        <v>4047</v>
      </c>
      <c r="B4028" s="24">
        <v>44278</v>
      </c>
      <c r="C4028" t="s">
        <v>39</v>
      </c>
      <c r="D4028" t="s">
        <v>41</v>
      </c>
      <c r="E4028">
        <v>2000719972</v>
      </c>
      <c r="F4028">
        <v>1400</v>
      </c>
      <c r="G4028">
        <v>680</v>
      </c>
      <c r="H4028">
        <v>0</v>
      </c>
      <c r="I4028" t="s">
        <v>198</v>
      </c>
      <c r="J4028" t="s">
        <v>203</v>
      </c>
      <c r="K4028" t="s">
        <v>891</v>
      </c>
      <c r="O4028">
        <v>0</v>
      </c>
      <c r="U4028" t="s">
        <v>81</v>
      </c>
    </row>
    <row r="4029" spans="1:21" x14ac:dyDescent="0.25">
      <c r="A4029" s="33">
        <v>4048</v>
      </c>
      <c r="B4029" s="24">
        <v>44278</v>
      </c>
      <c r="C4029" t="s">
        <v>39</v>
      </c>
      <c r="D4029" t="s">
        <v>41</v>
      </c>
      <c r="E4029">
        <v>2000716272</v>
      </c>
      <c r="F4029">
        <v>800</v>
      </c>
      <c r="G4029">
        <v>100</v>
      </c>
      <c r="H4029">
        <v>0</v>
      </c>
      <c r="I4029" t="s">
        <v>789</v>
      </c>
      <c r="J4029" t="s">
        <v>645</v>
      </c>
      <c r="K4029" t="s">
        <v>756</v>
      </c>
      <c r="O4029">
        <v>0</v>
      </c>
      <c r="U4029" t="s">
        <v>81</v>
      </c>
    </row>
    <row r="4030" spans="1:21" x14ac:dyDescent="0.25">
      <c r="A4030" s="33">
        <v>4049</v>
      </c>
      <c r="B4030" s="24">
        <v>44278</v>
      </c>
      <c r="C4030" t="s">
        <v>39</v>
      </c>
      <c r="D4030" t="s">
        <v>41</v>
      </c>
      <c r="E4030">
        <v>2000720852</v>
      </c>
      <c r="F4030">
        <v>1000</v>
      </c>
      <c r="G4030">
        <v>225</v>
      </c>
      <c r="H4030">
        <v>0</v>
      </c>
      <c r="I4030" t="s">
        <v>789</v>
      </c>
      <c r="J4030" t="s">
        <v>174</v>
      </c>
      <c r="K4030" t="s">
        <v>205</v>
      </c>
      <c r="O4030">
        <v>0</v>
      </c>
      <c r="U4030" t="s">
        <v>81</v>
      </c>
    </row>
    <row r="4031" spans="1:21" x14ac:dyDescent="0.25">
      <c r="A4031" s="33">
        <v>4050</v>
      </c>
      <c r="B4031" s="24">
        <v>44278</v>
      </c>
      <c r="C4031" t="s">
        <v>39</v>
      </c>
      <c r="D4031" t="s">
        <v>41</v>
      </c>
      <c r="E4031">
        <v>2000720024</v>
      </c>
      <c r="F4031">
        <v>1500</v>
      </c>
      <c r="G4031">
        <v>25</v>
      </c>
      <c r="H4031">
        <v>0</v>
      </c>
      <c r="I4031" t="s">
        <v>759</v>
      </c>
      <c r="J4031" t="s">
        <v>174</v>
      </c>
      <c r="K4031" t="s">
        <v>177</v>
      </c>
      <c r="O4031">
        <v>0</v>
      </c>
      <c r="U4031" t="s">
        <v>81</v>
      </c>
    </row>
    <row r="4032" spans="1:21" x14ac:dyDescent="0.25">
      <c r="A4032" s="33">
        <v>4051</v>
      </c>
      <c r="B4032" s="24">
        <v>44278</v>
      </c>
      <c r="C4032" t="s">
        <v>39</v>
      </c>
      <c r="D4032" t="s">
        <v>41</v>
      </c>
      <c r="E4032">
        <v>2000720033</v>
      </c>
      <c r="F4032">
        <v>3216</v>
      </c>
      <c r="G4032">
        <v>800</v>
      </c>
      <c r="H4032">
        <v>0</v>
      </c>
      <c r="I4032" t="s">
        <v>759</v>
      </c>
      <c r="J4032" t="s">
        <v>203</v>
      </c>
      <c r="K4032" t="s">
        <v>788</v>
      </c>
      <c r="O4032">
        <v>0</v>
      </c>
      <c r="U4032" t="s">
        <v>81</v>
      </c>
    </row>
    <row r="4033" spans="1:21" x14ac:dyDescent="0.25">
      <c r="A4033" s="33">
        <v>4052</v>
      </c>
      <c r="B4033" s="24">
        <v>44278</v>
      </c>
      <c r="C4033" t="s">
        <v>39</v>
      </c>
      <c r="D4033" t="s">
        <v>41</v>
      </c>
      <c r="E4033">
        <v>2000718257</v>
      </c>
      <c r="F4033">
        <v>2400</v>
      </c>
      <c r="G4033">
        <v>150</v>
      </c>
      <c r="H4033">
        <v>0</v>
      </c>
      <c r="I4033" t="s">
        <v>680</v>
      </c>
      <c r="J4033" t="s">
        <v>645</v>
      </c>
      <c r="K4033" t="s">
        <v>739</v>
      </c>
      <c r="O4033">
        <v>0</v>
      </c>
      <c r="U4033" t="s">
        <v>81</v>
      </c>
    </row>
    <row r="4034" spans="1:21" x14ac:dyDescent="0.25">
      <c r="A4034" s="33">
        <v>4053</v>
      </c>
      <c r="B4034" s="24">
        <v>44278</v>
      </c>
      <c r="C4034" t="s">
        <v>39</v>
      </c>
      <c r="D4034" t="s">
        <v>41</v>
      </c>
      <c r="E4034">
        <v>2000715879</v>
      </c>
      <c r="F4034">
        <v>1020</v>
      </c>
      <c r="G4034">
        <v>200</v>
      </c>
      <c r="H4034">
        <v>0</v>
      </c>
      <c r="I4034" t="s">
        <v>680</v>
      </c>
      <c r="J4034" t="s">
        <v>645</v>
      </c>
      <c r="K4034" t="s">
        <v>727</v>
      </c>
      <c r="O4034">
        <v>0</v>
      </c>
      <c r="U4034" t="s">
        <v>81</v>
      </c>
    </row>
    <row r="4035" spans="1:21" x14ac:dyDescent="0.25">
      <c r="A4035" s="33">
        <v>4054</v>
      </c>
      <c r="B4035" s="24">
        <v>44278</v>
      </c>
      <c r="C4035" t="s">
        <v>39</v>
      </c>
      <c r="D4035" t="s">
        <v>41</v>
      </c>
      <c r="E4035">
        <v>2000719541</v>
      </c>
      <c r="F4035">
        <v>1050</v>
      </c>
      <c r="G4035">
        <v>200</v>
      </c>
      <c r="H4035">
        <v>0</v>
      </c>
      <c r="I4035" t="s">
        <v>680</v>
      </c>
      <c r="J4035" t="s">
        <v>193</v>
      </c>
      <c r="K4035" t="s">
        <v>686</v>
      </c>
      <c r="O4035">
        <v>0</v>
      </c>
      <c r="U4035" t="s">
        <v>81</v>
      </c>
    </row>
    <row r="4036" spans="1:21" x14ac:dyDescent="0.25">
      <c r="A4036" s="33">
        <v>4055</v>
      </c>
      <c r="B4036" s="24">
        <v>44278</v>
      </c>
      <c r="C4036" t="s">
        <v>39</v>
      </c>
      <c r="D4036" t="s">
        <v>41</v>
      </c>
      <c r="E4036">
        <v>2000720033</v>
      </c>
      <c r="F4036">
        <v>3216</v>
      </c>
      <c r="G4036">
        <v>1200</v>
      </c>
      <c r="H4036">
        <v>0</v>
      </c>
      <c r="I4036" t="s">
        <v>680</v>
      </c>
      <c r="J4036" t="s">
        <v>203</v>
      </c>
      <c r="K4036" t="s">
        <v>788</v>
      </c>
      <c r="O4036">
        <v>0</v>
      </c>
      <c r="U4036" t="s">
        <v>81</v>
      </c>
    </row>
    <row r="4037" spans="1:21" x14ac:dyDescent="0.25">
      <c r="A4037" s="33">
        <v>4056</v>
      </c>
      <c r="B4037" s="24">
        <v>44278</v>
      </c>
      <c r="C4037" t="s">
        <v>39</v>
      </c>
      <c r="D4037" t="s">
        <v>41</v>
      </c>
      <c r="E4037">
        <v>2000720672</v>
      </c>
      <c r="F4037">
        <v>7860</v>
      </c>
      <c r="G4037">
        <v>300</v>
      </c>
      <c r="H4037">
        <v>0</v>
      </c>
      <c r="I4037" t="s">
        <v>680</v>
      </c>
      <c r="J4037" t="s">
        <v>200</v>
      </c>
      <c r="K4037" t="s">
        <v>737</v>
      </c>
      <c r="O4037">
        <v>0</v>
      </c>
      <c r="U4037" t="s">
        <v>81</v>
      </c>
    </row>
    <row r="4038" spans="1:21" x14ac:dyDescent="0.25">
      <c r="A4038" s="33">
        <v>4057</v>
      </c>
      <c r="B4038" s="24">
        <v>44278</v>
      </c>
      <c r="C4038" t="s">
        <v>39</v>
      </c>
      <c r="D4038" t="s">
        <v>41</v>
      </c>
      <c r="E4038">
        <v>2000719738</v>
      </c>
      <c r="F4038">
        <v>3960</v>
      </c>
      <c r="G4038">
        <v>200</v>
      </c>
      <c r="H4038">
        <v>0</v>
      </c>
      <c r="I4038" t="s">
        <v>680</v>
      </c>
      <c r="J4038" t="s">
        <v>645</v>
      </c>
      <c r="K4038" t="s">
        <v>659</v>
      </c>
      <c r="O4038">
        <v>0</v>
      </c>
      <c r="U4038" t="s">
        <v>81</v>
      </c>
    </row>
    <row r="4039" spans="1:21" x14ac:dyDescent="0.25">
      <c r="A4039" s="33">
        <v>4058</v>
      </c>
      <c r="B4039" s="24">
        <v>44278</v>
      </c>
      <c r="C4039" t="s">
        <v>39</v>
      </c>
      <c r="D4039" t="s">
        <v>41</v>
      </c>
      <c r="E4039">
        <v>2000720197</v>
      </c>
      <c r="F4039">
        <v>1120</v>
      </c>
      <c r="G4039">
        <v>20</v>
      </c>
      <c r="H4039">
        <v>0</v>
      </c>
      <c r="I4039" t="s">
        <v>185</v>
      </c>
      <c r="J4039" t="s">
        <v>169</v>
      </c>
      <c r="K4039" t="s">
        <v>190</v>
      </c>
      <c r="O4039">
        <v>0</v>
      </c>
      <c r="U4039" t="s">
        <v>81</v>
      </c>
    </row>
    <row r="4040" spans="1:21" x14ac:dyDescent="0.25">
      <c r="A4040" s="33">
        <v>4059</v>
      </c>
      <c r="B4040" s="24">
        <v>44278</v>
      </c>
      <c r="C4040" t="s">
        <v>39</v>
      </c>
      <c r="D4040" t="s">
        <v>41</v>
      </c>
      <c r="E4040">
        <v>2000719986</v>
      </c>
      <c r="F4040">
        <v>1300</v>
      </c>
      <c r="G4040">
        <v>30</v>
      </c>
      <c r="H4040">
        <v>0</v>
      </c>
      <c r="I4040" t="s">
        <v>185</v>
      </c>
      <c r="J4040" t="s">
        <v>169</v>
      </c>
      <c r="K4040" t="s">
        <v>179</v>
      </c>
      <c r="O4040">
        <v>0</v>
      </c>
      <c r="U4040" t="s">
        <v>81</v>
      </c>
    </row>
    <row r="4041" spans="1:21" x14ac:dyDescent="0.25">
      <c r="A4041" s="33">
        <v>4060</v>
      </c>
      <c r="B4041" s="24">
        <v>44278</v>
      </c>
      <c r="C4041" t="s">
        <v>39</v>
      </c>
      <c r="D4041" t="s">
        <v>41</v>
      </c>
      <c r="E4041">
        <v>2000720433</v>
      </c>
      <c r="F4041">
        <v>1900</v>
      </c>
      <c r="G4041">
        <v>60</v>
      </c>
      <c r="H4041">
        <v>0</v>
      </c>
      <c r="I4041" t="s">
        <v>185</v>
      </c>
      <c r="J4041" t="s">
        <v>169</v>
      </c>
      <c r="K4041" t="s">
        <v>179</v>
      </c>
      <c r="O4041">
        <v>0</v>
      </c>
      <c r="U4041" t="s">
        <v>81</v>
      </c>
    </row>
    <row r="4042" spans="1:21" x14ac:dyDescent="0.25">
      <c r="A4042" s="33">
        <v>4061</v>
      </c>
      <c r="B4042" s="24">
        <v>44278</v>
      </c>
      <c r="C4042" t="s">
        <v>39</v>
      </c>
      <c r="D4042" t="s">
        <v>41</v>
      </c>
      <c r="E4042">
        <v>2000720624</v>
      </c>
      <c r="F4042">
        <v>1200</v>
      </c>
      <c r="G4042">
        <v>80</v>
      </c>
      <c r="H4042">
        <v>0</v>
      </c>
      <c r="I4042" t="s">
        <v>185</v>
      </c>
      <c r="J4042" t="s">
        <v>645</v>
      </c>
      <c r="K4042" t="s">
        <v>649</v>
      </c>
      <c r="O4042">
        <v>0</v>
      </c>
      <c r="U4042" t="s">
        <v>81</v>
      </c>
    </row>
    <row r="4043" spans="1:21" x14ac:dyDescent="0.25">
      <c r="A4043" s="33">
        <v>4062</v>
      </c>
      <c r="B4043" s="24">
        <v>44278</v>
      </c>
      <c r="C4043" t="s">
        <v>39</v>
      </c>
      <c r="D4043" t="s">
        <v>41</v>
      </c>
      <c r="E4043">
        <v>2000719922</v>
      </c>
      <c r="F4043">
        <v>2592</v>
      </c>
      <c r="G4043">
        <v>40</v>
      </c>
      <c r="H4043">
        <v>0</v>
      </c>
      <c r="I4043" t="s">
        <v>185</v>
      </c>
      <c r="J4043" t="s">
        <v>655</v>
      </c>
      <c r="K4043" t="s">
        <v>656</v>
      </c>
      <c r="O4043">
        <v>0</v>
      </c>
      <c r="U4043" t="s">
        <v>81</v>
      </c>
    </row>
    <row r="4044" spans="1:21" x14ac:dyDescent="0.25">
      <c r="A4044" s="33">
        <v>4063</v>
      </c>
      <c r="B4044" s="24">
        <v>44278</v>
      </c>
      <c r="C4044" t="s">
        <v>39</v>
      </c>
      <c r="D4044" t="s">
        <v>41</v>
      </c>
      <c r="E4044">
        <v>2000720664</v>
      </c>
      <c r="F4044">
        <v>4416</v>
      </c>
      <c r="G4044">
        <v>80</v>
      </c>
      <c r="H4044">
        <v>0</v>
      </c>
      <c r="I4044" t="s">
        <v>185</v>
      </c>
      <c r="J4044" t="s">
        <v>200</v>
      </c>
      <c r="K4044" t="s">
        <v>653</v>
      </c>
      <c r="O4044">
        <v>0</v>
      </c>
      <c r="U4044" t="s">
        <v>81</v>
      </c>
    </row>
    <row r="4045" spans="1:21" x14ac:dyDescent="0.25">
      <c r="A4045" s="33">
        <v>4064</v>
      </c>
      <c r="B4045" s="24">
        <v>44278</v>
      </c>
      <c r="C4045" t="s">
        <v>39</v>
      </c>
      <c r="D4045" t="s">
        <v>41</v>
      </c>
      <c r="E4045">
        <v>2000719862</v>
      </c>
      <c r="F4045">
        <v>2000</v>
      </c>
      <c r="G4045">
        <v>60</v>
      </c>
      <c r="H4045">
        <v>0</v>
      </c>
      <c r="I4045" t="s">
        <v>185</v>
      </c>
      <c r="J4045" t="s">
        <v>193</v>
      </c>
      <c r="K4045" t="s">
        <v>647</v>
      </c>
      <c r="O4045">
        <v>0</v>
      </c>
      <c r="U4045" t="s">
        <v>81</v>
      </c>
    </row>
    <row r="4046" spans="1:21" x14ac:dyDescent="0.25">
      <c r="A4046" s="33">
        <v>4065</v>
      </c>
      <c r="B4046" s="24">
        <v>44278</v>
      </c>
      <c r="C4046" t="s">
        <v>39</v>
      </c>
      <c r="D4046" t="s">
        <v>41</v>
      </c>
      <c r="E4046">
        <v>2000720911</v>
      </c>
      <c r="F4046">
        <v>1180</v>
      </c>
      <c r="G4046">
        <v>80</v>
      </c>
      <c r="H4046">
        <v>0</v>
      </c>
      <c r="I4046" t="s">
        <v>185</v>
      </c>
      <c r="J4046" t="s">
        <v>175</v>
      </c>
      <c r="K4046" t="s">
        <v>758</v>
      </c>
      <c r="O4046">
        <v>0</v>
      </c>
      <c r="U4046" t="s">
        <v>81</v>
      </c>
    </row>
    <row r="4047" spans="1:21" x14ac:dyDescent="0.25">
      <c r="A4047" s="33">
        <v>4066</v>
      </c>
      <c r="B4047" s="24">
        <v>44278</v>
      </c>
      <c r="C4047" t="s">
        <v>39</v>
      </c>
      <c r="D4047" t="s">
        <v>41</v>
      </c>
      <c r="E4047">
        <v>2000720898</v>
      </c>
      <c r="F4047">
        <v>1610</v>
      </c>
      <c r="G4047">
        <v>100</v>
      </c>
      <c r="H4047">
        <v>0</v>
      </c>
      <c r="I4047" t="s">
        <v>185</v>
      </c>
      <c r="J4047" t="s">
        <v>172</v>
      </c>
      <c r="K4047" t="s">
        <v>724</v>
      </c>
      <c r="O4047">
        <v>0</v>
      </c>
      <c r="U4047" t="s">
        <v>81</v>
      </c>
    </row>
    <row r="4048" spans="1:21" x14ac:dyDescent="0.25">
      <c r="A4048" s="33">
        <v>4067</v>
      </c>
      <c r="B4048" s="24">
        <v>44278</v>
      </c>
      <c r="C4048" t="s">
        <v>39</v>
      </c>
      <c r="D4048" t="s">
        <v>41</v>
      </c>
      <c r="E4048">
        <v>2000720682</v>
      </c>
      <c r="F4048">
        <v>1200</v>
      </c>
      <c r="G4048">
        <v>40</v>
      </c>
      <c r="H4048">
        <v>0</v>
      </c>
      <c r="I4048" t="s">
        <v>185</v>
      </c>
      <c r="J4048" t="s">
        <v>645</v>
      </c>
      <c r="K4048" t="s">
        <v>721</v>
      </c>
      <c r="O4048">
        <v>0</v>
      </c>
      <c r="U4048" t="s">
        <v>81</v>
      </c>
    </row>
    <row r="4049" spans="1:21" x14ac:dyDescent="0.25">
      <c r="A4049" s="33">
        <v>4068</v>
      </c>
      <c r="B4049" s="24">
        <v>44278</v>
      </c>
      <c r="C4049" t="s">
        <v>181</v>
      </c>
      <c r="D4049" t="s">
        <v>41</v>
      </c>
      <c r="E4049">
        <v>2000719584</v>
      </c>
      <c r="F4049">
        <v>2800</v>
      </c>
      <c r="G4049">
        <v>150</v>
      </c>
      <c r="H4049">
        <v>0</v>
      </c>
      <c r="I4049" t="s">
        <v>201</v>
      </c>
      <c r="J4049" t="s">
        <v>645</v>
      </c>
      <c r="K4049" t="s">
        <v>658</v>
      </c>
      <c r="O4049">
        <v>0</v>
      </c>
      <c r="U4049" t="s">
        <v>81</v>
      </c>
    </row>
    <row r="4050" spans="1:21" x14ac:dyDescent="0.25">
      <c r="A4050" s="33">
        <v>4069</v>
      </c>
      <c r="B4050" s="24">
        <v>44278</v>
      </c>
      <c r="C4050" t="s">
        <v>181</v>
      </c>
      <c r="D4050" t="s">
        <v>41</v>
      </c>
      <c r="E4050">
        <v>2000720869</v>
      </c>
      <c r="F4050">
        <v>864</v>
      </c>
      <c r="G4050">
        <v>150</v>
      </c>
      <c r="H4050">
        <v>0</v>
      </c>
      <c r="I4050" t="s">
        <v>201</v>
      </c>
      <c r="J4050" t="s">
        <v>645</v>
      </c>
      <c r="K4050" t="s">
        <v>1038</v>
      </c>
      <c r="O4050">
        <v>0</v>
      </c>
      <c r="U4050" t="s">
        <v>81</v>
      </c>
    </row>
    <row r="4051" spans="1:21" x14ac:dyDescent="0.25">
      <c r="A4051" s="33">
        <v>4070</v>
      </c>
      <c r="B4051" s="24">
        <v>44278</v>
      </c>
      <c r="C4051" t="s">
        <v>181</v>
      </c>
      <c r="D4051" t="s">
        <v>41</v>
      </c>
      <c r="E4051">
        <v>2000719861</v>
      </c>
      <c r="F4051">
        <v>2000</v>
      </c>
      <c r="G4051">
        <v>200</v>
      </c>
      <c r="H4051">
        <v>0</v>
      </c>
      <c r="I4051" t="s">
        <v>201</v>
      </c>
      <c r="J4051" t="s">
        <v>193</v>
      </c>
      <c r="K4051" t="s">
        <v>686</v>
      </c>
      <c r="O4051">
        <v>0</v>
      </c>
      <c r="U4051" t="s">
        <v>81</v>
      </c>
    </row>
    <row r="4052" spans="1:21" x14ac:dyDescent="0.25">
      <c r="A4052" s="33">
        <v>4071</v>
      </c>
      <c r="B4052" s="24">
        <v>44278</v>
      </c>
      <c r="C4052" t="s">
        <v>181</v>
      </c>
      <c r="D4052" t="s">
        <v>41</v>
      </c>
      <c r="E4052">
        <v>2000720182</v>
      </c>
      <c r="F4052">
        <v>4210</v>
      </c>
      <c r="G4052">
        <v>240</v>
      </c>
      <c r="H4052">
        <v>0</v>
      </c>
      <c r="I4052" t="s">
        <v>201</v>
      </c>
      <c r="J4052" t="s">
        <v>199</v>
      </c>
      <c r="K4052" t="s">
        <v>660</v>
      </c>
      <c r="O4052">
        <v>0</v>
      </c>
      <c r="U4052" t="s">
        <v>81</v>
      </c>
    </row>
    <row r="4053" spans="1:21" x14ac:dyDescent="0.25">
      <c r="A4053" s="33">
        <v>4072</v>
      </c>
      <c r="B4053" s="24">
        <v>44278</v>
      </c>
      <c r="C4053" t="s">
        <v>181</v>
      </c>
      <c r="D4053" t="s">
        <v>41</v>
      </c>
      <c r="E4053">
        <v>2000719927</v>
      </c>
      <c r="F4053">
        <v>1200</v>
      </c>
      <c r="G4053">
        <v>200</v>
      </c>
      <c r="H4053">
        <v>0</v>
      </c>
      <c r="I4053" t="s">
        <v>201</v>
      </c>
      <c r="J4053" t="s">
        <v>172</v>
      </c>
      <c r="K4053" t="s">
        <v>725</v>
      </c>
      <c r="O4053">
        <v>0</v>
      </c>
      <c r="U4053" t="s">
        <v>81</v>
      </c>
    </row>
    <row r="4054" spans="1:21" x14ac:dyDescent="0.25">
      <c r="A4054" s="33">
        <v>4073</v>
      </c>
      <c r="B4054" s="24">
        <v>44278</v>
      </c>
      <c r="C4054" t="s">
        <v>181</v>
      </c>
      <c r="D4054" t="s">
        <v>41</v>
      </c>
      <c r="E4054">
        <v>2000720033</v>
      </c>
      <c r="F4054">
        <v>3216</v>
      </c>
      <c r="G4054">
        <v>816</v>
      </c>
      <c r="H4054">
        <v>0</v>
      </c>
      <c r="I4054" t="s">
        <v>201</v>
      </c>
      <c r="J4054" t="s">
        <v>203</v>
      </c>
      <c r="K4054" t="s">
        <v>788</v>
      </c>
      <c r="O4054">
        <v>0</v>
      </c>
      <c r="T4054" s="62"/>
      <c r="U4054" t="s">
        <v>81</v>
      </c>
    </row>
    <row r="4055" spans="1:21" x14ac:dyDescent="0.25">
      <c r="A4055" s="33">
        <v>4074</v>
      </c>
      <c r="B4055" s="24">
        <v>44278</v>
      </c>
      <c r="C4055" t="s">
        <v>181</v>
      </c>
      <c r="D4055" t="s">
        <v>41</v>
      </c>
      <c r="E4055">
        <v>2000719859</v>
      </c>
      <c r="F4055">
        <v>2000</v>
      </c>
      <c r="G4055">
        <v>150</v>
      </c>
      <c r="H4055">
        <v>0</v>
      </c>
      <c r="I4055" t="s">
        <v>201</v>
      </c>
      <c r="J4055" t="s">
        <v>193</v>
      </c>
      <c r="K4055" t="s">
        <v>683</v>
      </c>
      <c r="O4055">
        <v>0</v>
      </c>
      <c r="U4055" t="s">
        <v>81</v>
      </c>
    </row>
    <row r="4056" spans="1:21" x14ac:dyDescent="0.25">
      <c r="A4056" s="33">
        <v>4075</v>
      </c>
      <c r="B4056" s="24">
        <v>44278</v>
      </c>
      <c r="C4056" t="s">
        <v>181</v>
      </c>
      <c r="D4056" t="s">
        <v>41</v>
      </c>
      <c r="E4056">
        <v>2000715881</v>
      </c>
      <c r="F4056">
        <v>1020</v>
      </c>
      <c r="G4056">
        <v>150</v>
      </c>
      <c r="H4056">
        <v>0</v>
      </c>
      <c r="I4056" t="s">
        <v>201</v>
      </c>
      <c r="J4056" t="s">
        <v>645</v>
      </c>
      <c r="K4056" t="s">
        <v>736</v>
      </c>
      <c r="O4056">
        <v>0</v>
      </c>
      <c r="U4056" t="s">
        <v>81</v>
      </c>
    </row>
    <row r="4057" spans="1:21" x14ac:dyDescent="0.25">
      <c r="A4057" s="33">
        <v>4076</v>
      </c>
      <c r="B4057" s="24">
        <v>44278</v>
      </c>
      <c r="C4057" t="s">
        <v>181</v>
      </c>
      <c r="D4057" t="s">
        <v>41</v>
      </c>
      <c r="E4057">
        <v>2000720674</v>
      </c>
      <c r="F4057">
        <v>2400</v>
      </c>
      <c r="G4057">
        <v>200</v>
      </c>
      <c r="H4057">
        <v>0</v>
      </c>
      <c r="I4057" t="s">
        <v>201</v>
      </c>
      <c r="J4057" t="s">
        <v>172</v>
      </c>
      <c r="K4057" t="s">
        <v>729</v>
      </c>
      <c r="O4057">
        <v>0</v>
      </c>
      <c r="U4057" t="s">
        <v>81</v>
      </c>
    </row>
    <row r="4058" spans="1:21" x14ac:dyDescent="0.25">
      <c r="A4058" s="33">
        <v>4077</v>
      </c>
      <c r="B4058" s="24">
        <v>44278</v>
      </c>
      <c r="C4058" t="s">
        <v>181</v>
      </c>
      <c r="D4058" t="s">
        <v>41</v>
      </c>
      <c r="E4058">
        <v>2000719068</v>
      </c>
      <c r="F4058">
        <v>950</v>
      </c>
      <c r="G4058">
        <v>200</v>
      </c>
      <c r="H4058">
        <v>0</v>
      </c>
      <c r="I4058" t="s">
        <v>201</v>
      </c>
      <c r="J4058" t="s">
        <v>172</v>
      </c>
      <c r="K4058" t="s">
        <v>725</v>
      </c>
      <c r="O4058">
        <v>0</v>
      </c>
      <c r="U4058" t="s">
        <v>81</v>
      </c>
    </row>
    <row r="4059" spans="1:21" x14ac:dyDescent="0.25">
      <c r="A4059" s="33">
        <v>4078</v>
      </c>
      <c r="B4059" s="24">
        <v>44278</v>
      </c>
      <c r="C4059" t="s">
        <v>181</v>
      </c>
      <c r="D4059" t="s">
        <v>41</v>
      </c>
      <c r="E4059">
        <v>2000719299</v>
      </c>
      <c r="F4059">
        <v>1050</v>
      </c>
      <c r="G4059">
        <v>120</v>
      </c>
      <c r="H4059">
        <v>0</v>
      </c>
      <c r="I4059" t="s">
        <v>201</v>
      </c>
      <c r="J4059" t="s">
        <v>193</v>
      </c>
      <c r="K4059" t="s">
        <v>650</v>
      </c>
      <c r="O4059">
        <v>0</v>
      </c>
      <c r="U4059" t="s">
        <v>81</v>
      </c>
    </row>
    <row r="4060" spans="1:21" x14ac:dyDescent="0.25">
      <c r="A4060" s="33">
        <v>4079</v>
      </c>
      <c r="B4060" s="24">
        <v>44278</v>
      </c>
      <c r="C4060" t="s">
        <v>181</v>
      </c>
      <c r="D4060" t="s">
        <v>41</v>
      </c>
      <c r="E4060">
        <v>2000720661</v>
      </c>
      <c r="F4060">
        <v>640</v>
      </c>
      <c r="G4060">
        <v>320</v>
      </c>
      <c r="H4060">
        <v>0</v>
      </c>
      <c r="I4060" t="s">
        <v>666</v>
      </c>
      <c r="J4060" t="s">
        <v>174</v>
      </c>
      <c r="K4060" t="s">
        <v>187</v>
      </c>
      <c r="O4060">
        <v>0</v>
      </c>
      <c r="U4060" t="s">
        <v>81</v>
      </c>
    </row>
    <row r="4061" spans="1:21" x14ac:dyDescent="0.25">
      <c r="A4061" s="33">
        <v>4080</v>
      </c>
      <c r="B4061" s="24">
        <v>44278</v>
      </c>
      <c r="C4061" t="s">
        <v>181</v>
      </c>
      <c r="D4061" t="s">
        <v>41</v>
      </c>
      <c r="E4061">
        <v>2000720662</v>
      </c>
      <c r="F4061">
        <v>1220</v>
      </c>
      <c r="G4061">
        <v>40</v>
      </c>
      <c r="H4061">
        <v>0</v>
      </c>
      <c r="I4061" t="s">
        <v>666</v>
      </c>
      <c r="J4061" t="s">
        <v>174</v>
      </c>
      <c r="K4061" t="s">
        <v>644</v>
      </c>
      <c r="O4061">
        <v>0</v>
      </c>
      <c r="U4061" t="s">
        <v>81</v>
      </c>
    </row>
    <row r="4062" spans="1:21" x14ac:dyDescent="0.25">
      <c r="A4062" s="33">
        <v>4081</v>
      </c>
      <c r="B4062" s="24">
        <v>44278</v>
      </c>
      <c r="C4062" t="s">
        <v>181</v>
      </c>
      <c r="D4062" t="s">
        <v>41</v>
      </c>
      <c r="E4062">
        <v>2000720185</v>
      </c>
      <c r="F4062">
        <v>600</v>
      </c>
      <c r="G4062">
        <v>300</v>
      </c>
      <c r="H4062">
        <v>0</v>
      </c>
      <c r="I4062" t="s">
        <v>666</v>
      </c>
      <c r="J4062" t="s">
        <v>169</v>
      </c>
      <c r="K4062" t="s">
        <v>847</v>
      </c>
      <c r="O4062">
        <v>0</v>
      </c>
      <c r="U4062" t="s">
        <v>81</v>
      </c>
    </row>
    <row r="4063" spans="1:21" x14ac:dyDescent="0.25">
      <c r="A4063" s="33">
        <v>4082</v>
      </c>
      <c r="B4063" s="24">
        <v>44278</v>
      </c>
      <c r="C4063" t="s">
        <v>181</v>
      </c>
      <c r="D4063" t="s">
        <v>41</v>
      </c>
      <c r="E4063">
        <v>2000719036</v>
      </c>
      <c r="F4063">
        <v>600</v>
      </c>
      <c r="G4063">
        <v>147</v>
      </c>
      <c r="H4063">
        <v>0</v>
      </c>
      <c r="I4063" t="s">
        <v>666</v>
      </c>
      <c r="J4063" t="s">
        <v>169</v>
      </c>
      <c r="K4063" t="s">
        <v>847</v>
      </c>
      <c r="O4063">
        <v>0</v>
      </c>
      <c r="U4063" t="s">
        <v>81</v>
      </c>
    </row>
    <row r="4064" spans="1:21" x14ac:dyDescent="0.25">
      <c r="A4064" s="33">
        <v>4083</v>
      </c>
      <c r="B4064" s="24">
        <v>44278</v>
      </c>
      <c r="C4064" t="s">
        <v>181</v>
      </c>
      <c r="D4064" t="s">
        <v>41</v>
      </c>
      <c r="E4064">
        <v>2000719354</v>
      </c>
      <c r="F4064">
        <v>1200</v>
      </c>
      <c r="G4064">
        <v>240</v>
      </c>
      <c r="H4064">
        <v>0</v>
      </c>
      <c r="I4064" t="s">
        <v>666</v>
      </c>
      <c r="J4064" t="s">
        <v>203</v>
      </c>
      <c r="K4064" t="s">
        <v>728</v>
      </c>
      <c r="O4064">
        <v>0</v>
      </c>
      <c r="U4064" t="s">
        <v>81</v>
      </c>
    </row>
    <row r="4065" spans="1:21" x14ac:dyDescent="0.25">
      <c r="A4065" s="33">
        <v>4084</v>
      </c>
      <c r="B4065" s="24">
        <v>44278</v>
      </c>
      <c r="C4065" t="s">
        <v>181</v>
      </c>
      <c r="D4065" t="s">
        <v>41</v>
      </c>
      <c r="E4065">
        <v>2000720391</v>
      </c>
      <c r="F4065">
        <v>120</v>
      </c>
      <c r="G4065">
        <v>117</v>
      </c>
      <c r="H4065">
        <v>0</v>
      </c>
      <c r="I4065" t="s">
        <v>666</v>
      </c>
      <c r="J4065" t="s">
        <v>174</v>
      </c>
      <c r="K4065" t="s">
        <v>931</v>
      </c>
      <c r="O4065">
        <v>0</v>
      </c>
      <c r="U4065" t="s">
        <v>81</v>
      </c>
    </row>
    <row r="4066" spans="1:21" x14ac:dyDescent="0.25">
      <c r="A4066" s="33">
        <v>4085</v>
      </c>
      <c r="B4066" s="24">
        <v>44278</v>
      </c>
      <c r="C4066" t="s">
        <v>181</v>
      </c>
      <c r="D4066" t="s">
        <v>41</v>
      </c>
      <c r="E4066">
        <v>2000720856</v>
      </c>
      <c r="F4066">
        <v>1320</v>
      </c>
      <c r="G4066">
        <v>20</v>
      </c>
      <c r="H4066">
        <v>0</v>
      </c>
      <c r="I4066" t="s">
        <v>666</v>
      </c>
      <c r="J4066" t="s">
        <v>174</v>
      </c>
      <c r="K4066" t="s">
        <v>177</v>
      </c>
      <c r="O4066">
        <v>0</v>
      </c>
      <c r="U4066" t="s">
        <v>81</v>
      </c>
    </row>
    <row r="4067" spans="1:21" x14ac:dyDescent="0.25">
      <c r="A4067" s="33">
        <v>4086</v>
      </c>
      <c r="B4067" s="24">
        <v>44278</v>
      </c>
      <c r="C4067" t="s">
        <v>181</v>
      </c>
      <c r="D4067" t="s">
        <v>41</v>
      </c>
      <c r="E4067">
        <v>2000719972</v>
      </c>
      <c r="F4067">
        <v>1400</v>
      </c>
      <c r="G4067">
        <v>507</v>
      </c>
      <c r="H4067">
        <v>0</v>
      </c>
      <c r="I4067" t="s">
        <v>168</v>
      </c>
      <c r="J4067" t="s">
        <v>203</v>
      </c>
      <c r="K4067" t="s">
        <v>891</v>
      </c>
      <c r="O4067">
        <v>0</v>
      </c>
      <c r="U4067" t="s">
        <v>81</v>
      </c>
    </row>
    <row r="4068" spans="1:21" x14ac:dyDescent="0.25">
      <c r="A4068" s="33">
        <v>4087</v>
      </c>
      <c r="B4068" s="24">
        <v>44278</v>
      </c>
      <c r="C4068" t="s">
        <v>181</v>
      </c>
      <c r="D4068" t="s">
        <v>41</v>
      </c>
      <c r="E4068">
        <v>2000720441</v>
      </c>
      <c r="F4068">
        <v>850</v>
      </c>
      <c r="G4068">
        <v>60</v>
      </c>
      <c r="H4068">
        <v>0</v>
      </c>
      <c r="I4068" t="s">
        <v>168</v>
      </c>
      <c r="J4068" t="s">
        <v>203</v>
      </c>
      <c r="K4068" t="s">
        <v>638</v>
      </c>
      <c r="O4068">
        <v>0</v>
      </c>
      <c r="U4068" t="s">
        <v>81</v>
      </c>
    </row>
    <row r="4069" spans="1:21" x14ac:dyDescent="0.25">
      <c r="A4069" s="33">
        <v>4088</v>
      </c>
      <c r="B4069" s="24">
        <v>44278</v>
      </c>
      <c r="C4069" t="s">
        <v>181</v>
      </c>
      <c r="D4069" t="s">
        <v>41</v>
      </c>
      <c r="E4069">
        <v>2000720852</v>
      </c>
      <c r="F4069">
        <v>1000</v>
      </c>
      <c r="G4069">
        <v>213</v>
      </c>
      <c r="H4069">
        <v>0</v>
      </c>
      <c r="I4069" t="s">
        <v>661</v>
      </c>
      <c r="J4069" t="s">
        <v>174</v>
      </c>
      <c r="K4069" t="s">
        <v>205</v>
      </c>
      <c r="O4069">
        <v>0</v>
      </c>
      <c r="U4069" t="s">
        <v>81</v>
      </c>
    </row>
    <row r="4070" spans="1:21" x14ac:dyDescent="0.25">
      <c r="A4070" s="33">
        <v>4089</v>
      </c>
      <c r="B4070" s="24">
        <v>44278</v>
      </c>
      <c r="C4070" t="s">
        <v>181</v>
      </c>
      <c r="D4070" t="s">
        <v>41</v>
      </c>
      <c r="E4070">
        <v>2000720662</v>
      </c>
      <c r="F4070">
        <v>1220</v>
      </c>
      <c r="G4070">
        <v>120</v>
      </c>
      <c r="H4070">
        <v>0</v>
      </c>
      <c r="I4070" t="s">
        <v>661</v>
      </c>
      <c r="J4070" t="s">
        <v>174</v>
      </c>
      <c r="K4070" t="s">
        <v>644</v>
      </c>
      <c r="O4070">
        <v>0</v>
      </c>
      <c r="U4070" t="s">
        <v>81</v>
      </c>
    </row>
    <row r="4071" spans="1:21" x14ac:dyDescent="0.25">
      <c r="A4071" s="33">
        <v>4090</v>
      </c>
      <c r="B4071" s="24">
        <v>44278</v>
      </c>
      <c r="C4071" t="s">
        <v>181</v>
      </c>
      <c r="D4071" t="s">
        <v>41</v>
      </c>
      <c r="E4071">
        <v>2000720854</v>
      </c>
      <c r="F4071">
        <v>560</v>
      </c>
      <c r="G4071">
        <v>400</v>
      </c>
      <c r="H4071">
        <v>0</v>
      </c>
      <c r="I4071" t="s">
        <v>661</v>
      </c>
      <c r="J4071" t="s">
        <v>170</v>
      </c>
      <c r="K4071" t="s">
        <v>899</v>
      </c>
      <c r="O4071">
        <v>0</v>
      </c>
      <c r="U4071" t="s">
        <v>81</v>
      </c>
    </row>
    <row r="4072" spans="1:21" x14ac:dyDescent="0.25">
      <c r="A4072" s="33">
        <v>4091</v>
      </c>
      <c r="B4072" s="24">
        <v>44278</v>
      </c>
      <c r="C4072" t="s">
        <v>181</v>
      </c>
      <c r="D4072" t="s">
        <v>41</v>
      </c>
      <c r="E4072">
        <v>2000720682</v>
      </c>
      <c r="F4072">
        <v>1200</v>
      </c>
      <c r="G4072">
        <v>40</v>
      </c>
      <c r="H4072">
        <v>0</v>
      </c>
      <c r="I4072" t="s">
        <v>642</v>
      </c>
      <c r="J4072" t="s">
        <v>645</v>
      </c>
      <c r="K4072" t="s">
        <v>721</v>
      </c>
      <c r="O4072">
        <v>0</v>
      </c>
      <c r="U4072" t="s">
        <v>81</v>
      </c>
    </row>
    <row r="4073" spans="1:21" x14ac:dyDescent="0.25">
      <c r="A4073" s="33">
        <v>4092</v>
      </c>
      <c r="B4073" s="24">
        <v>44278</v>
      </c>
      <c r="C4073" t="s">
        <v>181</v>
      </c>
      <c r="D4073" t="s">
        <v>41</v>
      </c>
      <c r="E4073">
        <v>2000720898</v>
      </c>
      <c r="F4073">
        <v>1610</v>
      </c>
      <c r="G4073">
        <v>70</v>
      </c>
      <c r="H4073">
        <v>0</v>
      </c>
      <c r="I4073" t="s">
        <v>642</v>
      </c>
      <c r="J4073" t="s">
        <v>172</v>
      </c>
      <c r="K4073" t="s">
        <v>724</v>
      </c>
      <c r="O4073">
        <v>0</v>
      </c>
      <c r="U4073" t="s">
        <v>81</v>
      </c>
    </row>
    <row r="4074" spans="1:21" x14ac:dyDescent="0.25">
      <c r="A4074" s="33">
        <v>4093</v>
      </c>
      <c r="B4074" s="24">
        <v>44278</v>
      </c>
      <c r="C4074" t="s">
        <v>181</v>
      </c>
      <c r="D4074" t="s">
        <v>41</v>
      </c>
      <c r="E4074">
        <v>2000719862</v>
      </c>
      <c r="F4074">
        <v>2000</v>
      </c>
      <c r="G4074">
        <v>60</v>
      </c>
      <c r="H4074">
        <v>0</v>
      </c>
      <c r="I4074" t="s">
        <v>642</v>
      </c>
      <c r="J4074" t="s">
        <v>193</v>
      </c>
      <c r="K4074" t="s">
        <v>647</v>
      </c>
      <c r="O4074">
        <v>0</v>
      </c>
      <c r="U4074" t="s">
        <v>81</v>
      </c>
    </row>
    <row r="4075" spans="1:21" x14ac:dyDescent="0.25">
      <c r="A4075" s="33">
        <v>4094</v>
      </c>
      <c r="B4075" s="24">
        <v>44278</v>
      </c>
      <c r="C4075" t="s">
        <v>181</v>
      </c>
      <c r="D4075" t="s">
        <v>41</v>
      </c>
      <c r="E4075">
        <v>2000720606</v>
      </c>
      <c r="F4075">
        <v>2000</v>
      </c>
      <c r="G4075">
        <v>120</v>
      </c>
      <c r="H4075">
        <v>0</v>
      </c>
      <c r="I4075" t="s">
        <v>642</v>
      </c>
      <c r="J4075" t="s">
        <v>193</v>
      </c>
      <c r="K4075" t="s">
        <v>647</v>
      </c>
      <c r="O4075">
        <v>0</v>
      </c>
      <c r="U4075" t="s">
        <v>81</v>
      </c>
    </row>
    <row r="4076" spans="1:21" x14ac:dyDescent="0.25">
      <c r="A4076" s="33">
        <v>4095</v>
      </c>
      <c r="B4076" s="24">
        <v>44278</v>
      </c>
      <c r="C4076" t="s">
        <v>181</v>
      </c>
      <c r="D4076" t="s">
        <v>41</v>
      </c>
      <c r="E4076">
        <v>2000720690</v>
      </c>
      <c r="F4076">
        <v>150</v>
      </c>
      <c r="G4076">
        <v>20</v>
      </c>
      <c r="H4076">
        <v>0</v>
      </c>
      <c r="I4076" t="s">
        <v>642</v>
      </c>
      <c r="J4076" t="s">
        <v>202</v>
      </c>
      <c r="K4076" t="s">
        <v>797</v>
      </c>
      <c r="O4076">
        <v>0</v>
      </c>
      <c r="U4076" t="s">
        <v>81</v>
      </c>
    </row>
    <row r="4077" spans="1:21" x14ac:dyDescent="0.25">
      <c r="A4077" s="33">
        <v>4096</v>
      </c>
      <c r="B4077" s="24">
        <v>44278</v>
      </c>
      <c r="C4077" t="s">
        <v>181</v>
      </c>
      <c r="D4077" t="s">
        <v>41</v>
      </c>
      <c r="E4077">
        <v>2000720930</v>
      </c>
      <c r="F4077">
        <v>670</v>
      </c>
      <c r="G4077">
        <v>80</v>
      </c>
      <c r="H4077">
        <v>0</v>
      </c>
      <c r="I4077" t="s">
        <v>642</v>
      </c>
      <c r="J4077" t="s">
        <v>195</v>
      </c>
      <c r="K4077" t="s">
        <v>887</v>
      </c>
      <c r="O4077">
        <v>0</v>
      </c>
      <c r="U4077" t="s">
        <v>81</v>
      </c>
    </row>
    <row r="4078" spans="1:21" x14ac:dyDescent="0.25">
      <c r="A4078" s="33">
        <v>4097</v>
      </c>
      <c r="B4078" s="24">
        <v>44278</v>
      </c>
      <c r="C4078" t="s">
        <v>181</v>
      </c>
      <c r="D4078" t="s">
        <v>41</v>
      </c>
      <c r="E4078">
        <v>2000720222</v>
      </c>
      <c r="F4078">
        <v>2100</v>
      </c>
      <c r="G4078">
        <v>60</v>
      </c>
      <c r="H4078">
        <v>0</v>
      </c>
      <c r="I4078" t="s">
        <v>642</v>
      </c>
      <c r="J4078" t="s">
        <v>172</v>
      </c>
      <c r="K4078" t="s">
        <v>173</v>
      </c>
      <c r="O4078">
        <v>0</v>
      </c>
      <c r="U4078" t="s">
        <v>81</v>
      </c>
    </row>
    <row r="4079" spans="1:21" x14ac:dyDescent="0.25">
      <c r="A4079" s="33">
        <v>4098</v>
      </c>
      <c r="B4079" s="24">
        <v>44278</v>
      </c>
      <c r="C4079" t="s">
        <v>181</v>
      </c>
      <c r="D4079" t="s">
        <v>41</v>
      </c>
      <c r="E4079">
        <v>2000720661</v>
      </c>
      <c r="F4079">
        <v>640</v>
      </c>
      <c r="G4079">
        <v>80</v>
      </c>
      <c r="H4079">
        <v>0</v>
      </c>
      <c r="I4079" t="s">
        <v>194</v>
      </c>
      <c r="J4079" t="s">
        <v>174</v>
      </c>
      <c r="K4079" t="s">
        <v>187</v>
      </c>
      <c r="O4079">
        <v>0</v>
      </c>
      <c r="U4079" t="s">
        <v>81</v>
      </c>
    </row>
    <row r="4080" spans="1:21" x14ac:dyDescent="0.25">
      <c r="A4080" s="33">
        <v>4099</v>
      </c>
      <c r="B4080" s="24">
        <v>44278</v>
      </c>
      <c r="C4080" t="s">
        <v>181</v>
      </c>
      <c r="D4080" t="s">
        <v>41</v>
      </c>
      <c r="E4080">
        <v>2000720662</v>
      </c>
      <c r="F4080">
        <v>1220</v>
      </c>
      <c r="G4080">
        <v>480</v>
      </c>
      <c r="H4080">
        <v>0</v>
      </c>
      <c r="I4080" t="s">
        <v>194</v>
      </c>
      <c r="J4080" t="s">
        <v>174</v>
      </c>
      <c r="K4080" t="s">
        <v>644</v>
      </c>
      <c r="O4080">
        <v>0</v>
      </c>
      <c r="U4080" t="s">
        <v>81</v>
      </c>
    </row>
    <row r="4081" spans="1:21" x14ac:dyDescent="0.25">
      <c r="A4081" s="33">
        <v>4100</v>
      </c>
      <c r="B4081" s="24">
        <v>44278</v>
      </c>
      <c r="C4081" t="s">
        <v>181</v>
      </c>
      <c r="D4081" t="s">
        <v>41</v>
      </c>
      <c r="E4081">
        <v>2000720662</v>
      </c>
      <c r="F4081">
        <v>1220</v>
      </c>
      <c r="G4081">
        <v>180</v>
      </c>
      <c r="H4081">
        <v>0</v>
      </c>
      <c r="I4081" t="s">
        <v>665</v>
      </c>
      <c r="J4081" t="s">
        <v>174</v>
      </c>
      <c r="K4081" t="s">
        <v>644</v>
      </c>
      <c r="O4081">
        <v>0</v>
      </c>
      <c r="U4081" t="s">
        <v>81</v>
      </c>
    </row>
    <row r="4082" spans="1:21" x14ac:dyDescent="0.25">
      <c r="A4082" s="33">
        <v>4101</v>
      </c>
      <c r="B4082" s="24">
        <v>44278</v>
      </c>
      <c r="C4082" t="s">
        <v>181</v>
      </c>
      <c r="D4082" t="s">
        <v>41</v>
      </c>
      <c r="E4082">
        <v>2000720022</v>
      </c>
      <c r="F4082">
        <v>160</v>
      </c>
      <c r="G4082">
        <v>39</v>
      </c>
      <c r="H4082">
        <v>0</v>
      </c>
      <c r="I4082" t="s">
        <v>178</v>
      </c>
      <c r="J4082" t="s">
        <v>174</v>
      </c>
      <c r="K4082" t="s">
        <v>188</v>
      </c>
      <c r="O4082">
        <v>0</v>
      </c>
      <c r="U4082" t="s">
        <v>81</v>
      </c>
    </row>
    <row r="4083" spans="1:21" x14ac:dyDescent="0.25">
      <c r="A4083" s="33">
        <v>4102</v>
      </c>
      <c r="B4083" s="24">
        <v>44278</v>
      </c>
      <c r="C4083" t="s">
        <v>181</v>
      </c>
      <c r="D4083" t="s">
        <v>41</v>
      </c>
      <c r="E4083">
        <v>2000720661</v>
      </c>
      <c r="F4083">
        <v>640</v>
      </c>
      <c r="G4083">
        <v>80</v>
      </c>
      <c r="H4083">
        <v>0</v>
      </c>
      <c r="I4083" t="s">
        <v>178</v>
      </c>
      <c r="J4083" t="s">
        <v>174</v>
      </c>
      <c r="K4083" t="s">
        <v>187</v>
      </c>
      <c r="O4083">
        <v>0</v>
      </c>
      <c r="U4083" t="s">
        <v>81</v>
      </c>
    </row>
    <row r="4084" spans="1:21" x14ac:dyDescent="0.25">
      <c r="A4084" s="33">
        <v>4103</v>
      </c>
      <c r="B4084" s="24">
        <v>44278</v>
      </c>
      <c r="C4084" t="s">
        <v>181</v>
      </c>
      <c r="D4084" t="s">
        <v>41</v>
      </c>
      <c r="E4084">
        <v>2000720197</v>
      </c>
      <c r="F4084">
        <v>1120</v>
      </c>
      <c r="G4084">
        <v>60</v>
      </c>
      <c r="H4084">
        <v>0</v>
      </c>
      <c r="I4084" t="s">
        <v>178</v>
      </c>
      <c r="J4084" t="s">
        <v>169</v>
      </c>
      <c r="K4084" t="s">
        <v>190</v>
      </c>
      <c r="O4084">
        <v>0</v>
      </c>
      <c r="U4084" t="s">
        <v>81</v>
      </c>
    </row>
    <row r="4085" spans="1:21" x14ac:dyDescent="0.25">
      <c r="A4085" s="33">
        <v>4104</v>
      </c>
      <c r="B4085" s="24">
        <v>44278</v>
      </c>
      <c r="C4085" t="s">
        <v>181</v>
      </c>
      <c r="D4085" t="s">
        <v>41</v>
      </c>
      <c r="E4085">
        <v>2000720433</v>
      </c>
      <c r="F4085">
        <v>1900</v>
      </c>
      <c r="G4085">
        <v>60</v>
      </c>
      <c r="H4085">
        <v>0</v>
      </c>
      <c r="I4085" t="s">
        <v>178</v>
      </c>
      <c r="J4085" t="s">
        <v>169</v>
      </c>
      <c r="K4085" t="s">
        <v>179</v>
      </c>
      <c r="O4085">
        <v>0</v>
      </c>
      <c r="U4085" t="s">
        <v>81</v>
      </c>
    </row>
    <row r="4086" spans="1:21" x14ac:dyDescent="0.25">
      <c r="A4086" s="33">
        <v>4105</v>
      </c>
      <c r="B4086" s="24">
        <v>44278</v>
      </c>
      <c r="C4086" t="s">
        <v>181</v>
      </c>
      <c r="D4086" t="s">
        <v>41</v>
      </c>
      <c r="E4086">
        <v>2000720359</v>
      </c>
      <c r="F4086">
        <v>2004</v>
      </c>
      <c r="G4086">
        <v>120</v>
      </c>
      <c r="H4086">
        <v>0</v>
      </c>
      <c r="I4086" t="s">
        <v>178</v>
      </c>
      <c r="J4086" t="s">
        <v>687</v>
      </c>
      <c r="K4086" t="s">
        <v>688</v>
      </c>
      <c r="O4086">
        <v>0</v>
      </c>
      <c r="U4086" t="s">
        <v>81</v>
      </c>
    </row>
    <row r="4087" spans="1:21" x14ac:dyDescent="0.25">
      <c r="A4087" s="33">
        <v>4106</v>
      </c>
      <c r="B4087" s="24">
        <v>44278</v>
      </c>
      <c r="C4087" t="s">
        <v>181</v>
      </c>
      <c r="D4087" t="s">
        <v>41</v>
      </c>
      <c r="E4087">
        <v>2000720212</v>
      </c>
      <c r="F4087">
        <v>2608</v>
      </c>
      <c r="G4087">
        <v>160</v>
      </c>
      <c r="H4087">
        <v>0</v>
      </c>
      <c r="I4087" t="s">
        <v>178</v>
      </c>
      <c r="J4087" t="s">
        <v>655</v>
      </c>
      <c r="K4087" t="s">
        <v>656</v>
      </c>
      <c r="O4087">
        <v>0</v>
      </c>
      <c r="U4087" t="s">
        <v>81</v>
      </c>
    </row>
    <row r="4088" spans="1:21" x14ac:dyDescent="0.25">
      <c r="A4088" s="33">
        <v>4107</v>
      </c>
      <c r="B4088" s="24">
        <v>44278</v>
      </c>
      <c r="C4088" t="s">
        <v>181</v>
      </c>
      <c r="D4088" t="s">
        <v>41</v>
      </c>
      <c r="E4088">
        <v>2000720664</v>
      </c>
      <c r="F4088">
        <v>4416</v>
      </c>
      <c r="G4088">
        <v>160</v>
      </c>
      <c r="H4088">
        <v>0</v>
      </c>
      <c r="I4088" t="s">
        <v>178</v>
      </c>
      <c r="J4088" t="s">
        <v>200</v>
      </c>
      <c r="K4088" t="s">
        <v>653</v>
      </c>
      <c r="O4088">
        <v>0</v>
      </c>
      <c r="U4088" t="s">
        <v>81</v>
      </c>
    </row>
    <row r="4089" spans="1:21" x14ac:dyDescent="0.25">
      <c r="A4089" s="33">
        <v>4108</v>
      </c>
      <c r="B4089" s="24">
        <v>44278</v>
      </c>
      <c r="C4089" t="s">
        <v>181</v>
      </c>
      <c r="D4089" t="s">
        <v>41</v>
      </c>
      <c r="E4089">
        <v>2000720441</v>
      </c>
      <c r="F4089">
        <v>850</v>
      </c>
      <c r="G4089">
        <v>120</v>
      </c>
      <c r="H4089">
        <v>0</v>
      </c>
      <c r="I4089" t="s">
        <v>178</v>
      </c>
      <c r="J4089" t="s">
        <v>203</v>
      </c>
      <c r="K4089" t="s">
        <v>638</v>
      </c>
      <c r="O4089">
        <v>0</v>
      </c>
      <c r="U4089" t="s">
        <v>81</v>
      </c>
    </row>
    <row r="4090" spans="1:21" x14ac:dyDescent="0.25">
      <c r="A4090" s="33">
        <v>4109</v>
      </c>
      <c r="B4090" s="24">
        <v>44278</v>
      </c>
      <c r="C4090" t="s">
        <v>181</v>
      </c>
      <c r="D4090" t="s">
        <v>41</v>
      </c>
      <c r="E4090">
        <v>2000720852</v>
      </c>
      <c r="F4090">
        <v>1000</v>
      </c>
      <c r="G4090">
        <v>90</v>
      </c>
      <c r="H4090">
        <v>0</v>
      </c>
      <c r="I4090" t="s">
        <v>180</v>
      </c>
      <c r="J4090" t="s">
        <v>174</v>
      </c>
      <c r="K4090" t="s">
        <v>205</v>
      </c>
      <c r="O4090">
        <v>0</v>
      </c>
      <c r="U4090" t="s">
        <v>81</v>
      </c>
    </row>
    <row r="4091" spans="1:21" x14ac:dyDescent="0.25">
      <c r="A4091" s="33">
        <v>4110</v>
      </c>
      <c r="B4091" s="24">
        <v>44278</v>
      </c>
      <c r="C4091" t="s">
        <v>181</v>
      </c>
      <c r="D4091" t="s">
        <v>41</v>
      </c>
      <c r="E4091">
        <v>2000720662</v>
      </c>
      <c r="F4091">
        <v>1220</v>
      </c>
      <c r="G4091">
        <v>314</v>
      </c>
      <c r="H4091">
        <v>0</v>
      </c>
      <c r="I4091" t="s">
        <v>180</v>
      </c>
      <c r="J4091" t="s">
        <v>174</v>
      </c>
      <c r="K4091" t="s">
        <v>644</v>
      </c>
      <c r="O4091">
        <v>0</v>
      </c>
      <c r="U4091" t="s">
        <v>81</v>
      </c>
    </row>
    <row r="4092" spans="1:21" x14ac:dyDescent="0.25">
      <c r="A4092" s="33">
        <v>4111</v>
      </c>
      <c r="B4092" s="24">
        <v>44278</v>
      </c>
      <c r="C4092" t="s">
        <v>181</v>
      </c>
      <c r="D4092" t="s">
        <v>41</v>
      </c>
      <c r="E4092">
        <v>2000720661</v>
      </c>
      <c r="F4092">
        <v>640</v>
      </c>
      <c r="G4092">
        <v>158</v>
      </c>
      <c r="H4092">
        <v>0</v>
      </c>
      <c r="I4092" t="s">
        <v>180</v>
      </c>
      <c r="J4092" t="s">
        <v>174</v>
      </c>
      <c r="K4092" t="s">
        <v>187</v>
      </c>
      <c r="O4092">
        <v>0</v>
      </c>
      <c r="U4092" t="s">
        <v>81</v>
      </c>
    </row>
    <row r="4093" spans="1:21" x14ac:dyDescent="0.25">
      <c r="A4093" s="33">
        <v>4112</v>
      </c>
      <c r="B4093" s="24">
        <v>44278</v>
      </c>
      <c r="C4093" t="s">
        <v>181</v>
      </c>
      <c r="D4093" t="s">
        <v>51</v>
      </c>
      <c r="E4093">
        <v>2000720502</v>
      </c>
      <c r="F4093">
        <v>650</v>
      </c>
      <c r="G4093">
        <v>70</v>
      </c>
      <c r="H4093">
        <v>0</v>
      </c>
      <c r="I4093" t="s">
        <v>191</v>
      </c>
      <c r="J4093" t="s">
        <v>667</v>
      </c>
      <c r="K4093" t="s">
        <v>671</v>
      </c>
      <c r="O4093">
        <v>0</v>
      </c>
      <c r="U4093" t="s">
        <v>81</v>
      </c>
    </row>
    <row r="4094" spans="1:21" x14ac:dyDescent="0.25">
      <c r="A4094" s="33">
        <v>4113</v>
      </c>
      <c r="B4094" s="24">
        <v>44278</v>
      </c>
      <c r="C4094" t="s">
        <v>181</v>
      </c>
      <c r="D4094" t="s">
        <v>51</v>
      </c>
      <c r="E4094">
        <v>2000720199</v>
      </c>
      <c r="F4094">
        <v>620</v>
      </c>
      <c r="G4094">
        <v>300</v>
      </c>
      <c r="H4094">
        <v>0</v>
      </c>
      <c r="I4094" t="s">
        <v>191</v>
      </c>
      <c r="J4094" t="s">
        <v>676</v>
      </c>
      <c r="K4094" t="s">
        <v>874</v>
      </c>
      <c r="O4094">
        <v>0</v>
      </c>
      <c r="U4094" t="s">
        <v>81</v>
      </c>
    </row>
    <row r="4095" spans="1:21" x14ac:dyDescent="0.25">
      <c r="A4095" s="33">
        <v>4114</v>
      </c>
      <c r="B4095" s="24">
        <v>44278</v>
      </c>
      <c r="C4095" t="s">
        <v>181</v>
      </c>
      <c r="D4095" t="s">
        <v>51</v>
      </c>
      <c r="E4095">
        <v>2000718982</v>
      </c>
      <c r="F4095">
        <v>210</v>
      </c>
      <c r="G4095">
        <v>40</v>
      </c>
      <c r="H4095">
        <v>0</v>
      </c>
      <c r="I4095" t="s">
        <v>191</v>
      </c>
      <c r="J4095" t="s">
        <v>669</v>
      </c>
      <c r="K4095" t="s">
        <v>810</v>
      </c>
      <c r="O4095">
        <v>0</v>
      </c>
      <c r="U4095" t="s">
        <v>81</v>
      </c>
    </row>
    <row r="4096" spans="1:21" x14ac:dyDescent="0.25">
      <c r="A4096" s="33">
        <v>4115</v>
      </c>
      <c r="B4096" s="24">
        <v>44278</v>
      </c>
      <c r="C4096" t="s">
        <v>181</v>
      </c>
      <c r="D4096" t="s">
        <v>51</v>
      </c>
      <c r="E4096">
        <v>2000716870</v>
      </c>
      <c r="F4096">
        <v>400</v>
      </c>
      <c r="G4096">
        <v>227</v>
      </c>
      <c r="H4096">
        <v>0</v>
      </c>
      <c r="I4096" t="s">
        <v>191</v>
      </c>
      <c r="J4096" t="s">
        <v>673</v>
      </c>
      <c r="K4096" t="s">
        <v>679</v>
      </c>
      <c r="O4096">
        <v>0</v>
      </c>
      <c r="U4096" t="s">
        <v>81</v>
      </c>
    </row>
    <row r="4097" spans="1:21" x14ac:dyDescent="0.25">
      <c r="A4097" s="33">
        <v>4116</v>
      </c>
      <c r="B4097" s="24">
        <v>44278</v>
      </c>
      <c r="C4097" t="s">
        <v>181</v>
      </c>
      <c r="D4097" t="s">
        <v>51</v>
      </c>
      <c r="E4097">
        <v>2000720168</v>
      </c>
      <c r="F4097">
        <v>450</v>
      </c>
      <c r="G4097">
        <v>90</v>
      </c>
      <c r="H4097">
        <v>0</v>
      </c>
      <c r="I4097" t="s">
        <v>191</v>
      </c>
      <c r="J4097" t="s">
        <v>667</v>
      </c>
      <c r="K4097" t="s">
        <v>769</v>
      </c>
      <c r="O4097">
        <v>0</v>
      </c>
      <c r="U4097" t="s">
        <v>81</v>
      </c>
    </row>
    <row r="4098" spans="1:21" x14ac:dyDescent="0.25">
      <c r="A4098" s="33">
        <v>4117</v>
      </c>
      <c r="B4098" s="24">
        <v>44278</v>
      </c>
      <c r="C4098" t="s">
        <v>181</v>
      </c>
      <c r="D4098" t="s">
        <v>51</v>
      </c>
      <c r="E4098">
        <v>2000718017</v>
      </c>
      <c r="F4098">
        <v>160</v>
      </c>
      <c r="G4098">
        <v>45</v>
      </c>
      <c r="H4098">
        <v>0</v>
      </c>
      <c r="I4098" t="s">
        <v>191</v>
      </c>
      <c r="J4098" t="s">
        <v>669</v>
      </c>
      <c r="K4098" t="s">
        <v>801</v>
      </c>
      <c r="O4098">
        <v>0</v>
      </c>
      <c r="U4098" t="s">
        <v>81</v>
      </c>
    </row>
    <row r="4099" spans="1:21" x14ac:dyDescent="0.25">
      <c r="A4099" s="33">
        <v>4118</v>
      </c>
      <c r="B4099" s="24">
        <v>44278</v>
      </c>
      <c r="C4099" t="s">
        <v>181</v>
      </c>
      <c r="D4099" t="s">
        <v>51</v>
      </c>
      <c r="E4099">
        <v>2000720499</v>
      </c>
      <c r="F4099">
        <v>1080</v>
      </c>
      <c r="G4099">
        <v>120</v>
      </c>
      <c r="H4099">
        <v>0</v>
      </c>
      <c r="I4099" t="s">
        <v>191</v>
      </c>
      <c r="J4099" t="s">
        <v>667</v>
      </c>
      <c r="K4099" t="s">
        <v>730</v>
      </c>
      <c r="O4099">
        <v>0</v>
      </c>
      <c r="U4099" t="s">
        <v>81</v>
      </c>
    </row>
    <row r="4100" spans="1:21" x14ac:dyDescent="0.25">
      <c r="A4100" s="33">
        <v>4119</v>
      </c>
      <c r="B4100" s="24">
        <v>44279</v>
      </c>
      <c r="C4100" t="s">
        <v>39</v>
      </c>
      <c r="D4100" t="s">
        <v>51</v>
      </c>
      <c r="E4100">
        <v>2000720199</v>
      </c>
      <c r="F4100">
        <v>620</v>
      </c>
      <c r="G4100">
        <v>60</v>
      </c>
      <c r="H4100">
        <v>0</v>
      </c>
      <c r="I4100" t="s">
        <v>706</v>
      </c>
      <c r="J4100" t="s">
        <v>676</v>
      </c>
      <c r="K4100" t="s">
        <v>874</v>
      </c>
      <c r="O4100">
        <v>0</v>
      </c>
      <c r="U4100" t="s">
        <v>81</v>
      </c>
    </row>
    <row r="4101" spans="1:21" x14ac:dyDescent="0.25">
      <c r="A4101" s="33">
        <v>4120</v>
      </c>
      <c r="B4101" s="24">
        <v>44279</v>
      </c>
      <c r="C4101" t="s">
        <v>39</v>
      </c>
      <c r="D4101" t="s">
        <v>51</v>
      </c>
      <c r="E4101">
        <v>2000720166</v>
      </c>
      <c r="F4101">
        <v>620</v>
      </c>
      <c r="G4101">
        <v>290</v>
      </c>
      <c r="H4101">
        <v>0</v>
      </c>
      <c r="I4101" t="s">
        <v>706</v>
      </c>
      <c r="J4101" t="s">
        <v>676</v>
      </c>
      <c r="K4101" t="s">
        <v>874</v>
      </c>
      <c r="O4101">
        <v>0</v>
      </c>
      <c r="U4101" t="s">
        <v>81</v>
      </c>
    </row>
    <row r="4102" spans="1:21" x14ac:dyDescent="0.25">
      <c r="A4102" s="33">
        <v>4121</v>
      </c>
      <c r="B4102" s="24">
        <v>44279</v>
      </c>
      <c r="C4102" t="s">
        <v>39</v>
      </c>
      <c r="D4102" t="s">
        <v>51</v>
      </c>
      <c r="E4102">
        <v>2000720791</v>
      </c>
      <c r="F4102">
        <v>350</v>
      </c>
      <c r="G4102">
        <v>100</v>
      </c>
      <c r="H4102">
        <v>0</v>
      </c>
      <c r="I4102" t="s">
        <v>706</v>
      </c>
      <c r="J4102" t="s">
        <v>673</v>
      </c>
      <c r="K4102" t="s">
        <v>760</v>
      </c>
      <c r="O4102">
        <v>0</v>
      </c>
      <c r="U4102" t="s">
        <v>81</v>
      </c>
    </row>
    <row r="4103" spans="1:21" x14ac:dyDescent="0.25">
      <c r="A4103" s="33">
        <v>4122</v>
      </c>
      <c r="B4103" s="24">
        <v>44279</v>
      </c>
      <c r="C4103" t="s">
        <v>39</v>
      </c>
      <c r="D4103" t="s">
        <v>51</v>
      </c>
      <c r="E4103">
        <v>2000720315</v>
      </c>
      <c r="F4103">
        <v>620</v>
      </c>
      <c r="G4103">
        <v>620</v>
      </c>
      <c r="H4103">
        <v>0</v>
      </c>
      <c r="I4103" t="s">
        <v>706</v>
      </c>
      <c r="J4103" t="s">
        <v>678</v>
      </c>
      <c r="K4103" t="s">
        <v>679</v>
      </c>
      <c r="O4103">
        <v>0</v>
      </c>
      <c r="U4103" t="s">
        <v>81</v>
      </c>
    </row>
    <row r="4104" spans="1:21" x14ac:dyDescent="0.25">
      <c r="A4104" s="33">
        <v>4123</v>
      </c>
      <c r="B4104" s="24">
        <v>44279</v>
      </c>
      <c r="C4104" t="s">
        <v>39</v>
      </c>
      <c r="D4104" t="s">
        <v>41</v>
      </c>
      <c r="E4104">
        <v>2000720851</v>
      </c>
      <c r="F4104">
        <v>1000</v>
      </c>
      <c r="G4104">
        <v>135</v>
      </c>
      <c r="H4104">
        <v>0</v>
      </c>
      <c r="I4104" t="s">
        <v>759</v>
      </c>
      <c r="J4104" t="s">
        <v>170</v>
      </c>
      <c r="K4104" t="s">
        <v>899</v>
      </c>
      <c r="O4104">
        <v>0</v>
      </c>
      <c r="U4104" t="s">
        <v>81</v>
      </c>
    </row>
    <row r="4105" spans="1:21" x14ac:dyDescent="0.25">
      <c r="A4105" s="33">
        <v>4124</v>
      </c>
      <c r="B4105" s="24">
        <v>44279</v>
      </c>
      <c r="C4105" t="s">
        <v>39</v>
      </c>
      <c r="D4105" t="s">
        <v>41</v>
      </c>
      <c r="E4105">
        <v>2000720854</v>
      </c>
      <c r="F4105">
        <v>560</v>
      </c>
      <c r="G4105">
        <v>160</v>
      </c>
      <c r="H4105">
        <v>0</v>
      </c>
      <c r="I4105" t="s">
        <v>696</v>
      </c>
      <c r="J4105" t="s">
        <v>170</v>
      </c>
      <c r="K4105" t="s">
        <v>899</v>
      </c>
      <c r="O4105">
        <v>0</v>
      </c>
      <c r="U4105" t="s">
        <v>81</v>
      </c>
    </row>
    <row r="4106" spans="1:21" x14ac:dyDescent="0.25">
      <c r="A4106" s="33">
        <v>4125</v>
      </c>
      <c r="B4106" s="24">
        <v>44279</v>
      </c>
      <c r="C4106" t="s">
        <v>39</v>
      </c>
      <c r="D4106" t="s">
        <v>41</v>
      </c>
      <c r="E4106">
        <v>2000720851</v>
      </c>
      <c r="F4106">
        <v>1000</v>
      </c>
      <c r="G4106">
        <v>495</v>
      </c>
      <c r="H4106">
        <v>0</v>
      </c>
      <c r="I4106" t="s">
        <v>696</v>
      </c>
      <c r="J4106" t="s">
        <v>170</v>
      </c>
      <c r="K4106" t="s">
        <v>899</v>
      </c>
      <c r="O4106">
        <v>0</v>
      </c>
      <c r="U4106" t="s">
        <v>81</v>
      </c>
    </row>
    <row r="4107" spans="1:21" x14ac:dyDescent="0.25">
      <c r="A4107" s="33">
        <v>4126</v>
      </c>
      <c r="B4107" s="24">
        <v>44279</v>
      </c>
      <c r="C4107" t="s">
        <v>39</v>
      </c>
      <c r="D4107" t="s">
        <v>41</v>
      </c>
      <c r="E4107">
        <v>2000720625</v>
      </c>
      <c r="F4107">
        <v>1200</v>
      </c>
      <c r="G4107">
        <v>90</v>
      </c>
      <c r="H4107">
        <v>0</v>
      </c>
      <c r="I4107" t="s">
        <v>185</v>
      </c>
      <c r="J4107" t="s">
        <v>645</v>
      </c>
      <c r="K4107" t="s">
        <v>718</v>
      </c>
      <c r="O4107">
        <v>0</v>
      </c>
      <c r="U4107" t="s">
        <v>81</v>
      </c>
    </row>
    <row r="4108" spans="1:21" x14ac:dyDescent="0.25">
      <c r="A4108" s="33">
        <v>4127</v>
      </c>
      <c r="B4108" s="24">
        <v>44279</v>
      </c>
      <c r="C4108" t="s">
        <v>39</v>
      </c>
      <c r="D4108" t="s">
        <v>41</v>
      </c>
      <c r="E4108">
        <v>2000720682</v>
      </c>
      <c r="F4108">
        <v>1200</v>
      </c>
      <c r="G4108">
        <v>40</v>
      </c>
      <c r="H4108">
        <v>0</v>
      </c>
      <c r="I4108" t="s">
        <v>185</v>
      </c>
      <c r="J4108" t="s">
        <v>645</v>
      </c>
      <c r="K4108" t="s">
        <v>721</v>
      </c>
      <c r="O4108">
        <v>0</v>
      </c>
      <c r="U4108" t="s">
        <v>81</v>
      </c>
    </row>
    <row r="4109" spans="1:21" x14ac:dyDescent="0.25">
      <c r="A4109" s="33">
        <v>4128</v>
      </c>
      <c r="B4109" s="24">
        <v>44279</v>
      </c>
      <c r="C4109" t="s">
        <v>39</v>
      </c>
      <c r="D4109" t="s">
        <v>41</v>
      </c>
      <c r="E4109">
        <v>2000720856</v>
      </c>
      <c r="F4109">
        <v>1320</v>
      </c>
      <c r="G4109">
        <v>40</v>
      </c>
      <c r="H4109">
        <v>0</v>
      </c>
      <c r="I4109" t="s">
        <v>185</v>
      </c>
      <c r="J4109" t="s">
        <v>174</v>
      </c>
      <c r="K4109" t="s">
        <v>177</v>
      </c>
      <c r="O4109">
        <v>0</v>
      </c>
      <c r="U4109" t="s">
        <v>81</v>
      </c>
    </row>
    <row r="4110" spans="1:21" x14ac:dyDescent="0.25">
      <c r="A4110" s="33">
        <v>4129</v>
      </c>
      <c r="B4110" s="24">
        <v>44279</v>
      </c>
      <c r="C4110" t="s">
        <v>39</v>
      </c>
      <c r="D4110" t="s">
        <v>41</v>
      </c>
      <c r="E4110">
        <v>2000720222</v>
      </c>
      <c r="F4110">
        <v>210</v>
      </c>
      <c r="G4110">
        <v>60</v>
      </c>
      <c r="H4110">
        <v>0</v>
      </c>
      <c r="I4110" t="s">
        <v>185</v>
      </c>
      <c r="J4110" t="s">
        <v>172</v>
      </c>
      <c r="K4110" t="s">
        <v>173</v>
      </c>
      <c r="O4110">
        <v>0</v>
      </c>
      <c r="U4110" t="s">
        <v>81</v>
      </c>
    </row>
    <row r="4111" spans="1:21" x14ac:dyDescent="0.25">
      <c r="A4111" s="33">
        <v>4130</v>
      </c>
      <c r="B4111" s="24">
        <v>44279</v>
      </c>
      <c r="C4111" t="s">
        <v>39</v>
      </c>
      <c r="D4111" t="s">
        <v>41</v>
      </c>
      <c r="E4111">
        <v>2000720650</v>
      </c>
      <c r="F4111">
        <v>3999</v>
      </c>
      <c r="G4111">
        <v>240</v>
      </c>
      <c r="H4111">
        <v>0</v>
      </c>
      <c r="I4111" t="s">
        <v>185</v>
      </c>
      <c r="J4111" t="s">
        <v>687</v>
      </c>
      <c r="K4111" t="s">
        <v>688</v>
      </c>
      <c r="O4111">
        <v>0</v>
      </c>
      <c r="U4111" t="s">
        <v>81</v>
      </c>
    </row>
    <row r="4112" spans="1:21" x14ac:dyDescent="0.25">
      <c r="A4112" s="33">
        <v>4131</v>
      </c>
      <c r="B4112" s="24">
        <v>44279</v>
      </c>
      <c r="C4112" t="s">
        <v>39</v>
      </c>
      <c r="D4112" t="s">
        <v>41</v>
      </c>
      <c r="E4112">
        <v>2000720912</v>
      </c>
      <c r="F4112">
        <v>1200</v>
      </c>
      <c r="G4112">
        <v>100</v>
      </c>
      <c r="H4112">
        <v>0</v>
      </c>
      <c r="I4112" t="s">
        <v>185</v>
      </c>
      <c r="J4112" t="s">
        <v>645</v>
      </c>
      <c r="K4112" t="s">
        <v>690</v>
      </c>
      <c r="O4112">
        <v>0</v>
      </c>
      <c r="U4112" t="s">
        <v>81</v>
      </c>
    </row>
    <row r="4113" spans="1:21" x14ac:dyDescent="0.25">
      <c r="A4113" s="33">
        <v>4132</v>
      </c>
      <c r="B4113" s="24">
        <v>44279</v>
      </c>
      <c r="C4113" t="s">
        <v>39</v>
      </c>
      <c r="D4113" t="s">
        <v>41</v>
      </c>
      <c r="E4113">
        <v>2000720211</v>
      </c>
      <c r="F4113">
        <v>4400</v>
      </c>
      <c r="G4113">
        <v>160</v>
      </c>
      <c r="H4113">
        <v>0</v>
      </c>
      <c r="I4113" t="s">
        <v>185</v>
      </c>
      <c r="J4113" t="s">
        <v>200</v>
      </c>
      <c r="K4113" t="s">
        <v>653</v>
      </c>
      <c r="O4113">
        <v>0</v>
      </c>
      <c r="U4113" t="s">
        <v>81</v>
      </c>
    </row>
    <row r="4114" spans="1:21" x14ac:dyDescent="0.25">
      <c r="A4114" s="33">
        <v>4133</v>
      </c>
      <c r="B4114" s="24">
        <v>44279</v>
      </c>
      <c r="C4114" t="s">
        <v>39</v>
      </c>
      <c r="D4114" t="s">
        <v>41</v>
      </c>
      <c r="E4114">
        <v>2000720856</v>
      </c>
      <c r="F4114">
        <v>1320</v>
      </c>
      <c r="G4114">
        <v>340</v>
      </c>
      <c r="H4114">
        <v>0</v>
      </c>
      <c r="I4114" t="s">
        <v>183</v>
      </c>
      <c r="J4114" t="s">
        <v>174</v>
      </c>
      <c r="K4114" t="s">
        <v>177</v>
      </c>
      <c r="O4114">
        <v>0</v>
      </c>
      <c r="U4114" t="s">
        <v>81</v>
      </c>
    </row>
    <row r="4115" spans="1:21" ht="45" x14ac:dyDescent="0.25">
      <c r="A4115" s="33">
        <v>4134</v>
      </c>
      <c r="B4115" s="24">
        <v>44279</v>
      </c>
      <c r="C4115" t="s">
        <v>39</v>
      </c>
      <c r="D4115" t="s">
        <v>41</v>
      </c>
      <c r="E4115">
        <v>2000720024</v>
      </c>
      <c r="F4115">
        <v>150</v>
      </c>
      <c r="G4115">
        <v>1</v>
      </c>
      <c r="H4115">
        <v>0</v>
      </c>
      <c r="I4115" t="s">
        <v>183</v>
      </c>
      <c r="J4115" t="s">
        <v>174</v>
      </c>
      <c r="K4115" t="s">
        <v>177</v>
      </c>
      <c r="O4115">
        <v>0</v>
      </c>
      <c r="T4115" s="62" t="s">
        <v>775</v>
      </c>
      <c r="U4115" t="s">
        <v>81</v>
      </c>
    </row>
    <row r="4116" spans="1:21" ht="45" x14ac:dyDescent="0.25">
      <c r="A4116" s="33">
        <v>4135</v>
      </c>
      <c r="B4116" s="24">
        <v>44279</v>
      </c>
      <c r="C4116" t="s">
        <v>39</v>
      </c>
      <c r="D4116" t="s">
        <v>41</v>
      </c>
      <c r="E4116">
        <v>2000720858</v>
      </c>
      <c r="F4116">
        <v>600</v>
      </c>
      <c r="G4116">
        <v>10</v>
      </c>
      <c r="H4116">
        <v>0</v>
      </c>
      <c r="I4116" t="s">
        <v>183</v>
      </c>
      <c r="J4116" t="s">
        <v>174</v>
      </c>
      <c r="K4116" t="s">
        <v>792</v>
      </c>
      <c r="O4116">
        <v>0</v>
      </c>
      <c r="T4116" s="62" t="s">
        <v>775</v>
      </c>
      <c r="U4116" t="s">
        <v>81</v>
      </c>
    </row>
    <row r="4117" spans="1:21" ht="45" x14ac:dyDescent="0.25">
      <c r="A4117" s="33">
        <v>4136</v>
      </c>
      <c r="B4117" s="24">
        <v>44279</v>
      </c>
      <c r="C4117" t="s">
        <v>39</v>
      </c>
      <c r="D4117" t="s">
        <v>41</v>
      </c>
      <c r="E4117">
        <v>2000720857</v>
      </c>
      <c r="F4117">
        <v>760</v>
      </c>
      <c r="G4117">
        <v>440</v>
      </c>
      <c r="H4117">
        <v>0</v>
      </c>
      <c r="I4117" t="s">
        <v>183</v>
      </c>
      <c r="J4117" t="s">
        <v>174</v>
      </c>
      <c r="K4117" t="s">
        <v>763</v>
      </c>
      <c r="O4117">
        <v>0</v>
      </c>
      <c r="T4117" s="62" t="s">
        <v>775</v>
      </c>
      <c r="U4117" t="s">
        <v>81</v>
      </c>
    </row>
    <row r="4118" spans="1:21" x14ac:dyDescent="0.25">
      <c r="A4118" s="33">
        <v>4137</v>
      </c>
      <c r="B4118" s="24">
        <v>44279</v>
      </c>
      <c r="C4118" t="s">
        <v>39</v>
      </c>
      <c r="D4118" t="s">
        <v>41</v>
      </c>
      <c r="E4118">
        <v>2000720670</v>
      </c>
      <c r="F4118">
        <v>3200</v>
      </c>
      <c r="G4118">
        <v>2400</v>
      </c>
      <c r="H4118">
        <v>0</v>
      </c>
      <c r="I4118" t="s">
        <v>680</v>
      </c>
      <c r="J4118" t="s">
        <v>203</v>
      </c>
      <c r="K4118" t="s">
        <v>788</v>
      </c>
      <c r="O4118">
        <v>0</v>
      </c>
      <c r="U4118" t="s">
        <v>81</v>
      </c>
    </row>
    <row r="4119" spans="1:21" x14ac:dyDescent="0.25">
      <c r="A4119" s="33">
        <v>4138</v>
      </c>
      <c r="B4119" s="24">
        <v>44279</v>
      </c>
      <c r="C4119" t="s">
        <v>39</v>
      </c>
      <c r="D4119" t="s">
        <v>41</v>
      </c>
      <c r="E4119">
        <v>2000720179</v>
      </c>
      <c r="F4119">
        <v>1246</v>
      </c>
      <c r="G4119">
        <v>425</v>
      </c>
      <c r="H4119">
        <v>0</v>
      </c>
      <c r="I4119" t="s">
        <v>680</v>
      </c>
      <c r="J4119" t="s">
        <v>745</v>
      </c>
      <c r="K4119" t="s">
        <v>857</v>
      </c>
      <c r="O4119">
        <v>0</v>
      </c>
      <c r="U4119" t="s">
        <v>81</v>
      </c>
    </row>
    <row r="4120" spans="1:21" x14ac:dyDescent="0.25">
      <c r="A4120" s="33">
        <v>4139</v>
      </c>
      <c r="B4120" s="24">
        <v>44279</v>
      </c>
      <c r="C4120" t="s">
        <v>39</v>
      </c>
      <c r="D4120" t="s">
        <v>41</v>
      </c>
      <c r="E4120">
        <v>2000720184</v>
      </c>
      <c r="F4120">
        <v>1800</v>
      </c>
      <c r="G4120">
        <v>160</v>
      </c>
      <c r="H4120">
        <v>0</v>
      </c>
      <c r="I4120" t="s">
        <v>680</v>
      </c>
      <c r="J4120" t="s">
        <v>745</v>
      </c>
      <c r="K4120" t="s">
        <v>746</v>
      </c>
      <c r="O4120">
        <v>0</v>
      </c>
      <c r="U4120" t="s">
        <v>81</v>
      </c>
    </row>
    <row r="4121" spans="1:21" x14ac:dyDescent="0.25">
      <c r="A4121" s="33">
        <v>4140</v>
      </c>
      <c r="B4121" s="24">
        <v>44279</v>
      </c>
      <c r="C4121" t="s">
        <v>39</v>
      </c>
      <c r="D4121" t="s">
        <v>41</v>
      </c>
      <c r="E4121">
        <v>2000720856</v>
      </c>
      <c r="F4121">
        <v>1320</v>
      </c>
      <c r="G4121">
        <v>240</v>
      </c>
      <c r="H4121">
        <v>0</v>
      </c>
      <c r="I4121" t="s">
        <v>693</v>
      </c>
      <c r="J4121" t="s">
        <v>174</v>
      </c>
      <c r="K4121" t="s">
        <v>177</v>
      </c>
      <c r="O4121">
        <v>0</v>
      </c>
      <c r="U4121" t="s">
        <v>81</v>
      </c>
    </row>
    <row r="4122" spans="1:21" x14ac:dyDescent="0.25">
      <c r="A4122" s="33">
        <v>4141</v>
      </c>
      <c r="B4122" s="24">
        <v>44279</v>
      </c>
      <c r="C4122" t="s">
        <v>39</v>
      </c>
      <c r="D4122" t="s">
        <v>41</v>
      </c>
      <c r="E4122">
        <v>2000720663</v>
      </c>
      <c r="F4122">
        <v>200</v>
      </c>
      <c r="G4122">
        <v>199</v>
      </c>
      <c r="H4122">
        <v>0</v>
      </c>
      <c r="I4122" t="s">
        <v>693</v>
      </c>
      <c r="J4122" t="s">
        <v>174</v>
      </c>
      <c r="K4122" t="s">
        <v>204</v>
      </c>
      <c r="O4122">
        <v>0</v>
      </c>
      <c r="U4122" t="s">
        <v>81</v>
      </c>
    </row>
    <row r="4123" spans="1:21" x14ac:dyDescent="0.25">
      <c r="A4123" s="33">
        <v>4142</v>
      </c>
      <c r="B4123" s="24">
        <v>44279</v>
      </c>
      <c r="C4123" t="s">
        <v>39</v>
      </c>
      <c r="D4123" t="s">
        <v>41</v>
      </c>
      <c r="E4123">
        <v>2000720857</v>
      </c>
      <c r="F4123">
        <v>760</v>
      </c>
      <c r="G4123">
        <v>40</v>
      </c>
      <c r="H4123">
        <v>0</v>
      </c>
      <c r="I4123" t="s">
        <v>693</v>
      </c>
      <c r="J4123" t="s">
        <v>174</v>
      </c>
      <c r="K4123" t="s">
        <v>763</v>
      </c>
      <c r="O4123">
        <v>0</v>
      </c>
      <c r="U4123" t="s">
        <v>81</v>
      </c>
    </row>
    <row r="4124" spans="1:21" x14ac:dyDescent="0.25">
      <c r="A4124" s="33">
        <v>4143</v>
      </c>
      <c r="B4124" s="24">
        <v>44279</v>
      </c>
      <c r="C4124" t="s">
        <v>39</v>
      </c>
      <c r="D4124" t="s">
        <v>41</v>
      </c>
      <c r="E4124">
        <v>2000720441</v>
      </c>
      <c r="F4124">
        <v>850</v>
      </c>
      <c r="G4124">
        <v>90</v>
      </c>
      <c r="H4124">
        <v>0</v>
      </c>
      <c r="I4124" t="s">
        <v>184</v>
      </c>
      <c r="J4124" t="s">
        <v>203</v>
      </c>
      <c r="K4124" t="s">
        <v>638</v>
      </c>
      <c r="O4124">
        <v>0</v>
      </c>
      <c r="U4124" t="s">
        <v>81</v>
      </c>
    </row>
    <row r="4125" spans="1:21" x14ac:dyDescent="0.25">
      <c r="A4125" s="33">
        <v>4144</v>
      </c>
      <c r="B4125" s="24">
        <v>44279</v>
      </c>
      <c r="C4125" t="s">
        <v>39</v>
      </c>
      <c r="D4125" t="s">
        <v>41</v>
      </c>
      <c r="E4125">
        <v>2000720838</v>
      </c>
      <c r="F4125">
        <v>390</v>
      </c>
      <c r="G4125">
        <v>390</v>
      </c>
      <c r="H4125">
        <v>0</v>
      </c>
      <c r="I4125" t="s">
        <v>184</v>
      </c>
      <c r="J4125" t="s">
        <v>169</v>
      </c>
      <c r="K4125" t="s">
        <v>826</v>
      </c>
      <c r="O4125">
        <v>0</v>
      </c>
      <c r="U4125" t="s">
        <v>81</v>
      </c>
    </row>
    <row r="4126" spans="1:21" x14ac:dyDescent="0.25">
      <c r="A4126" s="33">
        <v>4145</v>
      </c>
      <c r="B4126" s="24">
        <v>44279</v>
      </c>
      <c r="C4126" t="s">
        <v>39</v>
      </c>
      <c r="D4126" t="s">
        <v>41</v>
      </c>
      <c r="E4126">
        <v>2000720198</v>
      </c>
      <c r="F4126">
        <v>240</v>
      </c>
      <c r="G4126">
        <v>120</v>
      </c>
      <c r="H4126">
        <v>0</v>
      </c>
      <c r="I4126" t="s">
        <v>184</v>
      </c>
      <c r="J4126" t="s">
        <v>203</v>
      </c>
      <c r="K4126" t="s">
        <v>788</v>
      </c>
      <c r="O4126">
        <v>0</v>
      </c>
      <c r="U4126" t="s">
        <v>81</v>
      </c>
    </row>
    <row r="4127" spans="1:21" x14ac:dyDescent="0.25">
      <c r="A4127" s="33">
        <v>4146</v>
      </c>
      <c r="B4127" s="24">
        <v>44279</v>
      </c>
      <c r="C4127" t="s">
        <v>39</v>
      </c>
      <c r="D4127" t="s">
        <v>41</v>
      </c>
      <c r="E4127">
        <v>2000720184</v>
      </c>
      <c r="F4127">
        <v>1800</v>
      </c>
      <c r="G4127">
        <v>80</v>
      </c>
      <c r="H4127">
        <v>0</v>
      </c>
      <c r="I4127" t="s">
        <v>198</v>
      </c>
      <c r="J4127" t="s">
        <v>745</v>
      </c>
      <c r="K4127" t="s">
        <v>746</v>
      </c>
      <c r="O4127">
        <v>0</v>
      </c>
      <c r="U4127" t="s">
        <v>81</v>
      </c>
    </row>
    <row r="4128" spans="1:21" x14ac:dyDescent="0.25">
      <c r="A4128" s="33">
        <v>4147</v>
      </c>
      <c r="B4128" s="24">
        <v>44279</v>
      </c>
      <c r="C4128" t="s">
        <v>39</v>
      </c>
      <c r="D4128" t="s">
        <v>41</v>
      </c>
      <c r="E4128">
        <v>2000720180</v>
      </c>
      <c r="F4128">
        <v>1120</v>
      </c>
      <c r="G4128">
        <v>200</v>
      </c>
      <c r="H4128">
        <v>0</v>
      </c>
      <c r="I4128" t="s">
        <v>198</v>
      </c>
      <c r="J4128" t="s">
        <v>745</v>
      </c>
      <c r="K4128" t="s">
        <v>879</v>
      </c>
      <c r="O4128">
        <v>0</v>
      </c>
      <c r="U4128" t="s">
        <v>81</v>
      </c>
    </row>
    <row r="4129" spans="1:21" x14ac:dyDescent="0.25">
      <c r="A4129" s="33">
        <v>4148</v>
      </c>
      <c r="B4129" s="24">
        <v>44279</v>
      </c>
      <c r="C4129" t="s">
        <v>39</v>
      </c>
      <c r="D4129" t="s">
        <v>41</v>
      </c>
      <c r="E4129">
        <v>2000720441</v>
      </c>
      <c r="F4129">
        <v>850</v>
      </c>
      <c r="G4129">
        <v>430</v>
      </c>
      <c r="H4129">
        <v>0</v>
      </c>
      <c r="I4129" t="s">
        <v>198</v>
      </c>
      <c r="J4129" t="s">
        <v>203</v>
      </c>
      <c r="K4129" t="s">
        <v>638</v>
      </c>
      <c r="O4129">
        <v>0</v>
      </c>
      <c r="U4129" t="s">
        <v>81</v>
      </c>
    </row>
    <row r="4130" spans="1:21" x14ac:dyDescent="0.25">
      <c r="A4130" s="33">
        <v>4149</v>
      </c>
      <c r="B4130" s="24">
        <v>44279</v>
      </c>
      <c r="C4130" t="s">
        <v>39</v>
      </c>
      <c r="D4130" t="s">
        <v>41</v>
      </c>
      <c r="E4130">
        <v>2000720851</v>
      </c>
      <c r="F4130">
        <v>1000</v>
      </c>
      <c r="G4130">
        <v>90</v>
      </c>
      <c r="H4130">
        <v>0</v>
      </c>
      <c r="I4130" t="s">
        <v>198</v>
      </c>
      <c r="J4130" t="s">
        <v>170</v>
      </c>
      <c r="K4130" t="s">
        <v>899</v>
      </c>
      <c r="O4130">
        <v>0</v>
      </c>
      <c r="U4130" t="s">
        <v>81</v>
      </c>
    </row>
    <row r="4131" spans="1:21" x14ac:dyDescent="0.25">
      <c r="A4131" s="33">
        <v>4150</v>
      </c>
      <c r="B4131" s="24">
        <v>44279</v>
      </c>
      <c r="C4131" t="s">
        <v>39</v>
      </c>
      <c r="D4131" t="s">
        <v>41</v>
      </c>
      <c r="E4131">
        <v>2000720180</v>
      </c>
      <c r="F4131">
        <v>1120</v>
      </c>
      <c r="G4131">
        <v>196</v>
      </c>
      <c r="H4131">
        <v>0</v>
      </c>
      <c r="I4131" t="s">
        <v>1065</v>
      </c>
      <c r="J4131" t="s">
        <v>745</v>
      </c>
      <c r="K4131" t="s">
        <v>879</v>
      </c>
      <c r="O4131">
        <v>0</v>
      </c>
      <c r="U4131" t="s">
        <v>81</v>
      </c>
    </row>
    <row r="4132" spans="1:21" x14ac:dyDescent="0.25">
      <c r="A4132" s="33">
        <v>4151</v>
      </c>
      <c r="B4132" s="24">
        <v>44279</v>
      </c>
      <c r="C4132" t="s">
        <v>39</v>
      </c>
      <c r="D4132" t="s">
        <v>41</v>
      </c>
      <c r="E4132">
        <v>2000714131</v>
      </c>
      <c r="F4132">
        <v>920</v>
      </c>
      <c r="G4132">
        <v>3</v>
      </c>
      <c r="H4132">
        <v>0</v>
      </c>
      <c r="I4132" t="s">
        <v>1065</v>
      </c>
      <c r="J4132" t="s">
        <v>745</v>
      </c>
      <c r="K4132" t="s">
        <v>879</v>
      </c>
      <c r="O4132">
        <v>0</v>
      </c>
      <c r="U4132" t="s">
        <v>81</v>
      </c>
    </row>
    <row r="4133" spans="1:21" x14ac:dyDescent="0.25">
      <c r="A4133" s="33">
        <v>4152</v>
      </c>
      <c r="B4133" s="24">
        <v>44279</v>
      </c>
      <c r="C4133" t="s">
        <v>39</v>
      </c>
      <c r="D4133" t="s">
        <v>41</v>
      </c>
      <c r="E4133">
        <v>2000720932</v>
      </c>
      <c r="F4133">
        <v>670</v>
      </c>
      <c r="G4133">
        <v>100</v>
      </c>
      <c r="H4133">
        <v>0</v>
      </c>
      <c r="I4133" t="s">
        <v>1065</v>
      </c>
      <c r="J4133" t="s">
        <v>195</v>
      </c>
      <c r="K4133" t="s">
        <v>818</v>
      </c>
      <c r="O4133">
        <v>0</v>
      </c>
      <c r="U4133" t="s">
        <v>81</v>
      </c>
    </row>
    <row r="4134" spans="1:21" x14ac:dyDescent="0.25">
      <c r="A4134" s="33">
        <v>4153</v>
      </c>
      <c r="B4134" s="24">
        <v>44279</v>
      </c>
      <c r="C4134" t="s">
        <v>39</v>
      </c>
      <c r="D4134" t="s">
        <v>41</v>
      </c>
      <c r="E4134">
        <v>2000720933</v>
      </c>
      <c r="F4134">
        <v>670</v>
      </c>
      <c r="G4134">
        <v>150</v>
      </c>
      <c r="H4134">
        <v>0</v>
      </c>
      <c r="I4134" t="s">
        <v>1065</v>
      </c>
      <c r="J4134" t="s">
        <v>195</v>
      </c>
      <c r="K4134" t="s">
        <v>819</v>
      </c>
      <c r="O4134">
        <v>0</v>
      </c>
      <c r="U4134" t="s">
        <v>81</v>
      </c>
    </row>
    <row r="4135" spans="1:21" x14ac:dyDescent="0.25">
      <c r="A4135" s="33">
        <v>4154</v>
      </c>
      <c r="B4135" s="24">
        <v>44279</v>
      </c>
      <c r="C4135" t="s">
        <v>39</v>
      </c>
      <c r="D4135" t="s">
        <v>41</v>
      </c>
      <c r="E4135">
        <v>2000720931</v>
      </c>
      <c r="F4135">
        <v>670</v>
      </c>
      <c r="G4135">
        <v>100</v>
      </c>
      <c r="H4135">
        <v>0</v>
      </c>
      <c r="I4135" t="s">
        <v>1065</v>
      </c>
      <c r="J4135" t="s">
        <v>195</v>
      </c>
      <c r="K4135" t="s">
        <v>820</v>
      </c>
      <c r="O4135">
        <v>0</v>
      </c>
      <c r="U4135" t="s">
        <v>81</v>
      </c>
    </row>
    <row r="4136" spans="1:21" x14ac:dyDescent="0.25">
      <c r="A4136" s="33">
        <v>4155</v>
      </c>
      <c r="B4136" s="24">
        <v>44279</v>
      </c>
      <c r="C4136" t="s">
        <v>39</v>
      </c>
      <c r="D4136" t="s">
        <v>41</v>
      </c>
      <c r="E4136">
        <v>2000720605</v>
      </c>
      <c r="F4136">
        <v>2000</v>
      </c>
      <c r="G4136">
        <v>125</v>
      </c>
      <c r="H4136">
        <v>0</v>
      </c>
      <c r="I4136" t="s">
        <v>1065</v>
      </c>
      <c r="J4136" t="s">
        <v>193</v>
      </c>
      <c r="K4136" t="s">
        <v>686</v>
      </c>
      <c r="O4136">
        <v>0</v>
      </c>
      <c r="U4136" t="s">
        <v>81</v>
      </c>
    </row>
    <row r="4137" spans="1:21" x14ac:dyDescent="0.25">
      <c r="A4137" s="33">
        <v>4156</v>
      </c>
      <c r="B4137" s="24">
        <v>44279</v>
      </c>
      <c r="C4137" t="s">
        <v>39</v>
      </c>
      <c r="D4137" t="s">
        <v>41</v>
      </c>
      <c r="E4137">
        <v>2000720844</v>
      </c>
      <c r="F4137">
        <v>7830</v>
      </c>
      <c r="G4137">
        <v>300</v>
      </c>
      <c r="H4137">
        <v>0</v>
      </c>
      <c r="I4137" t="s">
        <v>1065</v>
      </c>
      <c r="J4137" t="s">
        <v>200</v>
      </c>
      <c r="K4137" t="s">
        <v>737</v>
      </c>
      <c r="O4137">
        <v>0</v>
      </c>
      <c r="U4137" t="s">
        <v>81</v>
      </c>
    </row>
    <row r="4138" spans="1:21" x14ac:dyDescent="0.25">
      <c r="A4138" s="33">
        <v>4157</v>
      </c>
      <c r="B4138" s="24">
        <v>44279</v>
      </c>
      <c r="C4138" t="s">
        <v>39</v>
      </c>
      <c r="D4138" t="s">
        <v>41</v>
      </c>
      <c r="E4138">
        <v>2000720602</v>
      </c>
      <c r="F4138">
        <v>2000</v>
      </c>
      <c r="G4138">
        <v>150</v>
      </c>
      <c r="H4138">
        <v>0</v>
      </c>
      <c r="I4138" t="s">
        <v>1065</v>
      </c>
      <c r="J4138" t="s">
        <v>193</v>
      </c>
      <c r="K4138" t="s">
        <v>176</v>
      </c>
      <c r="O4138">
        <v>0</v>
      </c>
      <c r="U4138" t="s">
        <v>81</v>
      </c>
    </row>
    <row r="4139" spans="1:21" x14ac:dyDescent="0.25">
      <c r="A4139" s="33">
        <v>4158</v>
      </c>
      <c r="B4139" s="24">
        <v>44279</v>
      </c>
      <c r="C4139" t="s">
        <v>39</v>
      </c>
      <c r="D4139" t="s">
        <v>41</v>
      </c>
      <c r="E4139">
        <v>2000720184</v>
      </c>
      <c r="F4139">
        <v>1800</v>
      </c>
      <c r="G4139">
        <v>280</v>
      </c>
      <c r="H4139">
        <v>0</v>
      </c>
      <c r="I4139" t="s">
        <v>1065</v>
      </c>
      <c r="J4139" t="s">
        <v>745</v>
      </c>
      <c r="K4139" t="s">
        <v>746</v>
      </c>
      <c r="O4139">
        <v>0</v>
      </c>
      <c r="U4139" t="s">
        <v>81</v>
      </c>
    </row>
    <row r="4140" spans="1:21" x14ac:dyDescent="0.25">
      <c r="A4140" s="33">
        <v>4159</v>
      </c>
      <c r="B4140" s="24">
        <v>44279</v>
      </c>
      <c r="C4140" t="s">
        <v>181</v>
      </c>
      <c r="D4140" t="s">
        <v>41</v>
      </c>
      <c r="E4140">
        <v>2000720625</v>
      </c>
      <c r="F4140">
        <v>1200</v>
      </c>
      <c r="G4140">
        <v>10</v>
      </c>
      <c r="H4140">
        <v>0</v>
      </c>
      <c r="I4140" t="s">
        <v>642</v>
      </c>
      <c r="J4140" t="s">
        <v>645</v>
      </c>
      <c r="K4140" t="s">
        <v>718</v>
      </c>
      <c r="O4140">
        <v>0</v>
      </c>
      <c r="U4140" t="s">
        <v>81</v>
      </c>
    </row>
    <row r="4141" spans="1:21" x14ac:dyDescent="0.25">
      <c r="A4141" s="33">
        <v>4160</v>
      </c>
      <c r="B4141" s="24">
        <v>44279</v>
      </c>
      <c r="C4141" t="s">
        <v>181</v>
      </c>
      <c r="D4141" t="s">
        <v>41</v>
      </c>
      <c r="E4141">
        <v>2000720222</v>
      </c>
      <c r="F4141">
        <v>2100</v>
      </c>
      <c r="G4141">
        <v>40</v>
      </c>
      <c r="H4141">
        <v>0</v>
      </c>
      <c r="I4141" t="s">
        <v>642</v>
      </c>
      <c r="J4141" t="s">
        <v>172</v>
      </c>
      <c r="K4141" t="s">
        <v>173</v>
      </c>
      <c r="O4141">
        <v>0</v>
      </c>
      <c r="U4141" t="s">
        <v>81</v>
      </c>
    </row>
    <row r="4142" spans="1:21" x14ac:dyDescent="0.25">
      <c r="A4142" s="33">
        <v>4161</v>
      </c>
      <c r="B4142" s="24">
        <v>44279</v>
      </c>
      <c r="C4142" t="s">
        <v>181</v>
      </c>
      <c r="D4142" t="s">
        <v>41</v>
      </c>
      <c r="E4142">
        <v>2000720686</v>
      </c>
      <c r="F4142">
        <v>1500</v>
      </c>
      <c r="G4142">
        <v>120</v>
      </c>
      <c r="H4142">
        <v>0</v>
      </c>
      <c r="I4142" t="s">
        <v>642</v>
      </c>
      <c r="J4142" t="s">
        <v>645</v>
      </c>
      <c r="K4142" t="s">
        <v>721</v>
      </c>
      <c r="O4142">
        <v>0</v>
      </c>
      <c r="T4142" s="62"/>
      <c r="U4142" t="s">
        <v>81</v>
      </c>
    </row>
    <row r="4143" spans="1:21" x14ac:dyDescent="0.25">
      <c r="A4143" s="33">
        <v>4162</v>
      </c>
      <c r="B4143" s="24">
        <v>44279</v>
      </c>
      <c r="C4143" t="s">
        <v>181</v>
      </c>
      <c r="D4143" t="s">
        <v>41</v>
      </c>
      <c r="E4143">
        <v>2000720598</v>
      </c>
      <c r="F4143">
        <v>3400</v>
      </c>
      <c r="G4143">
        <v>230</v>
      </c>
      <c r="H4143">
        <v>0</v>
      </c>
      <c r="I4143" t="s">
        <v>642</v>
      </c>
      <c r="J4143" t="s">
        <v>172</v>
      </c>
      <c r="K4143" t="s">
        <v>173</v>
      </c>
      <c r="O4143">
        <v>0</v>
      </c>
      <c r="U4143" t="s">
        <v>81</v>
      </c>
    </row>
    <row r="4144" spans="1:21" x14ac:dyDescent="0.25">
      <c r="A4144" s="33">
        <v>4163</v>
      </c>
      <c r="B4144" s="24">
        <v>44279</v>
      </c>
      <c r="C4144" t="s">
        <v>181</v>
      </c>
      <c r="D4144" t="s">
        <v>41</v>
      </c>
      <c r="E4144">
        <v>2000720599</v>
      </c>
      <c r="F4144">
        <v>340</v>
      </c>
      <c r="G4144">
        <v>80</v>
      </c>
      <c r="H4144">
        <v>0</v>
      </c>
      <c r="I4144" t="s">
        <v>642</v>
      </c>
      <c r="J4144" t="s">
        <v>172</v>
      </c>
      <c r="K4144" t="s">
        <v>692</v>
      </c>
      <c r="O4144">
        <v>0</v>
      </c>
      <c r="U4144" t="s">
        <v>81</v>
      </c>
    </row>
    <row r="4145" spans="1:21" x14ac:dyDescent="0.25">
      <c r="A4145" s="33">
        <v>4164</v>
      </c>
      <c r="B4145" s="24">
        <v>44279</v>
      </c>
      <c r="C4145" t="s">
        <v>181</v>
      </c>
      <c r="D4145" t="s">
        <v>41</v>
      </c>
      <c r="E4145">
        <v>2000720878</v>
      </c>
      <c r="F4145">
        <v>1000</v>
      </c>
      <c r="G4145">
        <v>80</v>
      </c>
      <c r="H4145">
        <v>0</v>
      </c>
      <c r="I4145" t="s">
        <v>642</v>
      </c>
      <c r="J4145" t="s">
        <v>193</v>
      </c>
      <c r="K4145" t="s">
        <v>647</v>
      </c>
      <c r="O4145">
        <v>0</v>
      </c>
      <c r="U4145" t="s">
        <v>81</v>
      </c>
    </row>
    <row r="4146" spans="1:21" x14ac:dyDescent="0.25">
      <c r="A4146" s="33">
        <v>4165</v>
      </c>
      <c r="B4146" s="24">
        <v>44279</v>
      </c>
      <c r="C4146" t="s">
        <v>181</v>
      </c>
      <c r="D4146" t="s">
        <v>41</v>
      </c>
      <c r="E4146">
        <v>2000720858</v>
      </c>
      <c r="F4146">
        <v>600</v>
      </c>
      <c r="G4146">
        <v>70</v>
      </c>
      <c r="H4146">
        <v>0</v>
      </c>
      <c r="I4146" t="s">
        <v>194</v>
      </c>
      <c r="J4146" t="s">
        <v>174</v>
      </c>
      <c r="K4146" t="s">
        <v>792</v>
      </c>
      <c r="O4146">
        <v>0</v>
      </c>
      <c r="U4146" t="s">
        <v>81</v>
      </c>
    </row>
    <row r="4147" spans="1:21" x14ac:dyDescent="0.25">
      <c r="A4147" s="33">
        <v>4166</v>
      </c>
      <c r="B4147" s="24">
        <v>44279</v>
      </c>
      <c r="C4147" t="s">
        <v>181</v>
      </c>
      <c r="D4147" t="s">
        <v>41</v>
      </c>
      <c r="E4147">
        <v>2000720589</v>
      </c>
      <c r="F4147">
        <v>1280</v>
      </c>
      <c r="G4147">
        <v>120</v>
      </c>
      <c r="H4147">
        <v>0</v>
      </c>
      <c r="I4147" t="s">
        <v>194</v>
      </c>
      <c r="J4147" t="s">
        <v>169</v>
      </c>
      <c r="K4147" t="s">
        <v>663</v>
      </c>
      <c r="O4147">
        <v>0</v>
      </c>
      <c r="U4147" t="s">
        <v>81</v>
      </c>
    </row>
    <row r="4148" spans="1:21" x14ac:dyDescent="0.25">
      <c r="A4148" s="33">
        <v>4167</v>
      </c>
      <c r="B4148" s="24">
        <v>44279</v>
      </c>
      <c r="C4148" t="s">
        <v>181</v>
      </c>
      <c r="D4148" t="s">
        <v>41</v>
      </c>
      <c r="E4148">
        <v>2000721355</v>
      </c>
      <c r="F4148">
        <v>1200</v>
      </c>
      <c r="G4148">
        <v>80</v>
      </c>
      <c r="H4148">
        <v>0</v>
      </c>
      <c r="I4148" t="s">
        <v>194</v>
      </c>
      <c r="J4148" t="s">
        <v>687</v>
      </c>
      <c r="K4148" t="s">
        <v>1125</v>
      </c>
      <c r="O4148">
        <v>0</v>
      </c>
      <c r="U4148" t="s">
        <v>81</v>
      </c>
    </row>
    <row r="4149" spans="1:21" x14ac:dyDescent="0.25">
      <c r="A4149" s="33">
        <v>4168</v>
      </c>
      <c r="B4149" s="24">
        <v>44279</v>
      </c>
      <c r="C4149" t="s">
        <v>181</v>
      </c>
      <c r="D4149" t="s">
        <v>41</v>
      </c>
      <c r="E4149">
        <v>2000720211</v>
      </c>
      <c r="F4149">
        <v>4400</v>
      </c>
      <c r="G4149">
        <v>80</v>
      </c>
      <c r="H4149">
        <v>0</v>
      </c>
      <c r="I4149" t="s">
        <v>194</v>
      </c>
      <c r="J4149" t="s">
        <v>200</v>
      </c>
      <c r="K4149" t="s">
        <v>653</v>
      </c>
      <c r="O4149">
        <v>0</v>
      </c>
      <c r="U4149" t="s">
        <v>81</v>
      </c>
    </row>
    <row r="4150" spans="1:21" ht="30" x14ac:dyDescent="0.25">
      <c r="A4150" s="33">
        <v>4169</v>
      </c>
      <c r="B4150" s="24">
        <v>44279</v>
      </c>
      <c r="C4150" t="s">
        <v>181</v>
      </c>
      <c r="D4150" t="s">
        <v>41</v>
      </c>
      <c r="E4150">
        <v>2000719551</v>
      </c>
      <c r="F4150">
        <v>430</v>
      </c>
      <c r="G4150">
        <v>30</v>
      </c>
      <c r="H4150">
        <v>0</v>
      </c>
      <c r="I4150" t="s">
        <v>194</v>
      </c>
      <c r="J4150" t="s">
        <v>203</v>
      </c>
      <c r="K4150" t="s">
        <v>785</v>
      </c>
      <c r="O4150">
        <v>0</v>
      </c>
      <c r="T4150" s="62" t="s">
        <v>723</v>
      </c>
      <c r="U4150" t="s">
        <v>81</v>
      </c>
    </row>
    <row r="4151" spans="1:21" x14ac:dyDescent="0.25">
      <c r="A4151" s="33">
        <v>4170</v>
      </c>
      <c r="B4151" s="24">
        <v>44279</v>
      </c>
      <c r="C4151" t="s">
        <v>181</v>
      </c>
      <c r="D4151" t="s">
        <v>41</v>
      </c>
      <c r="E4151">
        <v>2000720617</v>
      </c>
      <c r="F4151">
        <v>390</v>
      </c>
      <c r="G4151">
        <v>90</v>
      </c>
      <c r="H4151">
        <v>0</v>
      </c>
      <c r="I4151" t="s">
        <v>194</v>
      </c>
      <c r="J4151" t="s">
        <v>203</v>
      </c>
      <c r="K4151" t="s">
        <v>638</v>
      </c>
      <c r="O4151">
        <v>0</v>
      </c>
      <c r="U4151" t="s">
        <v>81</v>
      </c>
    </row>
    <row r="4152" spans="1:21" x14ac:dyDescent="0.25">
      <c r="A4152" s="33">
        <v>4171</v>
      </c>
      <c r="B4152" s="24">
        <v>44279</v>
      </c>
      <c r="C4152" t="s">
        <v>181</v>
      </c>
      <c r="D4152" t="s">
        <v>41</v>
      </c>
      <c r="E4152">
        <v>2000720686</v>
      </c>
      <c r="F4152">
        <v>1500</v>
      </c>
      <c r="G4152">
        <v>40</v>
      </c>
      <c r="H4152">
        <v>0</v>
      </c>
      <c r="I4152" t="s">
        <v>194</v>
      </c>
      <c r="J4152" t="s">
        <v>645</v>
      </c>
      <c r="K4152" t="s">
        <v>721</v>
      </c>
      <c r="O4152">
        <v>0</v>
      </c>
      <c r="U4152" t="s">
        <v>81</v>
      </c>
    </row>
    <row r="4153" spans="1:21" ht="30" x14ac:dyDescent="0.25">
      <c r="A4153" s="33">
        <v>4172</v>
      </c>
      <c r="B4153" s="24">
        <v>44279</v>
      </c>
      <c r="C4153" t="s">
        <v>181</v>
      </c>
      <c r="D4153" t="s">
        <v>41</v>
      </c>
      <c r="E4153">
        <v>2000720632</v>
      </c>
      <c r="F4153">
        <v>984</v>
      </c>
      <c r="G4153">
        <v>90</v>
      </c>
      <c r="H4153">
        <v>0</v>
      </c>
      <c r="I4153" t="s">
        <v>194</v>
      </c>
      <c r="J4153" t="s">
        <v>174</v>
      </c>
      <c r="K4153" t="s">
        <v>774</v>
      </c>
      <c r="O4153">
        <v>0</v>
      </c>
      <c r="T4153" s="62" t="s">
        <v>723</v>
      </c>
      <c r="U4153" t="s">
        <v>81</v>
      </c>
    </row>
    <row r="4154" spans="1:21" x14ac:dyDescent="0.25">
      <c r="A4154" s="33">
        <v>4173</v>
      </c>
      <c r="B4154" s="24">
        <v>44279</v>
      </c>
      <c r="C4154" t="s">
        <v>181</v>
      </c>
      <c r="D4154" t="s">
        <v>41</v>
      </c>
      <c r="E4154">
        <v>2000720858</v>
      </c>
      <c r="F4154">
        <v>600</v>
      </c>
      <c r="G4154">
        <v>516</v>
      </c>
      <c r="H4154">
        <v>0</v>
      </c>
      <c r="I4154" t="s">
        <v>666</v>
      </c>
      <c r="J4154" t="s">
        <v>174</v>
      </c>
      <c r="K4154" t="s">
        <v>792</v>
      </c>
      <c r="O4154">
        <v>0</v>
      </c>
      <c r="U4154" t="s">
        <v>81</v>
      </c>
    </row>
    <row r="4155" spans="1:21" x14ac:dyDescent="0.25">
      <c r="A4155" s="33">
        <v>4174</v>
      </c>
      <c r="B4155" s="24">
        <v>44279</v>
      </c>
      <c r="C4155" t="s">
        <v>181</v>
      </c>
      <c r="D4155" t="s">
        <v>41</v>
      </c>
      <c r="E4155">
        <v>2000720856</v>
      </c>
      <c r="F4155">
        <v>1320</v>
      </c>
      <c r="G4155">
        <v>32</v>
      </c>
      <c r="H4155">
        <v>0</v>
      </c>
      <c r="I4155" t="s">
        <v>666</v>
      </c>
      <c r="J4155" t="s">
        <v>174</v>
      </c>
      <c r="K4155" t="s">
        <v>177</v>
      </c>
      <c r="O4155">
        <v>0</v>
      </c>
      <c r="U4155" t="s">
        <v>81</v>
      </c>
    </row>
    <row r="4156" spans="1:21" x14ac:dyDescent="0.25">
      <c r="A4156" s="33">
        <v>4175</v>
      </c>
      <c r="B4156" s="24">
        <v>44279</v>
      </c>
      <c r="C4156" t="s">
        <v>181</v>
      </c>
      <c r="D4156" t="s">
        <v>41</v>
      </c>
      <c r="E4156">
        <v>2000720860</v>
      </c>
      <c r="F4156">
        <v>1260</v>
      </c>
      <c r="G4156">
        <v>140</v>
      </c>
      <c r="H4156">
        <v>0</v>
      </c>
      <c r="I4156" t="s">
        <v>666</v>
      </c>
      <c r="J4156" t="s">
        <v>174</v>
      </c>
      <c r="K4156" t="s">
        <v>177</v>
      </c>
      <c r="O4156">
        <v>0</v>
      </c>
      <c r="U4156" t="s">
        <v>81</v>
      </c>
    </row>
    <row r="4157" spans="1:21" x14ac:dyDescent="0.25">
      <c r="A4157" s="33">
        <v>4176</v>
      </c>
      <c r="B4157" s="24">
        <v>44279</v>
      </c>
      <c r="C4157" t="s">
        <v>181</v>
      </c>
      <c r="D4157" t="s">
        <v>41</v>
      </c>
      <c r="E4157">
        <v>2000720851</v>
      </c>
      <c r="F4157">
        <v>1000</v>
      </c>
      <c r="G4157">
        <v>182</v>
      </c>
      <c r="H4157">
        <v>0</v>
      </c>
      <c r="I4157" t="s">
        <v>661</v>
      </c>
      <c r="J4157" t="s">
        <v>170</v>
      </c>
      <c r="K4157" t="s">
        <v>899</v>
      </c>
      <c r="O4157">
        <v>0</v>
      </c>
      <c r="U4157" t="s">
        <v>81</v>
      </c>
    </row>
    <row r="4158" spans="1:21" x14ac:dyDescent="0.25">
      <c r="A4158" s="33">
        <v>4177</v>
      </c>
      <c r="B4158" s="24">
        <v>44279</v>
      </c>
      <c r="C4158" t="s">
        <v>181</v>
      </c>
      <c r="D4158" t="s">
        <v>41</v>
      </c>
      <c r="E4158">
        <v>2000720632</v>
      </c>
      <c r="F4158">
        <v>984</v>
      </c>
      <c r="G4158">
        <v>525</v>
      </c>
      <c r="H4158">
        <v>0</v>
      </c>
      <c r="I4158" t="s">
        <v>661</v>
      </c>
      <c r="J4158" t="s">
        <v>174</v>
      </c>
      <c r="K4158" t="s">
        <v>774</v>
      </c>
      <c r="O4158">
        <v>0</v>
      </c>
      <c r="U4158" t="s">
        <v>81</v>
      </c>
    </row>
    <row r="4159" spans="1:21" x14ac:dyDescent="0.25">
      <c r="A4159" s="33">
        <v>4178</v>
      </c>
      <c r="B4159" s="24">
        <v>44279</v>
      </c>
      <c r="C4159" t="s">
        <v>181</v>
      </c>
      <c r="D4159" t="s">
        <v>41</v>
      </c>
      <c r="E4159">
        <v>2000720670</v>
      </c>
      <c r="F4159">
        <v>3200</v>
      </c>
      <c r="G4159">
        <v>800</v>
      </c>
      <c r="H4159">
        <v>0</v>
      </c>
      <c r="I4159" t="s">
        <v>201</v>
      </c>
      <c r="J4159" t="s">
        <v>203</v>
      </c>
      <c r="K4159" t="s">
        <v>788</v>
      </c>
      <c r="O4159">
        <v>0</v>
      </c>
      <c r="U4159" t="s">
        <v>81</v>
      </c>
    </row>
    <row r="4160" spans="1:21" x14ac:dyDescent="0.25">
      <c r="A4160" s="33">
        <v>4179</v>
      </c>
      <c r="B4160" s="24">
        <v>44279</v>
      </c>
      <c r="C4160" t="s">
        <v>181</v>
      </c>
      <c r="D4160" t="s">
        <v>41</v>
      </c>
      <c r="E4160">
        <v>2000720221</v>
      </c>
      <c r="F4160">
        <v>2100</v>
      </c>
      <c r="G4160">
        <v>200</v>
      </c>
      <c r="H4160">
        <v>0</v>
      </c>
      <c r="I4160" t="s">
        <v>201</v>
      </c>
      <c r="J4160" t="s">
        <v>172</v>
      </c>
      <c r="K4160" t="s">
        <v>725</v>
      </c>
      <c r="O4160">
        <v>0</v>
      </c>
      <c r="U4160" t="s">
        <v>81</v>
      </c>
    </row>
    <row r="4161" spans="1:21" x14ac:dyDescent="0.25">
      <c r="A4161" s="33">
        <v>4180</v>
      </c>
      <c r="B4161" s="24">
        <v>44279</v>
      </c>
      <c r="C4161" t="s">
        <v>181</v>
      </c>
      <c r="D4161" t="s">
        <v>41</v>
      </c>
      <c r="E4161">
        <v>2000719739</v>
      </c>
      <c r="F4161">
        <v>3600</v>
      </c>
      <c r="G4161">
        <v>240</v>
      </c>
      <c r="H4161">
        <v>0</v>
      </c>
      <c r="I4161" t="s">
        <v>201</v>
      </c>
      <c r="J4161" t="s">
        <v>169</v>
      </c>
      <c r="K4161" t="s">
        <v>652</v>
      </c>
      <c r="O4161">
        <v>0</v>
      </c>
      <c r="U4161" t="s">
        <v>81</v>
      </c>
    </row>
    <row r="4162" spans="1:21" x14ac:dyDescent="0.25">
      <c r="A4162" s="33">
        <v>4181</v>
      </c>
      <c r="B4162" s="24">
        <v>44279</v>
      </c>
      <c r="C4162" t="s">
        <v>181</v>
      </c>
      <c r="D4162" t="s">
        <v>41</v>
      </c>
      <c r="E4162">
        <v>2000719540</v>
      </c>
      <c r="F4162">
        <v>1050</v>
      </c>
      <c r="G4162">
        <v>120</v>
      </c>
      <c r="H4162">
        <v>0</v>
      </c>
      <c r="I4162" t="s">
        <v>201</v>
      </c>
      <c r="J4162" t="s">
        <v>193</v>
      </c>
      <c r="K4162" t="s">
        <v>830</v>
      </c>
      <c r="O4162">
        <v>0</v>
      </c>
      <c r="U4162" t="s">
        <v>81</v>
      </c>
    </row>
    <row r="4163" spans="1:21" x14ac:dyDescent="0.25">
      <c r="A4163" s="33">
        <v>4182</v>
      </c>
      <c r="B4163" s="24">
        <v>44279</v>
      </c>
      <c r="C4163" t="s">
        <v>181</v>
      </c>
      <c r="D4163" t="s">
        <v>41</v>
      </c>
      <c r="E4163">
        <v>2000720687</v>
      </c>
      <c r="F4163">
        <v>150</v>
      </c>
      <c r="G4163">
        <v>40</v>
      </c>
      <c r="H4163">
        <v>0</v>
      </c>
      <c r="I4163" t="s">
        <v>201</v>
      </c>
      <c r="J4163" t="s">
        <v>202</v>
      </c>
      <c r="K4163" t="s">
        <v>830</v>
      </c>
      <c r="O4163">
        <v>0</v>
      </c>
      <c r="U4163" t="s">
        <v>81</v>
      </c>
    </row>
    <row r="4164" spans="1:21" x14ac:dyDescent="0.25">
      <c r="A4164" s="33">
        <v>4183</v>
      </c>
      <c r="B4164" s="24">
        <v>44279</v>
      </c>
      <c r="C4164" t="s">
        <v>181</v>
      </c>
      <c r="D4164" t="s">
        <v>41</v>
      </c>
      <c r="E4164">
        <v>2000720688</v>
      </c>
      <c r="F4164">
        <v>150</v>
      </c>
      <c r="G4164">
        <v>50</v>
      </c>
      <c r="H4164">
        <v>0</v>
      </c>
      <c r="I4164" t="s">
        <v>201</v>
      </c>
      <c r="J4164" t="s">
        <v>202</v>
      </c>
      <c r="K4164" t="s">
        <v>831</v>
      </c>
      <c r="O4164">
        <v>0</v>
      </c>
      <c r="U4164" t="s">
        <v>81</v>
      </c>
    </row>
    <row r="4165" spans="1:21" x14ac:dyDescent="0.25">
      <c r="A4165" s="33">
        <v>4184</v>
      </c>
      <c r="B4165" s="24">
        <v>44279</v>
      </c>
      <c r="C4165" t="s">
        <v>181</v>
      </c>
      <c r="D4165" t="s">
        <v>41</v>
      </c>
      <c r="E4165">
        <v>2000720032</v>
      </c>
      <c r="F4165">
        <v>3978</v>
      </c>
      <c r="G4165">
        <v>200</v>
      </c>
      <c r="H4165">
        <v>0</v>
      </c>
      <c r="I4165" t="s">
        <v>201</v>
      </c>
      <c r="J4165" t="s">
        <v>645</v>
      </c>
      <c r="K4165" t="s">
        <v>659</v>
      </c>
      <c r="O4165">
        <v>0</v>
      </c>
      <c r="U4165" t="s">
        <v>81</v>
      </c>
    </row>
    <row r="4166" spans="1:21" x14ac:dyDescent="0.25">
      <c r="A4166" s="33">
        <v>4185</v>
      </c>
      <c r="B4166" s="24">
        <v>44279</v>
      </c>
      <c r="C4166" t="s">
        <v>181</v>
      </c>
      <c r="D4166" t="s">
        <v>41</v>
      </c>
      <c r="E4166">
        <v>2000720689</v>
      </c>
      <c r="F4166">
        <v>150</v>
      </c>
      <c r="G4166">
        <v>20</v>
      </c>
      <c r="H4166">
        <v>0</v>
      </c>
      <c r="I4166" t="s">
        <v>201</v>
      </c>
      <c r="J4166" t="s">
        <v>202</v>
      </c>
      <c r="K4166" t="s">
        <v>832</v>
      </c>
      <c r="O4166">
        <v>0</v>
      </c>
      <c r="U4166" t="s">
        <v>81</v>
      </c>
    </row>
    <row r="4167" spans="1:21" x14ac:dyDescent="0.25">
      <c r="A4167" s="33">
        <v>4186</v>
      </c>
      <c r="B4167" s="24">
        <v>44279</v>
      </c>
      <c r="C4167" t="s">
        <v>181</v>
      </c>
      <c r="D4167" t="s">
        <v>41</v>
      </c>
      <c r="E4167">
        <v>2000720184</v>
      </c>
      <c r="F4167">
        <v>1800</v>
      </c>
      <c r="G4167">
        <v>160</v>
      </c>
      <c r="H4167">
        <v>0</v>
      </c>
      <c r="I4167" t="s">
        <v>201</v>
      </c>
      <c r="J4167" t="s">
        <v>745</v>
      </c>
      <c r="K4167" t="s">
        <v>929</v>
      </c>
      <c r="O4167">
        <v>0</v>
      </c>
      <c r="U4167" t="s">
        <v>81</v>
      </c>
    </row>
    <row r="4168" spans="1:21" x14ac:dyDescent="0.25">
      <c r="A4168" s="33">
        <v>4187</v>
      </c>
      <c r="B4168" s="24">
        <v>44279</v>
      </c>
      <c r="C4168" t="s">
        <v>181</v>
      </c>
      <c r="D4168" t="s">
        <v>41</v>
      </c>
      <c r="E4168">
        <v>2000720603</v>
      </c>
      <c r="F4168">
        <v>2000</v>
      </c>
      <c r="G4168">
        <v>150</v>
      </c>
      <c r="H4168">
        <v>0</v>
      </c>
      <c r="I4168" t="s">
        <v>201</v>
      </c>
      <c r="J4168" t="s">
        <v>193</v>
      </c>
      <c r="K4168" t="s">
        <v>683</v>
      </c>
      <c r="O4168">
        <v>0</v>
      </c>
      <c r="U4168" t="s">
        <v>81</v>
      </c>
    </row>
    <row r="4169" spans="1:21" x14ac:dyDescent="0.25">
      <c r="A4169" s="33">
        <v>4188</v>
      </c>
      <c r="B4169" s="24">
        <v>44279</v>
      </c>
      <c r="C4169" t="s">
        <v>181</v>
      </c>
      <c r="D4169" t="s">
        <v>41</v>
      </c>
      <c r="E4169">
        <v>2000720596</v>
      </c>
      <c r="F4169">
        <v>340</v>
      </c>
      <c r="G4169">
        <v>100</v>
      </c>
      <c r="H4169">
        <v>0</v>
      </c>
      <c r="I4169" t="s">
        <v>201</v>
      </c>
      <c r="J4169" t="s">
        <v>172</v>
      </c>
      <c r="K4169" t="s">
        <v>725</v>
      </c>
      <c r="O4169">
        <v>0</v>
      </c>
      <c r="U4169" t="s">
        <v>81</v>
      </c>
    </row>
    <row r="4170" spans="1:21" x14ac:dyDescent="0.25">
      <c r="A4170" s="33">
        <v>4189</v>
      </c>
      <c r="B4170" s="24">
        <v>44279</v>
      </c>
      <c r="C4170" t="s">
        <v>181</v>
      </c>
      <c r="D4170" t="s">
        <v>41</v>
      </c>
      <c r="E4170">
        <v>2000720597</v>
      </c>
      <c r="F4170">
        <v>3400</v>
      </c>
      <c r="G4170">
        <v>200</v>
      </c>
      <c r="H4170">
        <v>0</v>
      </c>
      <c r="I4170" t="s">
        <v>201</v>
      </c>
      <c r="J4170" t="s">
        <v>172</v>
      </c>
      <c r="K4170" t="s">
        <v>725</v>
      </c>
      <c r="O4170">
        <v>0</v>
      </c>
      <c r="U4170" t="s">
        <v>81</v>
      </c>
    </row>
    <row r="4171" spans="1:21" x14ac:dyDescent="0.25">
      <c r="A4171" s="33">
        <v>4190</v>
      </c>
      <c r="B4171" s="24">
        <v>44279</v>
      </c>
      <c r="C4171" t="s">
        <v>181</v>
      </c>
      <c r="D4171" t="s">
        <v>41</v>
      </c>
      <c r="E4171">
        <v>2000719860</v>
      </c>
      <c r="F4171">
        <v>2000</v>
      </c>
      <c r="G4171">
        <v>160</v>
      </c>
      <c r="H4171">
        <v>0</v>
      </c>
      <c r="I4171" t="s">
        <v>201</v>
      </c>
      <c r="J4171" t="s">
        <v>193</v>
      </c>
      <c r="K4171" t="s">
        <v>650</v>
      </c>
      <c r="O4171">
        <v>0</v>
      </c>
      <c r="U4171" t="s">
        <v>81</v>
      </c>
    </row>
    <row r="4172" spans="1:21" x14ac:dyDescent="0.25">
      <c r="A4172" s="33">
        <v>4191</v>
      </c>
      <c r="B4172" s="24">
        <v>44279</v>
      </c>
      <c r="C4172" t="s">
        <v>181</v>
      </c>
      <c r="D4172" t="s">
        <v>41</v>
      </c>
      <c r="E4172">
        <v>2000720198</v>
      </c>
      <c r="F4172">
        <v>240</v>
      </c>
      <c r="G4172">
        <v>118</v>
      </c>
      <c r="H4172">
        <v>0</v>
      </c>
      <c r="I4172" t="s">
        <v>178</v>
      </c>
      <c r="J4172" t="s">
        <v>169</v>
      </c>
      <c r="K4172" t="s">
        <v>852</v>
      </c>
      <c r="O4172">
        <v>0</v>
      </c>
      <c r="U4172" t="s">
        <v>81</v>
      </c>
    </row>
    <row r="4173" spans="1:21" x14ac:dyDescent="0.25">
      <c r="A4173" s="33">
        <v>4192</v>
      </c>
      <c r="B4173" s="24">
        <v>44279</v>
      </c>
      <c r="C4173" t="s">
        <v>181</v>
      </c>
      <c r="D4173" t="s">
        <v>41</v>
      </c>
      <c r="E4173">
        <v>2000720184</v>
      </c>
      <c r="F4173">
        <v>1800</v>
      </c>
      <c r="G4173">
        <v>320</v>
      </c>
      <c r="H4173">
        <v>0</v>
      </c>
      <c r="I4173" t="s">
        <v>178</v>
      </c>
      <c r="J4173" t="s">
        <v>745</v>
      </c>
      <c r="K4173" t="s">
        <v>746</v>
      </c>
      <c r="O4173">
        <v>0</v>
      </c>
      <c r="U4173" t="s">
        <v>81</v>
      </c>
    </row>
    <row r="4174" spans="1:21" x14ac:dyDescent="0.25">
      <c r="A4174" s="33">
        <v>4193</v>
      </c>
      <c r="B4174" s="24">
        <v>44279</v>
      </c>
      <c r="C4174" t="s">
        <v>181</v>
      </c>
      <c r="D4174" t="s">
        <v>41</v>
      </c>
      <c r="E4174">
        <v>2000719551</v>
      </c>
      <c r="F4174">
        <v>430</v>
      </c>
      <c r="G4174">
        <v>141</v>
      </c>
      <c r="H4174">
        <v>0</v>
      </c>
      <c r="I4174" t="s">
        <v>178</v>
      </c>
      <c r="J4174" t="s">
        <v>203</v>
      </c>
      <c r="K4174" t="s">
        <v>785</v>
      </c>
      <c r="O4174">
        <v>0</v>
      </c>
      <c r="U4174" t="s">
        <v>81</v>
      </c>
    </row>
    <row r="4175" spans="1:21" x14ac:dyDescent="0.25">
      <c r="A4175" s="33">
        <v>4194</v>
      </c>
      <c r="B4175" s="24">
        <v>44279</v>
      </c>
      <c r="C4175" t="s">
        <v>181</v>
      </c>
      <c r="D4175" t="s">
        <v>41</v>
      </c>
      <c r="E4175">
        <v>2000720616</v>
      </c>
      <c r="F4175">
        <v>600</v>
      </c>
      <c r="G4175">
        <v>120</v>
      </c>
      <c r="H4175">
        <v>0</v>
      </c>
      <c r="I4175" t="s">
        <v>178</v>
      </c>
      <c r="J4175" t="s">
        <v>203</v>
      </c>
      <c r="K4175" t="s">
        <v>891</v>
      </c>
      <c r="O4175">
        <v>0</v>
      </c>
      <c r="U4175" t="s">
        <v>81</v>
      </c>
    </row>
    <row r="4176" spans="1:21" x14ac:dyDescent="0.25">
      <c r="A4176" s="33">
        <v>4195</v>
      </c>
      <c r="B4176" s="24">
        <v>44279</v>
      </c>
      <c r="C4176" t="s">
        <v>181</v>
      </c>
      <c r="D4176" t="s">
        <v>41</v>
      </c>
      <c r="E4176">
        <v>2000720851</v>
      </c>
      <c r="F4176">
        <v>1000</v>
      </c>
      <c r="G4176">
        <v>90</v>
      </c>
      <c r="H4176">
        <v>0</v>
      </c>
      <c r="I4176" t="s">
        <v>180</v>
      </c>
      <c r="J4176" t="s">
        <v>170</v>
      </c>
      <c r="K4176" t="s">
        <v>899</v>
      </c>
      <c r="O4176">
        <v>0</v>
      </c>
      <c r="U4176" t="s">
        <v>81</v>
      </c>
    </row>
    <row r="4177" spans="1:21" x14ac:dyDescent="0.25">
      <c r="A4177" s="33">
        <v>4196</v>
      </c>
      <c r="B4177" s="24">
        <v>44279</v>
      </c>
      <c r="C4177" t="s">
        <v>181</v>
      </c>
      <c r="D4177" t="s">
        <v>41</v>
      </c>
      <c r="E4177">
        <v>2000720632</v>
      </c>
      <c r="F4177">
        <v>984</v>
      </c>
      <c r="G4177">
        <v>90</v>
      </c>
      <c r="H4177">
        <v>0</v>
      </c>
      <c r="I4177" t="s">
        <v>180</v>
      </c>
      <c r="J4177" t="s">
        <v>174</v>
      </c>
      <c r="K4177" t="s">
        <v>774</v>
      </c>
      <c r="O4177">
        <v>0</v>
      </c>
      <c r="U4177" t="s">
        <v>81</v>
      </c>
    </row>
    <row r="4178" spans="1:21" x14ac:dyDescent="0.25">
      <c r="A4178" s="33">
        <v>4197</v>
      </c>
      <c r="B4178" s="24">
        <v>44279</v>
      </c>
      <c r="C4178" t="s">
        <v>181</v>
      </c>
      <c r="D4178" t="s">
        <v>41</v>
      </c>
      <c r="E4178">
        <v>2000719354</v>
      </c>
      <c r="F4178">
        <v>1200</v>
      </c>
      <c r="G4178">
        <v>240</v>
      </c>
      <c r="H4178">
        <v>0</v>
      </c>
      <c r="I4178" t="s">
        <v>180</v>
      </c>
      <c r="J4178" t="s">
        <v>203</v>
      </c>
      <c r="K4178" t="s">
        <v>640</v>
      </c>
      <c r="O4178">
        <v>0</v>
      </c>
      <c r="U4178" t="s">
        <v>81</v>
      </c>
    </row>
    <row r="4179" spans="1:21" x14ac:dyDescent="0.25">
      <c r="A4179" s="33">
        <v>4198</v>
      </c>
      <c r="B4179" s="24">
        <v>44279</v>
      </c>
      <c r="C4179" t="s">
        <v>181</v>
      </c>
      <c r="D4179" t="s">
        <v>51</v>
      </c>
      <c r="E4179">
        <v>2000720166</v>
      </c>
      <c r="F4179">
        <v>620</v>
      </c>
      <c r="G4179">
        <v>280</v>
      </c>
      <c r="H4179">
        <v>0</v>
      </c>
      <c r="I4179" t="s">
        <v>168</v>
      </c>
      <c r="J4179" t="s">
        <v>676</v>
      </c>
      <c r="K4179" t="s">
        <v>874</v>
      </c>
      <c r="O4179">
        <v>0</v>
      </c>
      <c r="U4179" t="s">
        <v>81</v>
      </c>
    </row>
    <row r="4180" spans="1:21" x14ac:dyDescent="0.25">
      <c r="A4180" s="33">
        <v>4199</v>
      </c>
      <c r="B4180" s="24">
        <v>44279</v>
      </c>
      <c r="C4180" t="s">
        <v>181</v>
      </c>
      <c r="D4180" t="s">
        <v>51</v>
      </c>
      <c r="E4180">
        <v>2000720502</v>
      </c>
      <c r="F4180">
        <v>650</v>
      </c>
      <c r="G4180">
        <v>70</v>
      </c>
      <c r="H4180">
        <v>0</v>
      </c>
      <c r="I4180" t="s">
        <v>168</v>
      </c>
      <c r="J4180" t="s">
        <v>667</v>
      </c>
      <c r="K4180" t="s">
        <v>671</v>
      </c>
      <c r="O4180">
        <v>0</v>
      </c>
      <c r="U4180" t="s">
        <v>81</v>
      </c>
    </row>
    <row r="4181" spans="1:21" x14ac:dyDescent="0.25">
      <c r="A4181" s="33">
        <v>4200</v>
      </c>
      <c r="B4181" s="24">
        <v>44279</v>
      </c>
      <c r="C4181" t="s">
        <v>181</v>
      </c>
      <c r="D4181" t="s">
        <v>51</v>
      </c>
      <c r="E4181">
        <v>2000720503</v>
      </c>
      <c r="F4181">
        <v>650</v>
      </c>
      <c r="G4181">
        <v>105</v>
      </c>
      <c r="H4181">
        <v>0</v>
      </c>
      <c r="I4181" t="s">
        <v>168</v>
      </c>
      <c r="J4181" t="s">
        <v>667</v>
      </c>
      <c r="K4181" t="s">
        <v>671</v>
      </c>
      <c r="O4181">
        <v>0</v>
      </c>
      <c r="U4181" t="s">
        <v>81</v>
      </c>
    </row>
    <row r="4182" spans="1:21" x14ac:dyDescent="0.25">
      <c r="A4182" s="33">
        <v>4201</v>
      </c>
      <c r="B4182" s="24">
        <v>44279</v>
      </c>
      <c r="C4182" t="s">
        <v>181</v>
      </c>
      <c r="D4182" t="s">
        <v>51</v>
      </c>
      <c r="E4182">
        <v>2000719508</v>
      </c>
      <c r="F4182">
        <v>450</v>
      </c>
      <c r="G4182">
        <v>105</v>
      </c>
      <c r="H4182">
        <v>0</v>
      </c>
      <c r="I4182" t="s">
        <v>168</v>
      </c>
      <c r="J4182" t="s">
        <v>709</v>
      </c>
      <c r="K4182" t="s">
        <v>743</v>
      </c>
      <c r="O4182">
        <v>0</v>
      </c>
      <c r="U4182" t="s">
        <v>81</v>
      </c>
    </row>
    <row r="4183" spans="1:21" x14ac:dyDescent="0.25">
      <c r="A4183" s="33">
        <v>4202</v>
      </c>
      <c r="B4183" s="24">
        <v>44279</v>
      </c>
      <c r="C4183" t="s">
        <v>181</v>
      </c>
      <c r="D4183" t="s">
        <v>51</v>
      </c>
      <c r="E4183">
        <v>2000719509</v>
      </c>
      <c r="F4183">
        <v>450</v>
      </c>
      <c r="G4183">
        <v>105</v>
      </c>
      <c r="H4183">
        <v>0</v>
      </c>
      <c r="I4183" t="s">
        <v>168</v>
      </c>
      <c r="J4183" t="s">
        <v>709</v>
      </c>
      <c r="K4183" t="s">
        <v>743</v>
      </c>
      <c r="O4183">
        <v>0</v>
      </c>
      <c r="U4183" t="s">
        <v>81</v>
      </c>
    </row>
    <row r="4184" spans="1:21" x14ac:dyDescent="0.25">
      <c r="A4184" s="33">
        <v>4203</v>
      </c>
      <c r="B4184" s="24">
        <v>44279</v>
      </c>
      <c r="C4184" t="s">
        <v>181</v>
      </c>
      <c r="D4184" t="s">
        <v>51</v>
      </c>
      <c r="E4184">
        <v>2000721070</v>
      </c>
      <c r="F4184">
        <v>140</v>
      </c>
      <c r="G4184">
        <v>60</v>
      </c>
      <c r="H4184">
        <v>0</v>
      </c>
      <c r="I4184" t="s">
        <v>168</v>
      </c>
      <c r="J4184" t="s">
        <v>669</v>
      </c>
      <c r="K4184" t="s">
        <v>670</v>
      </c>
      <c r="O4184">
        <v>0</v>
      </c>
      <c r="U4184" t="s">
        <v>81</v>
      </c>
    </row>
    <row r="4185" spans="1:21" x14ac:dyDescent="0.25">
      <c r="A4185" s="33">
        <v>4204</v>
      </c>
      <c r="B4185" s="24">
        <v>44280</v>
      </c>
      <c r="C4185" t="s">
        <v>39</v>
      </c>
      <c r="D4185" t="s">
        <v>51</v>
      </c>
      <c r="E4185">
        <v>2000720511</v>
      </c>
      <c r="F4185">
        <v>620</v>
      </c>
      <c r="G4185">
        <v>620</v>
      </c>
      <c r="H4185">
        <v>0</v>
      </c>
      <c r="I4185" t="s">
        <v>706</v>
      </c>
      <c r="J4185" t="s">
        <v>678</v>
      </c>
      <c r="K4185" t="s">
        <v>679</v>
      </c>
      <c r="O4185">
        <v>0</v>
      </c>
      <c r="U4185" t="s">
        <v>81</v>
      </c>
    </row>
    <row r="4186" spans="1:21" x14ac:dyDescent="0.25">
      <c r="A4186" s="33">
        <v>4205</v>
      </c>
      <c r="B4186" s="24">
        <v>44280</v>
      </c>
      <c r="C4186" t="s">
        <v>39</v>
      </c>
      <c r="D4186" t="s">
        <v>51</v>
      </c>
      <c r="E4186">
        <v>2000721070</v>
      </c>
      <c r="F4186">
        <v>140</v>
      </c>
      <c r="G4186">
        <v>80</v>
      </c>
      <c r="H4186">
        <v>0</v>
      </c>
      <c r="I4186" t="s">
        <v>706</v>
      </c>
      <c r="J4186" t="s">
        <v>669</v>
      </c>
      <c r="K4186" t="s">
        <v>670</v>
      </c>
      <c r="O4186">
        <v>0</v>
      </c>
      <c r="U4186" t="s">
        <v>81</v>
      </c>
    </row>
    <row r="4187" spans="1:21" x14ac:dyDescent="0.25">
      <c r="A4187" s="33">
        <v>4206</v>
      </c>
      <c r="B4187" s="24">
        <v>44280</v>
      </c>
      <c r="C4187" t="s">
        <v>39</v>
      </c>
      <c r="D4187" t="s">
        <v>51</v>
      </c>
      <c r="E4187">
        <v>2000716866</v>
      </c>
      <c r="F4187">
        <v>90</v>
      </c>
      <c r="G4187">
        <v>4</v>
      </c>
      <c r="H4187">
        <v>0</v>
      </c>
      <c r="I4187" t="s">
        <v>706</v>
      </c>
      <c r="J4187" t="s">
        <v>669</v>
      </c>
      <c r="K4187" t="s">
        <v>810</v>
      </c>
      <c r="O4187">
        <v>0</v>
      </c>
      <c r="U4187" t="s">
        <v>81</v>
      </c>
    </row>
    <row r="4188" spans="1:21" x14ac:dyDescent="0.25">
      <c r="A4188" s="33">
        <v>4207</v>
      </c>
      <c r="B4188" s="24">
        <v>44280</v>
      </c>
      <c r="C4188" t="s">
        <v>39</v>
      </c>
      <c r="D4188" t="s">
        <v>51</v>
      </c>
      <c r="E4188">
        <v>2000720166</v>
      </c>
      <c r="F4188">
        <v>620</v>
      </c>
      <c r="G4188">
        <v>30</v>
      </c>
      <c r="H4188">
        <v>0</v>
      </c>
      <c r="I4188" t="s">
        <v>706</v>
      </c>
      <c r="J4188" t="s">
        <v>676</v>
      </c>
      <c r="K4188" t="s">
        <v>874</v>
      </c>
      <c r="O4188">
        <v>0</v>
      </c>
      <c r="U4188" t="s">
        <v>81</v>
      </c>
    </row>
    <row r="4189" spans="1:21" x14ac:dyDescent="0.25">
      <c r="A4189" s="33">
        <v>4208</v>
      </c>
      <c r="B4189" s="24">
        <v>44280</v>
      </c>
      <c r="C4189" t="s">
        <v>39</v>
      </c>
      <c r="D4189" t="s">
        <v>51</v>
      </c>
      <c r="E4189">
        <v>2000721071</v>
      </c>
      <c r="F4189">
        <v>620</v>
      </c>
      <c r="G4189">
        <v>210</v>
      </c>
      <c r="H4189">
        <v>0</v>
      </c>
      <c r="I4189" t="s">
        <v>706</v>
      </c>
      <c r="J4189" t="s">
        <v>676</v>
      </c>
      <c r="K4189" t="s">
        <v>677</v>
      </c>
      <c r="O4189">
        <v>0</v>
      </c>
      <c r="U4189" t="s">
        <v>81</v>
      </c>
    </row>
    <row r="4190" spans="1:21" x14ac:dyDescent="0.25">
      <c r="A4190" s="33">
        <v>4209</v>
      </c>
      <c r="B4190" s="24">
        <v>44280</v>
      </c>
      <c r="C4190" t="s">
        <v>39</v>
      </c>
      <c r="D4190" t="s">
        <v>51</v>
      </c>
      <c r="E4190">
        <v>2000720219</v>
      </c>
      <c r="F4190">
        <v>350</v>
      </c>
      <c r="G4190">
        <v>40</v>
      </c>
      <c r="H4190">
        <v>0</v>
      </c>
      <c r="I4190" t="s">
        <v>706</v>
      </c>
      <c r="J4190" t="s">
        <v>669</v>
      </c>
      <c r="K4190" t="s">
        <v>810</v>
      </c>
      <c r="O4190">
        <v>0</v>
      </c>
      <c r="U4190" t="s">
        <v>81</v>
      </c>
    </row>
    <row r="4191" spans="1:21" x14ac:dyDescent="0.25">
      <c r="A4191" s="33">
        <v>4210</v>
      </c>
      <c r="B4191" s="24">
        <v>44280</v>
      </c>
      <c r="C4191" t="s">
        <v>39</v>
      </c>
      <c r="D4191" t="s">
        <v>51</v>
      </c>
      <c r="E4191">
        <v>2000720153</v>
      </c>
      <c r="F4191">
        <v>140</v>
      </c>
      <c r="G4191">
        <v>105</v>
      </c>
      <c r="H4191">
        <v>0</v>
      </c>
      <c r="I4191" t="s">
        <v>706</v>
      </c>
      <c r="J4191" t="s">
        <v>709</v>
      </c>
      <c r="K4191" t="s">
        <v>743</v>
      </c>
      <c r="O4191">
        <v>0</v>
      </c>
      <c r="U4191" t="s">
        <v>81</v>
      </c>
    </row>
    <row r="4192" spans="1:21" x14ac:dyDescent="0.25">
      <c r="A4192" s="33">
        <v>4211</v>
      </c>
      <c r="B4192" s="24">
        <v>44280</v>
      </c>
      <c r="C4192" t="s">
        <v>39</v>
      </c>
      <c r="D4192" t="s">
        <v>51</v>
      </c>
      <c r="E4192">
        <v>2000720154</v>
      </c>
      <c r="F4192">
        <v>140</v>
      </c>
      <c r="G4192">
        <v>70</v>
      </c>
      <c r="H4192">
        <v>0</v>
      </c>
      <c r="I4192" t="s">
        <v>706</v>
      </c>
      <c r="J4192" t="s">
        <v>709</v>
      </c>
      <c r="K4192" t="s">
        <v>743</v>
      </c>
      <c r="O4192">
        <v>0</v>
      </c>
      <c r="U4192" t="s">
        <v>81</v>
      </c>
    </row>
    <row r="4193" spans="1:21" x14ac:dyDescent="0.25">
      <c r="A4193" s="33">
        <v>4212</v>
      </c>
      <c r="B4193" s="24">
        <v>44280</v>
      </c>
      <c r="C4193" t="s">
        <v>39</v>
      </c>
      <c r="D4193" t="s">
        <v>51</v>
      </c>
      <c r="E4193">
        <v>2000717030</v>
      </c>
      <c r="F4193">
        <v>380</v>
      </c>
      <c r="G4193">
        <v>27</v>
      </c>
      <c r="H4193">
        <v>0</v>
      </c>
      <c r="I4193" t="s">
        <v>706</v>
      </c>
      <c r="J4193" t="s">
        <v>673</v>
      </c>
      <c r="K4193" t="s">
        <v>708</v>
      </c>
      <c r="O4193">
        <v>0</v>
      </c>
      <c r="U4193" t="s">
        <v>81</v>
      </c>
    </row>
    <row r="4194" spans="1:21" x14ac:dyDescent="0.25">
      <c r="A4194" s="33">
        <v>4213</v>
      </c>
      <c r="B4194" s="24">
        <v>44280</v>
      </c>
      <c r="C4194" t="s">
        <v>39</v>
      </c>
      <c r="D4194" t="s">
        <v>51</v>
      </c>
      <c r="E4194">
        <v>2000719227</v>
      </c>
      <c r="F4194">
        <v>400</v>
      </c>
      <c r="G4194">
        <v>1</v>
      </c>
      <c r="H4194">
        <v>0</v>
      </c>
      <c r="I4194" t="s">
        <v>706</v>
      </c>
      <c r="J4194" t="s">
        <v>673</v>
      </c>
      <c r="K4194" t="s">
        <v>791</v>
      </c>
      <c r="O4194">
        <v>0</v>
      </c>
      <c r="U4194" t="s">
        <v>81</v>
      </c>
    </row>
    <row r="4195" spans="1:21" x14ac:dyDescent="0.25">
      <c r="A4195" s="33">
        <v>4214</v>
      </c>
      <c r="B4195" s="24">
        <v>44280</v>
      </c>
      <c r="C4195" t="s">
        <v>39</v>
      </c>
      <c r="D4195" t="s">
        <v>51</v>
      </c>
      <c r="E4195">
        <v>2000721069</v>
      </c>
      <c r="F4195">
        <v>500</v>
      </c>
      <c r="G4195">
        <v>160</v>
      </c>
      <c r="H4195">
        <v>0</v>
      </c>
      <c r="I4195" t="s">
        <v>706</v>
      </c>
      <c r="J4195" t="s">
        <v>779</v>
      </c>
      <c r="K4195" t="s">
        <v>809</v>
      </c>
      <c r="O4195">
        <v>0</v>
      </c>
      <c r="U4195" t="s">
        <v>81</v>
      </c>
    </row>
    <row r="4196" spans="1:21" x14ac:dyDescent="0.25">
      <c r="A4196" s="33">
        <v>4215</v>
      </c>
      <c r="B4196" s="24">
        <v>44280</v>
      </c>
      <c r="C4196" t="s">
        <v>39</v>
      </c>
      <c r="D4196" t="s">
        <v>41</v>
      </c>
      <c r="E4196">
        <v>2000720632</v>
      </c>
      <c r="F4196">
        <v>984</v>
      </c>
      <c r="G4196">
        <v>240</v>
      </c>
      <c r="H4196">
        <v>0</v>
      </c>
      <c r="I4196" t="s">
        <v>696</v>
      </c>
      <c r="J4196" t="s">
        <v>174</v>
      </c>
      <c r="K4196" t="s">
        <v>774</v>
      </c>
      <c r="O4196">
        <v>0</v>
      </c>
      <c r="U4196" t="s">
        <v>81</v>
      </c>
    </row>
    <row r="4197" spans="1:21" x14ac:dyDescent="0.25">
      <c r="A4197" s="33">
        <v>4216</v>
      </c>
      <c r="B4197" s="24">
        <v>44280</v>
      </c>
      <c r="C4197" t="s">
        <v>39</v>
      </c>
      <c r="D4197" t="s">
        <v>41</v>
      </c>
      <c r="E4197">
        <v>2000720633</v>
      </c>
      <c r="F4197">
        <v>270</v>
      </c>
      <c r="G4197">
        <v>269</v>
      </c>
      <c r="H4197">
        <v>0</v>
      </c>
      <c r="I4197" t="s">
        <v>696</v>
      </c>
      <c r="J4197" t="s">
        <v>698</v>
      </c>
      <c r="K4197" t="s">
        <v>786</v>
      </c>
      <c r="O4197">
        <v>0</v>
      </c>
      <c r="U4197" t="s">
        <v>81</v>
      </c>
    </row>
    <row r="4198" spans="1:21" x14ac:dyDescent="0.25">
      <c r="A4198" s="33">
        <v>4217</v>
      </c>
      <c r="B4198" s="24">
        <v>44280</v>
      </c>
      <c r="C4198" t="s">
        <v>39</v>
      </c>
      <c r="D4198" t="s">
        <v>41</v>
      </c>
      <c r="E4198">
        <v>2000720634</v>
      </c>
      <c r="F4198">
        <v>180</v>
      </c>
      <c r="G4198">
        <v>90</v>
      </c>
      <c r="H4198">
        <v>0</v>
      </c>
      <c r="I4198" t="s">
        <v>696</v>
      </c>
      <c r="J4198" t="s">
        <v>698</v>
      </c>
      <c r="K4198" t="s">
        <v>699</v>
      </c>
      <c r="O4198">
        <v>0</v>
      </c>
      <c r="U4198" t="s">
        <v>81</v>
      </c>
    </row>
    <row r="4199" spans="1:21" x14ac:dyDescent="0.25">
      <c r="A4199" s="33">
        <v>4218</v>
      </c>
      <c r="B4199" s="24">
        <v>44280</v>
      </c>
      <c r="C4199" t="s">
        <v>39</v>
      </c>
      <c r="D4199" t="s">
        <v>41</v>
      </c>
      <c r="E4199">
        <v>2000720853</v>
      </c>
      <c r="F4199">
        <v>630</v>
      </c>
      <c r="G4199">
        <v>90</v>
      </c>
      <c r="H4199">
        <v>0</v>
      </c>
      <c r="I4199" t="s">
        <v>696</v>
      </c>
      <c r="J4199" t="s">
        <v>170</v>
      </c>
      <c r="K4199" t="s">
        <v>697</v>
      </c>
      <c r="O4199">
        <v>0</v>
      </c>
      <c r="U4199" t="s">
        <v>81</v>
      </c>
    </row>
    <row r="4200" spans="1:21" x14ac:dyDescent="0.25">
      <c r="A4200" s="33">
        <v>4219</v>
      </c>
      <c r="B4200" s="24">
        <v>44280</v>
      </c>
      <c r="C4200" t="s">
        <v>39</v>
      </c>
      <c r="D4200" t="s">
        <v>41</v>
      </c>
      <c r="E4200">
        <v>2000720598</v>
      </c>
      <c r="F4200">
        <v>3400</v>
      </c>
      <c r="G4200">
        <v>30</v>
      </c>
      <c r="H4200">
        <v>0</v>
      </c>
      <c r="I4200" t="s">
        <v>185</v>
      </c>
      <c r="J4200" t="s">
        <v>172</v>
      </c>
      <c r="K4200" t="s">
        <v>173</v>
      </c>
      <c r="O4200">
        <v>0</v>
      </c>
      <c r="U4200" t="s">
        <v>81</v>
      </c>
    </row>
    <row r="4201" spans="1:21" x14ac:dyDescent="0.25">
      <c r="A4201" s="33">
        <v>4220</v>
      </c>
      <c r="B4201" s="24">
        <v>44280</v>
      </c>
      <c r="C4201" t="s">
        <v>39</v>
      </c>
      <c r="D4201" t="s">
        <v>41</v>
      </c>
      <c r="E4201">
        <v>2000721381</v>
      </c>
      <c r="F4201">
        <v>750</v>
      </c>
      <c r="G4201">
        <v>80</v>
      </c>
      <c r="H4201">
        <v>0</v>
      </c>
      <c r="I4201" t="s">
        <v>185</v>
      </c>
      <c r="J4201" t="s">
        <v>645</v>
      </c>
      <c r="K4201" t="s">
        <v>690</v>
      </c>
      <c r="O4201">
        <v>0</v>
      </c>
      <c r="U4201" t="s">
        <v>81</v>
      </c>
    </row>
    <row r="4202" spans="1:21" x14ac:dyDescent="0.25">
      <c r="A4202" s="33">
        <v>4221</v>
      </c>
      <c r="B4202" s="24">
        <v>44280</v>
      </c>
      <c r="C4202" t="s">
        <v>39</v>
      </c>
      <c r="D4202" t="s">
        <v>41</v>
      </c>
      <c r="E4202">
        <v>2000721333</v>
      </c>
      <c r="F4202">
        <v>2200</v>
      </c>
      <c r="G4202">
        <v>120</v>
      </c>
      <c r="H4202">
        <v>0</v>
      </c>
      <c r="I4202" t="s">
        <v>185</v>
      </c>
      <c r="J4202" t="s">
        <v>645</v>
      </c>
      <c r="K4202" t="s">
        <v>765</v>
      </c>
      <c r="O4202">
        <v>0</v>
      </c>
      <c r="U4202" t="s">
        <v>81</v>
      </c>
    </row>
    <row r="4203" spans="1:21" x14ac:dyDescent="0.25">
      <c r="A4203" s="33">
        <v>4222</v>
      </c>
      <c r="B4203" s="24">
        <v>44280</v>
      </c>
      <c r="C4203" t="s">
        <v>39</v>
      </c>
      <c r="D4203" t="s">
        <v>41</v>
      </c>
      <c r="E4203">
        <v>2000721356</v>
      </c>
      <c r="F4203">
        <v>1200</v>
      </c>
      <c r="G4203">
        <v>80</v>
      </c>
      <c r="H4203">
        <v>0</v>
      </c>
      <c r="I4203" t="s">
        <v>185</v>
      </c>
      <c r="J4203" t="s">
        <v>687</v>
      </c>
      <c r="K4203" t="s">
        <v>757</v>
      </c>
      <c r="O4203">
        <v>0</v>
      </c>
      <c r="U4203" t="s">
        <v>81</v>
      </c>
    </row>
    <row r="4204" spans="1:21" x14ac:dyDescent="0.25">
      <c r="A4204" s="33">
        <v>4223</v>
      </c>
      <c r="B4204" s="24">
        <v>44280</v>
      </c>
      <c r="C4204" t="s">
        <v>39</v>
      </c>
      <c r="D4204" t="s">
        <v>41</v>
      </c>
      <c r="E4204">
        <v>2000721487</v>
      </c>
      <c r="F4204">
        <v>2000</v>
      </c>
      <c r="G4204">
        <v>120</v>
      </c>
      <c r="H4204">
        <v>0</v>
      </c>
      <c r="I4204" t="s">
        <v>185</v>
      </c>
      <c r="J4204" t="s">
        <v>645</v>
      </c>
      <c r="K4204" t="s">
        <v>694</v>
      </c>
      <c r="O4204">
        <v>0</v>
      </c>
      <c r="U4204" t="s">
        <v>81</v>
      </c>
    </row>
    <row r="4205" spans="1:21" x14ac:dyDescent="0.25">
      <c r="A4205" s="33">
        <v>4224</v>
      </c>
      <c r="B4205" s="24">
        <v>44280</v>
      </c>
      <c r="C4205" t="s">
        <v>39</v>
      </c>
      <c r="D4205" t="s">
        <v>41</v>
      </c>
      <c r="E4205">
        <v>2000720666</v>
      </c>
      <c r="F4205">
        <v>2208</v>
      </c>
      <c r="G4205">
        <v>120</v>
      </c>
      <c r="H4205">
        <v>0</v>
      </c>
      <c r="I4205" t="s">
        <v>185</v>
      </c>
      <c r="J4205" t="s">
        <v>655</v>
      </c>
      <c r="K4205" t="s">
        <v>656</v>
      </c>
      <c r="O4205">
        <v>0</v>
      </c>
      <c r="U4205" t="s">
        <v>81</v>
      </c>
    </row>
    <row r="4206" spans="1:21" x14ac:dyDescent="0.25">
      <c r="A4206" s="33">
        <v>4225</v>
      </c>
      <c r="B4206" s="24">
        <v>44280</v>
      </c>
      <c r="C4206" t="s">
        <v>39</v>
      </c>
      <c r="D4206" t="s">
        <v>41</v>
      </c>
      <c r="E4206">
        <v>2000719985</v>
      </c>
      <c r="F4206">
        <v>580</v>
      </c>
      <c r="G4206">
        <v>90</v>
      </c>
      <c r="H4206">
        <v>0</v>
      </c>
      <c r="I4206" t="s">
        <v>185</v>
      </c>
      <c r="J4206" t="s">
        <v>174</v>
      </c>
      <c r="K4206" t="s">
        <v>776</v>
      </c>
      <c r="O4206">
        <v>0</v>
      </c>
      <c r="U4206" t="s">
        <v>81</v>
      </c>
    </row>
    <row r="4207" spans="1:21" x14ac:dyDescent="0.25">
      <c r="A4207" s="33">
        <v>4226</v>
      </c>
      <c r="B4207" s="24">
        <v>44280</v>
      </c>
      <c r="C4207" t="s">
        <v>39</v>
      </c>
      <c r="D4207" t="s">
        <v>41</v>
      </c>
      <c r="E4207">
        <v>2000721320</v>
      </c>
      <c r="F4207">
        <v>600</v>
      </c>
      <c r="G4207">
        <v>40</v>
      </c>
      <c r="H4207">
        <v>0</v>
      </c>
      <c r="I4207" t="s">
        <v>185</v>
      </c>
      <c r="J4207" t="s">
        <v>645</v>
      </c>
      <c r="K4207" t="s">
        <v>734</v>
      </c>
      <c r="O4207">
        <v>0</v>
      </c>
      <c r="U4207" t="s">
        <v>81</v>
      </c>
    </row>
    <row r="4208" spans="1:21" x14ac:dyDescent="0.25">
      <c r="A4208" s="33">
        <v>4227</v>
      </c>
      <c r="B4208" s="24">
        <v>44280</v>
      </c>
      <c r="C4208" t="s">
        <v>39</v>
      </c>
      <c r="D4208" t="s">
        <v>41</v>
      </c>
      <c r="E4208">
        <v>2000720860</v>
      </c>
      <c r="F4208">
        <v>1260</v>
      </c>
      <c r="G4208">
        <v>400</v>
      </c>
      <c r="H4208">
        <v>0</v>
      </c>
      <c r="I4208" t="s">
        <v>693</v>
      </c>
      <c r="J4208" t="s">
        <v>174</v>
      </c>
      <c r="K4208" t="s">
        <v>177</v>
      </c>
      <c r="O4208">
        <v>0</v>
      </c>
      <c r="U4208" t="s">
        <v>81</v>
      </c>
    </row>
    <row r="4209" spans="1:21" x14ac:dyDescent="0.25">
      <c r="A4209" s="33">
        <v>4228</v>
      </c>
      <c r="B4209" s="24">
        <v>44280</v>
      </c>
      <c r="C4209" t="s">
        <v>39</v>
      </c>
      <c r="D4209" t="s">
        <v>41</v>
      </c>
      <c r="E4209">
        <v>2000720856</v>
      </c>
      <c r="F4209">
        <v>1320</v>
      </c>
      <c r="G4209">
        <v>80</v>
      </c>
      <c r="H4209">
        <v>0</v>
      </c>
      <c r="I4209" t="s">
        <v>693</v>
      </c>
      <c r="J4209" t="s">
        <v>174</v>
      </c>
      <c r="K4209" t="s">
        <v>177</v>
      </c>
      <c r="O4209">
        <v>0</v>
      </c>
      <c r="U4209" t="s">
        <v>81</v>
      </c>
    </row>
    <row r="4210" spans="1:21" x14ac:dyDescent="0.25">
      <c r="A4210" s="33">
        <v>4229</v>
      </c>
      <c r="B4210" s="24">
        <v>44280</v>
      </c>
      <c r="C4210" t="s">
        <v>39</v>
      </c>
      <c r="D4210" t="s">
        <v>41</v>
      </c>
      <c r="E4210">
        <v>2000720860</v>
      </c>
      <c r="F4210">
        <v>1260</v>
      </c>
      <c r="G4210">
        <v>280</v>
      </c>
      <c r="H4210">
        <v>1</v>
      </c>
      <c r="I4210" t="s">
        <v>183</v>
      </c>
      <c r="J4210" t="s">
        <v>174</v>
      </c>
      <c r="K4210" t="s">
        <v>177</v>
      </c>
      <c r="L4210" t="s">
        <v>88</v>
      </c>
      <c r="N4210" t="s">
        <v>1126</v>
      </c>
      <c r="O4210">
        <v>1</v>
      </c>
      <c r="P4210" t="s">
        <v>1127</v>
      </c>
      <c r="Q4210" t="s">
        <v>1128</v>
      </c>
      <c r="R4210">
        <v>10325201</v>
      </c>
      <c r="S4210" s="36">
        <v>0.79513888888888884</v>
      </c>
      <c r="U4210" t="s">
        <v>81</v>
      </c>
    </row>
    <row r="4211" spans="1:21" x14ac:dyDescent="0.25">
      <c r="A4211" s="33">
        <v>4230</v>
      </c>
      <c r="B4211" s="24">
        <v>44280</v>
      </c>
      <c r="C4211" t="s">
        <v>39</v>
      </c>
      <c r="D4211" t="s">
        <v>41</v>
      </c>
      <c r="E4211">
        <v>2000720856</v>
      </c>
      <c r="F4211">
        <v>1320</v>
      </c>
      <c r="G4211">
        <v>200</v>
      </c>
      <c r="H4211">
        <v>0</v>
      </c>
      <c r="I4211" t="s">
        <v>183</v>
      </c>
      <c r="J4211" t="s">
        <v>174</v>
      </c>
      <c r="K4211" t="s">
        <v>177</v>
      </c>
      <c r="O4211">
        <v>0</v>
      </c>
      <c r="U4211" t="s">
        <v>81</v>
      </c>
    </row>
    <row r="4212" spans="1:21" x14ac:dyDescent="0.25">
      <c r="A4212" s="33">
        <v>4231</v>
      </c>
      <c r="B4212" s="24">
        <v>44280</v>
      </c>
      <c r="C4212" t="s">
        <v>39</v>
      </c>
      <c r="D4212" t="s">
        <v>41</v>
      </c>
      <c r="E4212">
        <v>2000720857</v>
      </c>
      <c r="F4212">
        <v>760</v>
      </c>
      <c r="G4212">
        <v>277</v>
      </c>
      <c r="H4212">
        <v>0</v>
      </c>
      <c r="I4212" t="s">
        <v>183</v>
      </c>
      <c r="J4212" t="s">
        <v>174</v>
      </c>
      <c r="K4212" t="s">
        <v>763</v>
      </c>
      <c r="O4212">
        <v>0</v>
      </c>
      <c r="U4212" t="s">
        <v>81</v>
      </c>
    </row>
    <row r="4213" spans="1:21" x14ac:dyDescent="0.25">
      <c r="A4213" s="33">
        <v>4232</v>
      </c>
      <c r="B4213" s="24">
        <v>44280</v>
      </c>
      <c r="C4213" t="s">
        <v>39</v>
      </c>
      <c r="D4213" t="s">
        <v>41</v>
      </c>
      <c r="E4213">
        <v>2000720945</v>
      </c>
      <c r="F4213">
        <v>3216</v>
      </c>
      <c r="G4213">
        <v>1700</v>
      </c>
      <c r="H4213">
        <v>0</v>
      </c>
      <c r="I4213" t="s">
        <v>680</v>
      </c>
      <c r="J4213" t="s">
        <v>203</v>
      </c>
      <c r="K4213" t="s">
        <v>788</v>
      </c>
      <c r="O4213">
        <v>0</v>
      </c>
      <c r="U4213" t="s">
        <v>81</v>
      </c>
    </row>
    <row r="4214" spans="1:21" x14ac:dyDescent="0.25">
      <c r="A4214" s="33">
        <v>4233</v>
      </c>
      <c r="B4214" s="24">
        <v>44280</v>
      </c>
      <c r="C4214" t="s">
        <v>39</v>
      </c>
      <c r="D4214" t="s">
        <v>41</v>
      </c>
      <c r="E4214">
        <v>2000714573</v>
      </c>
      <c r="F4214">
        <v>1776</v>
      </c>
      <c r="G4214">
        <v>22</v>
      </c>
      <c r="H4214">
        <v>0</v>
      </c>
      <c r="I4214" t="s">
        <v>680</v>
      </c>
      <c r="J4214" t="s">
        <v>203</v>
      </c>
      <c r="K4214" t="s">
        <v>788</v>
      </c>
      <c r="O4214">
        <v>0</v>
      </c>
      <c r="U4214" t="s">
        <v>81</v>
      </c>
    </row>
    <row r="4215" spans="1:21" x14ac:dyDescent="0.25">
      <c r="A4215" s="33">
        <v>4234</v>
      </c>
      <c r="B4215" s="24">
        <v>44280</v>
      </c>
      <c r="C4215" t="s">
        <v>39</v>
      </c>
      <c r="D4215" t="s">
        <v>41</v>
      </c>
      <c r="E4215">
        <v>2000720186</v>
      </c>
      <c r="F4215">
        <v>300</v>
      </c>
      <c r="G4215">
        <v>150</v>
      </c>
      <c r="H4215">
        <v>1</v>
      </c>
      <c r="I4215" t="s">
        <v>680</v>
      </c>
      <c r="J4215" t="s">
        <v>169</v>
      </c>
      <c r="K4215" t="s">
        <v>867</v>
      </c>
      <c r="L4215" t="s">
        <v>88</v>
      </c>
      <c r="N4215" t="s">
        <v>1129</v>
      </c>
      <c r="O4215">
        <v>1</v>
      </c>
      <c r="P4215" t="s">
        <v>1130</v>
      </c>
      <c r="Q4215" t="s">
        <v>1131</v>
      </c>
      <c r="R4215">
        <v>10323</v>
      </c>
      <c r="S4215" s="36">
        <v>0.57638888888888895</v>
      </c>
      <c r="U4215" t="s">
        <v>81</v>
      </c>
    </row>
    <row r="4216" spans="1:21" x14ac:dyDescent="0.25">
      <c r="A4216" s="33">
        <v>4235</v>
      </c>
      <c r="B4216" s="24">
        <v>44280</v>
      </c>
      <c r="C4216" t="s">
        <v>39</v>
      </c>
      <c r="D4216" t="s">
        <v>41</v>
      </c>
      <c r="E4216">
        <v>2000720846</v>
      </c>
      <c r="F4216">
        <v>3600</v>
      </c>
      <c r="G4216">
        <v>200</v>
      </c>
      <c r="H4216">
        <v>0</v>
      </c>
      <c r="I4216" t="s">
        <v>680</v>
      </c>
      <c r="J4216" t="s">
        <v>172</v>
      </c>
      <c r="K4216" t="s">
        <v>729</v>
      </c>
      <c r="O4216">
        <v>0</v>
      </c>
      <c r="U4216" t="s">
        <v>81</v>
      </c>
    </row>
    <row r="4217" spans="1:21" x14ac:dyDescent="0.25">
      <c r="A4217" s="33">
        <v>4236</v>
      </c>
      <c r="B4217" s="24">
        <v>44280</v>
      </c>
      <c r="C4217" t="s">
        <v>39</v>
      </c>
      <c r="D4217" t="s">
        <v>41</v>
      </c>
      <c r="E4217">
        <v>2000721845</v>
      </c>
      <c r="F4217">
        <v>2000</v>
      </c>
      <c r="G4217">
        <v>200</v>
      </c>
      <c r="H4217">
        <v>0</v>
      </c>
      <c r="I4217" t="s">
        <v>680</v>
      </c>
      <c r="J4217" t="s">
        <v>645</v>
      </c>
      <c r="K4217" t="s">
        <v>726</v>
      </c>
      <c r="O4217">
        <v>0</v>
      </c>
      <c r="U4217" t="s">
        <v>81</v>
      </c>
    </row>
    <row r="4218" spans="1:21" x14ac:dyDescent="0.25">
      <c r="A4218" s="33">
        <v>4237</v>
      </c>
      <c r="B4218" s="24">
        <v>44280</v>
      </c>
      <c r="C4218" t="s">
        <v>39</v>
      </c>
      <c r="D4218" t="s">
        <v>41</v>
      </c>
      <c r="E4218">
        <v>2000714130</v>
      </c>
      <c r="F4218">
        <v>920</v>
      </c>
      <c r="G4218">
        <v>3</v>
      </c>
      <c r="H4218">
        <v>0</v>
      </c>
      <c r="I4218" t="s">
        <v>680</v>
      </c>
      <c r="J4218" t="s">
        <v>745</v>
      </c>
      <c r="K4218" t="s">
        <v>746</v>
      </c>
      <c r="O4218">
        <v>0</v>
      </c>
      <c r="U4218" t="s">
        <v>81</v>
      </c>
    </row>
    <row r="4219" spans="1:21" x14ac:dyDescent="0.25">
      <c r="A4219" s="33">
        <v>4238</v>
      </c>
      <c r="B4219" s="24">
        <v>44280</v>
      </c>
      <c r="C4219" t="s">
        <v>39</v>
      </c>
      <c r="D4219" t="s">
        <v>41</v>
      </c>
      <c r="E4219">
        <v>2000720847</v>
      </c>
      <c r="F4219">
        <v>7860</v>
      </c>
      <c r="G4219">
        <v>300</v>
      </c>
      <c r="H4219">
        <v>0</v>
      </c>
      <c r="I4219" t="s">
        <v>680</v>
      </c>
      <c r="J4219" t="s">
        <v>200</v>
      </c>
      <c r="K4219" t="s">
        <v>737</v>
      </c>
      <c r="O4219">
        <v>0</v>
      </c>
      <c r="U4219" t="s">
        <v>81</v>
      </c>
    </row>
    <row r="4220" spans="1:21" x14ac:dyDescent="0.25">
      <c r="A4220" s="33">
        <v>4239</v>
      </c>
      <c r="B4220" s="24">
        <v>44280</v>
      </c>
      <c r="C4220" t="s">
        <v>39</v>
      </c>
      <c r="D4220" t="s">
        <v>41</v>
      </c>
      <c r="E4220">
        <v>2000721484</v>
      </c>
      <c r="F4220">
        <v>2000</v>
      </c>
      <c r="G4220">
        <v>200</v>
      </c>
      <c r="H4220">
        <v>0</v>
      </c>
      <c r="I4220" t="s">
        <v>680</v>
      </c>
      <c r="J4220" t="s">
        <v>645</v>
      </c>
      <c r="K4220" t="s">
        <v>727</v>
      </c>
      <c r="O4220">
        <v>0</v>
      </c>
      <c r="U4220" t="s">
        <v>81</v>
      </c>
    </row>
    <row r="4221" spans="1:21" x14ac:dyDescent="0.25">
      <c r="A4221" s="33">
        <v>4240</v>
      </c>
      <c r="B4221" s="24">
        <v>44280</v>
      </c>
      <c r="C4221" t="s">
        <v>39</v>
      </c>
      <c r="D4221" t="s">
        <v>41</v>
      </c>
      <c r="E4221">
        <v>2000720184</v>
      </c>
      <c r="F4221">
        <v>1800</v>
      </c>
      <c r="G4221">
        <v>320</v>
      </c>
      <c r="H4221">
        <v>1</v>
      </c>
      <c r="I4221" t="s">
        <v>198</v>
      </c>
      <c r="J4221" t="s">
        <v>745</v>
      </c>
      <c r="K4221" t="s">
        <v>746</v>
      </c>
      <c r="L4221" t="s">
        <v>119</v>
      </c>
      <c r="M4221" t="s">
        <v>1132</v>
      </c>
      <c r="N4221" t="s">
        <v>1133</v>
      </c>
      <c r="O4221">
        <v>1</v>
      </c>
      <c r="P4221" t="s">
        <v>1134</v>
      </c>
      <c r="Q4221" t="s">
        <v>1135</v>
      </c>
      <c r="S4221" s="36">
        <v>0.4291666666666667</v>
      </c>
      <c r="U4221" t="s">
        <v>81</v>
      </c>
    </row>
    <row r="4222" spans="1:21" x14ac:dyDescent="0.25">
      <c r="A4222" s="33">
        <v>4241</v>
      </c>
      <c r="B4222" s="24">
        <v>44280</v>
      </c>
      <c r="C4222" t="s">
        <v>39</v>
      </c>
      <c r="D4222" t="s">
        <v>41</v>
      </c>
      <c r="E4222">
        <v>2000720856</v>
      </c>
      <c r="F4222">
        <v>1320</v>
      </c>
      <c r="G4222">
        <v>40</v>
      </c>
      <c r="H4222">
        <v>0</v>
      </c>
      <c r="I4222" t="s">
        <v>198</v>
      </c>
      <c r="J4222" t="s">
        <v>174</v>
      </c>
      <c r="K4222" t="s">
        <v>177</v>
      </c>
      <c r="O4222">
        <v>0</v>
      </c>
      <c r="U4222" t="s">
        <v>81</v>
      </c>
    </row>
    <row r="4223" spans="1:21" x14ac:dyDescent="0.25">
      <c r="A4223" s="33">
        <v>4242</v>
      </c>
      <c r="B4223" s="24">
        <v>44280</v>
      </c>
      <c r="C4223" t="s">
        <v>39</v>
      </c>
      <c r="D4223" t="s">
        <v>41</v>
      </c>
      <c r="E4223">
        <v>2000720616</v>
      </c>
      <c r="F4223">
        <v>600</v>
      </c>
      <c r="G4223">
        <v>262</v>
      </c>
      <c r="H4223">
        <v>0</v>
      </c>
      <c r="I4223" t="s">
        <v>198</v>
      </c>
      <c r="J4223" t="s">
        <v>203</v>
      </c>
      <c r="K4223" t="s">
        <v>891</v>
      </c>
      <c r="O4223">
        <v>0</v>
      </c>
      <c r="U4223" t="s">
        <v>81</v>
      </c>
    </row>
    <row r="4224" spans="1:21" x14ac:dyDescent="0.25">
      <c r="A4224" s="33">
        <v>4243</v>
      </c>
      <c r="B4224" s="24">
        <v>44280</v>
      </c>
      <c r="C4224" t="s">
        <v>39</v>
      </c>
      <c r="D4224" t="s">
        <v>41</v>
      </c>
      <c r="E4224">
        <v>2000720632</v>
      </c>
      <c r="F4224">
        <v>984</v>
      </c>
      <c r="G4224">
        <v>95</v>
      </c>
      <c r="H4224">
        <v>0</v>
      </c>
      <c r="I4224" t="s">
        <v>198</v>
      </c>
      <c r="J4224" t="s">
        <v>174</v>
      </c>
      <c r="K4224" t="s">
        <v>774</v>
      </c>
      <c r="O4224">
        <v>0</v>
      </c>
      <c r="U4224" t="s">
        <v>81</v>
      </c>
    </row>
    <row r="4225" spans="1:21" x14ac:dyDescent="0.25">
      <c r="A4225" s="33">
        <v>4244</v>
      </c>
      <c r="B4225" s="24">
        <v>44280</v>
      </c>
      <c r="C4225" t="s">
        <v>39</v>
      </c>
      <c r="D4225" t="s">
        <v>41</v>
      </c>
      <c r="E4225">
        <v>2000720441</v>
      </c>
      <c r="F4225">
        <v>850</v>
      </c>
      <c r="G4225">
        <v>90</v>
      </c>
      <c r="H4225">
        <v>0</v>
      </c>
      <c r="I4225" t="s">
        <v>198</v>
      </c>
      <c r="J4225" t="s">
        <v>203</v>
      </c>
      <c r="K4225" t="s">
        <v>638</v>
      </c>
      <c r="O4225">
        <v>0</v>
      </c>
      <c r="U4225" t="s">
        <v>81</v>
      </c>
    </row>
    <row r="4226" spans="1:21" x14ac:dyDescent="0.25">
      <c r="A4226" s="33">
        <v>4245</v>
      </c>
      <c r="B4226" s="24">
        <v>44280</v>
      </c>
      <c r="C4226" t="s">
        <v>39</v>
      </c>
      <c r="D4226" t="s">
        <v>41</v>
      </c>
      <c r="E4226">
        <v>2000720617</v>
      </c>
      <c r="F4226">
        <v>390</v>
      </c>
      <c r="G4226">
        <v>30</v>
      </c>
      <c r="H4226">
        <v>0</v>
      </c>
      <c r="I4226" t="s">
        <v>198</v>
      </c>
      <c r="J4226" t="s">
        <v>203</v>
      </c>
      <c r="K4226" t="s">
        <v>638</v>
      </c>
      <c r="O4226">
        <v>0</v>
      </c>
      <c r="U4226" t="s">
        <v>81</v>
      </c>
    </row>
    <row r="4227" spans="1:21" x14ac:dyDescent="0.25">
      <c r="A4227" s="33">
        <v>4246</v>
      </c>
      <c r="B4227" s="24">
        <v>44280</v>
      </c>
      <c r="C4227" t="s">
        <v>39</v>
      </c>
      <c r="D4227" t="s">
        <v>41</v>
      </c>
      <c r="E4227">
        <v>2000720680</v>
      </c>
      <c r="F4227">
        <v>1200</v>
      </c>
      <c r="G4227">
        <v>100</v>
      </c>
      <c r="H4227">
        <v>0</v>
      </c>
      <c r="I4227" t="s">
        <v>1065</v>
      </c>
      <c r="J4227" t="s">
        <v>645</v>
      </c>
      <c r="K4227" t="s">
        <v>739</v>
      </c>
      <c r="O4227">
        <v>0</v>
      </c>
      <c r="U4227" t="s">
        <v>81</v>
      </c>
    </row>
    <row r="4228" spans="1:21" x14ac:dyDescent="0.25">
      <c r="A4228" s="33">
        <v>4247</v>
      </c>
      <c r="B4228" s="24">
        <v>44280</v>
      </c>
      <c r="C4228" t="s">
        <v>39</v>
      </c>
      <c r="D4228" t="s">
        <v>41</v>
      </c>
      <c r="E4228">
        <v>2000720681</v>
      </c>
      <c r="F4228">
        <v>1200</v>
      </c>
      <c r="G4228">
        <v>150</v>
      </c>
      <c r="H4228">
        <v>0</v>
      </c>
      <c r="I4228" t="s">
        <v>1065</v>
      </c>
      <c r="J4228" t="s">
        <v>645</v>
      </c>
      <c r="K4228" t="s">
        <v>658</v>
      </c>
      <c r="O4228">
        <v>0</v>
      </c>
      <c r="U4228" t="s">
        <v>81</v>
      </c>
    </row>
    <row r="4229" spans="1:21" x14ac:dyDescent="0.25">
      <c r="A4229" s="33">
        <v>4248</v>
      </c>
      <c r="B4229" s="24">
        <v>44280</v>
      </c>
      <c r="C4229" t="s">
        <v>39</v>
      </c>
      <c r="D4229" t="s">
        <v>41</v>
      </c>
      <c r="E4229">
        <v>2000720679</v>
      </c>
      <c r="F4229">
        <v>1200</v>
      </c>
      <c r="G4229">
        <v>100</v>
      </c>
      <c r="H4229">
        <v>0</v>
      </c>
      <c r="I4229" t="s">
        <v>1065</v>
      </c>
      <c r="J4229" t="s">
        <v>645</v>
      </c>
      <c r="K4229" t="s">
        <v>756</v>
      </c>
      <c r="O4229">
        <v>0</v>
      </c>
      <c r="U4229" t="s">
        <v>81</v>
      </c>
    </row>
    <row r="4230" spans="1:21" x14ac:dyDescent="0.25">
      <c r="A4230" s="33">
        <v>4249</v>
      </c>
      <c r="B4230" s="24">
        <v>44280</v>
      </c>
      <c r="C4230" t="s">
        <v>39</v>
      </c>
      <c r="D4230" t="s">
        <v>41</v>
      </c>
      <c r="E4230">
        <v>2000720671</v>
      </c>
      <c r="F4230">
        <v>4220</v>
      </c>
      <c r="G4230">
        <v>240</v>
      </c>
      <c r="H4230">
        <v>0</v>
      </c>
      <c r="I4230" t="s">
        <v>1065</v>
      </c>
      <c r="J4230" t="s">
        <v>199</v>
      </c>
      <c r="K4230" t="s">
        <v>660</v>
      </c>
      <c r="O4230">
        <v>0</v>
      </c>
      <c r="U4230" t="s">
        <v>81</v>
      </c>
    </row>
    <row r="4231" spans="1:21" x14ac:dyDescent="0.25">
      <c r="A4231" s="33">
        <v>4250</v>
      </c>
      <c r="B4231" s="24">
        <v>44280</v>
      </c>
      <c r="C4231" t="s">
        <v>39</v>
      </c>
      <c r="D4231" t="s">
        <v>41</v>
      </c>
      <c r="E4231">
        <v>2000720179</v>
      </c>
      <c r="F4231">
        <v>1246</v>
      </c>
      <c r="G4231">
        <v>425</v>
      </c>
      <c r="H4231">
        <v>0</v>
      </c>
      <c r="I4231" t="s">
        <v>1065</v>
      </c>
      <c r="J4231" t="s">
        <v>745</v>
      </c>
      <c r="K4231" t="s">
        <v>857</v>
      </c>
      <c r="O4231">
        <v>0</v>
      </c>
      <c r="U4231" t="s">
        <v>81</v>
      </c>
    </row>
    <row r="4232" spans="1:21" x14ac:dyDescent="0.25">
      <c r="A4232" s="33">
        <v>4251</v>
      </c>
      <c r="B4232" s="24">
        <v>44280</v>
      </c>
      <c r="C4232" t="s">
        <v>39</v>
      </c>
      <c r="D4232" t="s">
        <v>41</v>
      </c>
      <c r="E4232">
        <v>2000720184</v>
      </c>
      <c r="F4232">
        <v>1800</v>
      </c>
      <c r="G4232">
        <v>320</v>
      </c>
      <c r="H4232">
        <v>0</v>
      </c>
      <c r="I4232" t="s">
        <v>1065</v>
      </c>
      <c r="J4232" t="s">
        <v>745</v>
      </c>
      <c r="K4232" t="s">
        <v>746</v>
      </c>
      <c r="O4232">
        <v>0</v>
      </c>
      <c r="U4232" t="s">
        <v>81</v>
      </c>
    </row>
    <row r="4233" spans="1:21" x14ac:dyDescent="0.25">
      <c r="A4233" s="33">
        <v>4252</v>
      </c>
      <c r="B4233" s="24">
        <v>44280</v>
      </c>
      <c r="C4233" t="s">
        <v>39</v>
      </c>
      <c r="D4233" t="s">
        <v>41</v>
      </c>
      <c r="E4233">
        <v>2000720634</v>
      </c>
      <c r="F4233">
        <v>180</v>
      </c>
      <c r="G4233">
        <v>90</v>
      </c>
      <c r="H4233">
        <v>0</v>
      </c>
      <c r="I4233" t="s">
        <v>759</v>
      </c>
      <c r="J4233" t="s">
        <v>698</v>
      </c>
      <c r="K4233" t="s">
        <v>699</v>
      </c>
      <c r="O4233">
        <v>0</v>
      </c>
      <c r="U4233" t="s">
        <v>81</v>
      </c>
    </row>
    <row r="4234" spans="1:21" x14ac:dyDescent="0.25">
      <c r="A4234" s="33">
        <v>4253</v>
      </c>
      <c r="B4234" s="24">
        <v>44280</v>
      </c>
      <c r="C4234" t="s">
        <v>39</v>
      </c>
      <c r="D4234" t="s">
        <v>41</v>
      </c>
      <c r="E4234">
        <v>2000720853</v>
      </c>
      <c r="F4234">
        <v>630</v>
      </c>
      <c r="G4234">
        <v>45</v>
      </c>
      <c r="H4234">
        <v>0</v>
      </c>
      <c r="I4234" t="s">
        <v>759</v>
      </c>
      <c r="J4234" t="s">
        <v>170</v>
      </c>
      <c r="K4234" t="s">
        <v>697</v>
      </c>
      <c r="O4234">
        <v>0</v>
      </c>
      <c r="U4234" t="s">
        <v>81</v>
      </c>
    </row>
    <row r="4235" spans="1:21" x14ac:dyDescent="0.25">
      <c r="A4235" s="33">
        <v>4254</v>
      </c>
      <c r="B4235" s="24">
        <v>44280</v>
      </c>
      <c r="C4235" t="s">
        <v>39</v>
      </c>
      <c r="D4235" t="s">
        <v>41</v>
      </c>
      <c r="E4235">
        <v>2000720617</v>
      </c>
      <c r="F4235">
        <v>390</v>
      </c>
      <c r="G4235">
        <v>57</v>
      </c>
      <c r="H4235">
        <v>0</v>
      </c>
      <c r="I4235" t="s">
        <v>184</v>
      </c>
      <c r="J4235" t="s">
        <v>203</v>
      </c>
      <c r="K4235" t="s">
        <v>638</v>
      </c>
      <c r="O4235">
        <v>0</v>
      </c>
      <c r="U4235" t="s">
        <v>81</v>
      </c>
    </row>
    <row r="4236" spans="1:21" x14ac:dyDescent="0.25">
      <c r="A4236" s="33">
        <v>4255</v>
      </c>
      <c r="B4236" s="24">
        <v>44280</v>
      </c>
      <c r="C4236" t="s">
        <v>39</v>
      </c>
      <c r="D4236" t="s">
        <v>41</v>
      </c>
      <c r="E4236">
        <v>2000720441</v>
      </c>
      <c r="F4236">
        <v>850</v>
      </c>
      <c r="G4236">
        <v>60</v>
      </c>
      <c r="H4236">
        <v>0</v>
      </c>
      <c r="I4236" t="s">
        <v>184</v>
      </c>
      <c r="J4236" t="s">
        <v>203</v>
      </c>
      <c r="K4236" t="s">
        <v>638</v>
      </c>
      <c r="O4236">
        <v>0</v>
      </c>
      <c r="U4236" t="s">
        <v>81</v>
      </c>
    </row>
    <row r="4237" spans="1:21" x14ac:dyDescent="0.25">
      <c r="A4237" s="33">
        <v>4256</v>
      </c>
      <c r="B4237" s="24">
        <v>44280</v>
      </c>
      <c r="C4237" t="s">
        <v>39</v>
      </c>
      <c r="D4237" t="s">
        <v>41</v>
      </c>
      <c r="E4237">
        <v>2000720616</v>
      </c>
      <c r="F4237">
        <v>600</v>
      </c>
      <c r="G4237">
        <v>210</v>
      </c>
      <c r="H4237">
        <v>0</v>
      </c>
      <c r="I4237" t="s">
        <v>184</v>
      </c>
      <c r="J4237" t="s">
        <v>203</v>
      </c>
      <c r="K4237" t="s">
        <v>891</v>
      </c>
      <c r="O4237">
        <v>0</v>
      </c>
      <c r="U4237" t="s">
        <v>81</v>
      </c>
    </row>
    <row r="4238" spans="1:21" x14ac:dyDescent="0.25">
      <c r="A4238" s="33">
        <v>4257</v>
      </c>
      <c r="B4238" s="24">
        <v>44280</v>
      </c>
      <c r="C4238" t="s">
        <v>39</v>
      </c>
      <c r="D4238" t="s">
        <v>41</v>
      </c>
      <c r="E4238">
        <v>2000721293</v>
      </c>
      <c r="F4238">
        <v>490</v>
      </c>
      <c r="G4238">
        <v>180</v>
      </c>
      <c r="H4238">
        <v>0</v>
      </c>
      <c r="I4238" t="s">
        <v>184</v>
      </c>
      <c r="J4238" t="s">
        <v>169</v>
      </c>
      <c r="K4238" t="s">
        <v>767</v>
      </c>
      <c r="O4238">
        <v>0</v>
      </c>
      <c r="U4238" t="s">
        <v>81</v>
      </c>
    </row>
    <row r="4239" spans="1:21" x14ac:dyDescent="0.25">
      <c r="A4239" s="33">
        <v>4258</v>
      </c>
      <c r="B4239" s="24">
        <v>44280</v>
      </c>
      <c r="C4239" t="s">
        <v>181</v>
      </c>
      <c r="D4239" t="s">
        <v>51</v>
      </c>
      <c r="E4239">
        <v>2000721075</v>
      </c>
      <c r="F4239">
        <v>700</v>
      </c>
      <c r="G4239">
        <v>175</v>
      </c>
      <c r="H4239">
        <v>0</v>
      </c>
      <c r="I4239" t="s">
        <v>191</v>
      </c>
      <c r="J4239" t="s">
        <v>667</v>
      </c>
      <c r="K4239" t="s">
        <v>671</v>
      </c>
      <c r="O4239">
        <v>0</v>
      </c>
      <c r="U4239" t="s">
        <v>81</v>
      </c>
    </row>
    <row r="4240" spans="1:21" x14ac:dyDescent="0.25">
      <c r="A4240" s="33">
        <v>4259</v>
      </c>
      <c r="B4240" s="24">
        <v>44280</v>
      </c>
      <c r="C4240" t="s">
        <v>181</v>
      </c>
      <c r="D4240" t="s">
        <v>51</v>
      </c>
      <c r="E4240">
        <v>2000719832</v>
      </c>
      <c r="F4240">
        <v>180</v>
      </c>
      <c r="G4240">
        <v>70</v>
      </c>
      <c r="H4240">
        <v>0</v>
      </c>
      <c r="I4240" t="s">
        <v>191</v>
      </c>
      <c r="J4240" t="s">
        <v>667</v>
      </c>
      <c r="K4240" t="s">
        <v>882</v>
      </c>
      <c r="O4240">
        <v>0</v>
      </c>
      <c r="U4240" t="s">
        <v>81</v>
      </c>
    </row>
    <row r="4241" spans="1:21" x14ac:dyDescent="0.25">
      <c r="A4241" s="33">
        <v>4260</v>
      </c>
      <c r="B4241" s="24">
        <v>44280</v>
      </c>
      <c r="C4241" t="s">
        <v>181</v>
      </c>
      <c r="D4241" t="s">
        <v>51</v>
      </c>
      <c r="E4241">
        <v>2000720219</v>
      </c>
      <c r="F4241">
        <v>350</v>
      </c>
      <c r="G4241">
        <v>60</v>
      </c>
      <c r="H4241">
        <v>0</v>
      </c>
      <c r="I4241" t="s">
        <v>191</v>
      </c>
      <c r="J4241" t="s">
        <v>669</v>
      </c>
      <c r="K4241" t="s">
        <v>810</v>
      </c>
      <c r="O4241">
        <v>0</v>
      </c>
      <c r="U4241" t="s">
        <v>81</v>
      </c>
    </row>
    <row r="4242" spans="1:21" x14ac:dyDescent="0.25">
      <c r="A4242" s="33">
        <v>4261</v>
      </c>
      <c r="B4242" s="24">
        <v>44280</v>
      </c>
      <c r="C4242" t="s">
        <v>181</v>
      </c>
      <c r="D4242" t="s">
        <v>51</v>
      </c>
      <c r="E4242">
        <v>2000721069</v>
      </c>
      <c r="F4242">
        <v>500</v>
      </c>
      <c r="G4242">
        <v>210</v>
      </c>
      <c r="H4242">
        <v>0</v>
      </c>
      <c r="I4242" t="s">
        <v>191</v>
      </c>
      <c r="J4242" t="s">
        <v>779</v>
      </c>
      <c r="K4242" t="s">
        <v>809</v>
      </c>
      <c r="O4242">
        <v>0</v>
      </c>
      <c r="U4242" t="s">
        <v>81</v>
      </c>
    </row>
    <row r="4243" spans="1:21" x14ac:dyDescent="0.25">
      <c r="A4243" s="33">
        <v>4263</v>
      </c>
      <c r="B4243" s="24">
        <v>44280</v>
      </c>
      <c r="C4243" t="s">
        <v>181</v>
      </c>
      <c r="D4243" t="s">
        <v>41</v>
      </c>
      <c r="E4243">
        <v>2000720181</v>
      </c>
      <c r="F4243">
        <v>3609</v>
      </c>
      <c r="G4243">
        <v>200</v>
      </c>
      <c r="H4243">
        <v>0</v>
      </c>
      <c r="I4243" t="s">
        <v>180</v>
      </c>
      <c r="J4243" t="s">
        <v>169</v>
      </c>
      <c r="K4243" t="s">
        <v>652</v>
      </c>
      <c r="O4243">
        <v>0</v>
      </c>
      <c r="U4243" t="s">
        <v>81</v>
      </c>
    </row>
    <row r="4244" spans="1:21" x14ac:dyDescent="0.25">
      <c r="A4244" s="33">
        <v>4264</v>
      </c>
      <c r="B4244" s="24">
        <v>44280</v>
      </c>
      <c r="C4244" t="s">
        <v>181</v>
      </c>
      <c r="D4244" t="s">
        <v>41</v>
      </c>
      <c r="E4244">
        <v>2000720853</v>
      </c>
      <c r="F4244">
        <v>630</v>
      </c>
      <c r="G4244">
        <v>135</v>
      </c>
      <c r="H4244">
        <v>0</v>
      </c>
      <c r="I4244" t="s">
        <v>661</v>
      </c>
      <c r="J4244" t="s">
        <v>170</v>
      </c>
      <c r="K4244" t="s">
        <v>697</v>
      </c>
      <c r="O4244">
        <v>0</v>
      </c>
      <c r="U4244" t="s">
        <v>81</v>
      </c>
    </row>
    <row r="4245" spans="1:21" x14ac:dyDescent="0.25">
      <c r="A4245" s="33">
        <v>4265</v>
      </c>
      <c r="B4245" s="24">
        <v>44280</v>
      </c>
      <c r="C4245" t="s">
        <v>181</v>
      </c>
      <c r="D4245" t="s">
        <v>41</v>
      </c>
      <c r="E4245">
        <v>2000720860</v>
      </c>
      <c r="F4245">
        <v>1260</v>
      </c>
      <c r="G4245">
        <v>51</v>
      </c>
      <c r="H4245">
        <v>0</v>
      </c>
      <c r="I4245" t="s">
        <v>661</v>
      </c>
      <c r="J4245" t="s">
        <v>174</v>
      </c>
      <c r="K4245" t="s">
        <v>177</v>
      </c>
      <c r="O4245">
        <v>0</v>
      </c>
      <c r="U4245" t="s">
        <v>81</v>
      </c>
    </row>
    <row r="4246" spans="1:21" x14ac:dyDescent="0.25">
      <c r="A4246" s="33">
        <v>4266</v>
      </c>
      <c r="B4246" s="24">
        <v>44280</v>
      </c>
      <c r="C4246" t="s">
        <v>181</v>
      </c>
      <c r="D4246" t="s">
        <v>41</v>
      </c>
      <c r="E4246">
        <v>2000721612</v>
      </c>
      <c r="F4246">
        <v>990</v>
      </c>
      <c r="G4246">
        <v>450</v>
      </c>
      <c r="H4246">
        <v>0</v>
      </c>
      <c r="I4246" t="s">
        <v>661</v>
      </c>
      <c r="J4246" t="s">
        <v>174</v>
      </c>
      <c r="K4246" t="s">
        <v>662</v>
      </c>
      <c r="O4246">
        <v>0</v>
      </c>
      <c r="U4246" t="s">
        <v>81</v>
      </c>
    </row>
    <row r="4247" spans="1:21" x14ac:dyDescent="0.25">
      <c r="A4247" s="33">
        <v>4267</v>
      </c>
      <c r="B4247" s="24">
        <v>44280</v>
      </c>
      <c r="C4247" t="s">
        <v>181</v>
      </c>
      <c r="D4247" t="s">
        <v>41</v>
      </c>
      <c r="E4247">
        <v>2000720617</v>
      </c>
      <c r="F4247">
        <v>390</v>
      </c>
      <c r="G4247">
        <v>60</v>
      </c>
      <c r="H4247">
        <v>0</v>
      </c>
      <c r="I4247" t="s">
        <v>168</v>
      </c>
      <c r="J4247" t="s">
        <v>203</v>
      </c>
      <c r="K4247" t="s">
        <v>638</v>
      </c>
      <c r="O4247">
        <v>0</v>
      </c>
      <c r="U4247" t="s">
        <v>81</v>
      </c>
    </row>
    <row r="4248" spans="1:21" x14ac:dyDescent="0.25">
      <c r="A4248" s="33">
        <v>4268</v>
      </c>
      <c r="B4248" s="24">
        <v>44280</v>
      </c>
      <c r="C4248" t="s">
        <v>181</v>
      </c>
      <c r="D4248" t="s">
        <v>41</v>
      </c>
      <c r="E4248">
        <v>2000720618</v>
      </c>
      <c r="F4248">
        <v>720</v>
      </c>
      <c r="G4248">
        <v>510</v>
      </c>
      <c r="H4248">
        <v>0</v>
      </c>
      <c r="I4248" t="s">
        <v>168</v>
      </c>
      <c r="J4248" t="s">
        <v>203</v>
      </c>
      <c r="K4248" t="s">
        <v>639</v>
      </c>
      <c r="O4248">
        <v>0</v>
      </c>
      <c r="U4248" t="s">
        <v>81</v>
      </c>
    </row>
    <row r="4249" spans="1:21" x14ac:dyDescent="0.25">
      <c r="A4249" s="33">
        <v>4269</v>
      </c>
      <c r="B4249" s="24">
        <v>44280</v>
      </c>
      <c r="C4249" t="s">
        <v>181</v>
      </c>
      <c r="D4249" t="s">
        <v>41</v>
      </c>
      <c r="E4249">
        <v>2000720860</v>
      </c>
      <c r="F4249">
        <v>1260</v>
      </c>
      <c r="G4249">
        <v>220</v>
      </c>
      <c r="H4249">
        <v>0</v>
      </c>
      <c r="I4249" t="s">
        <v>666</v>
      </c>
      <c r="J4249" t="s">
        <v>991</v>
      </c>
      <c r="K4249" t="s">
        <v>177</v>
      </c>
      <c r="O4249">
        <v>0</v>
      </c>
      <c r="U4249" t="s">
        <v>81</v>
      </c>
    </row>
    <row r="4250" spans="1:21" x14ac:dyDescent="0.25">
      <c r="A4250" s="33">
        <v>4270</v>
      </c>
      <c r="B4250" s="24">
        <v>44280</v>
      </c>
      <c r="C4250" t="s">
        <v>181</v>
      </c>
      <c r="D4250" t="s">
        <v>41</v>
      </c>
      <c r="E4250">
        <v>2000721612</v>
      </c>
      <c r="F4250">
        <v>990</v>
      </c>
      <c r="G4250">
        <v>440</v>
      </c>
      <c r="H4250">
        <v>0</v>
      </c>
      <c r="I4250" t="s">
        <v>666</v>
      </c>
      <c r="J4250" t="s">
        <v>991</v>
      </c>
      <c r="K4250" t="s">
        <v>662</v>
      </c>
      <c r="O4250">
        <v>0</v>
      </c>
      <c r="U4250" t="s">
        <v>81</v>
      </c>
    </row>
    <row r="4251" spans="1:21" x14ac:dyDescent="0.25">
      <c r="A4251" s="33">
        <v>4271</v>
      </c>
      <c r="B4251" s="24">
        <v>44280</v>
      </c>
      <c r="C4251" t="s">
        <v>181</v>
      </c>
      <c r="D4251" t="s">
        <v>41</v>
      </c>
      <c r="E4251">
        <v>2000720859</v>
      </c>
      <c r="F4251">
        <v>640</v>
      </c>
      <c r="G4251">
        <v>10</v>
      </c>
      <c r="H4251">
        <v>0</v>
      </c>
      <c r="I4251" t="s">
        <v>666</v>
      </c>
      <c r="J4251" t="s">
        <v>991</v>
      </c>
      <c r="K4251" t="s">
        <v>805</v>
      </c>
      <c r="O4251">
        <v>0</v>
      </c>
      <c r="T4251" s="62"/>
      <c r="U4251" t="s">
        <v>81</v>
      </c>
    </row>
    <row r="4252" spans="1:21" x14ac:dyDescent="0.25">
      <c r="A4252" s="33">
        <v>4272</v>
      </c>
      <c r="B4252" s="24">
        <v>44280</v>
      </c>
      <c r="C4252" t="s">
        <v>181</v>
      </c>
      <c r="D4252" t="s">
        <v>41</v>
      </c>
      <c r="E4252">
        <v>2000721293</v>
      </c>
      <c r="F4252">
        <v>490</v>
      </c>
      <c r="G4252">
        <v>20</v>
      </c>
      <c r="H4252">
        <v>0</v>
      </c>
      <c r="I4252" t="s">
        <v>178</v>
      </c>
      <c r="J4252" t="s">
        <v>169</v>
      </c>
      <c r="K4252" t="s">
        <v>767</v>
      </c>
      <c r="O4252">
        <v>0</v>
      </c>
      <c r="U4252" t="s">
        <v>81</v>
      </c>
    </row>
    <row r="4253" spans="1:21" x14ac:dyDescent="0.25">
      <c r="A4253" s="33">
        <v>4273</v>
      </c>
      <c r="B4253" s="24">
        <v>44280</v>
      </c>
      <c r="C4253" t="s">
        <v>181</v>
      </c>
      <c r="D4253" t="s">
        <v>41</v>
      </c>
      <c r="E4253">
        <v>2000721601</v>
      </c>
      <c r="F4253">
        <v>336</v>
      </c>
      <c r="G4253">
        <v>80</v>
      </c>
      <c r="H4253">
        <v>0</v>
      </c>
      <c r="I4253" t="s">
        <v>178</v>
      </c>
      <c r="J4253" t="s">
        <v>687</v>
      </c>
      <c r="K4253" t="s">
        <v>898</v>
      </c>
      <c r="O4253">
        <v>0</v>
      </c>
      <c r="U4253" t="s">
        <v>81</v>
      </c>
    </row>
    <row r="4254" spans="1:21" x14ac:dyDescent="0.25">
      <c r="A4254" s="33">
        <v>4274</v>
      </c>
      <c r="B4254" s="24">
        <v>44280</v>
      </c>
      <c r="C4254" t="s">
        <v>181</v>
      </c>
      <c r="D4254" t="s">
        <v>41</v>
      </c>
      <c r="E4254">
        <v>2000721233</v>
      </c>
      <c r="F4254">
        <v>950</v>
      </c>
      <c r="G4254">
        <v>90</v>
      </c>
      <c r="H4254">
        <v>0</v>
      </c>
      <c r="I4254" t="s">
        <v>178</v>
      </c>
      <c r="J4254" t="s">
        <v>174</v>
      </c>
      <c r="K4254" t="s">
        <v>776</v>
      </c>
      <c r="O4254">
        <v>0</v>
      </c>
      <c r="U4254" t="s">
        <v>81</v>
      </c>
    </row>
    <row r="4255" spans="1:21" x14ac:dyDescent="0.25">
      <c r="A4255" s="33">
        <v>4275</v>
      </c>
      <c r="B4255" s="24">
        <v>44280</v>
      </c>
      <c r="C4255" t="s">
        <v>181</v>
      </c>
      <c r="D4255" t="s">
        <v>41</v>
      </c>
      <c r="E4255">
        <v>2000720617</v>
      </c>
      <c r="F4255">
        <v>390</v>
      </c>
      <c r="G4255">
        <v>150</v>
      </c>
      <c r="H4255">
        <v>0</v>
      </c>
      <c r="I4255" t="s">
        <v>178</v>
      </c>
      <c r="J4255" t="s">
        <v>203</v>
      </c>
      <c r="K4255" t="s">
        <v>638</v>
      </c>
      <c r="O4255">
        <v>0</v>
      </c>
      <c r="U4255" t="s">
        <v>81</v>
      </c>
    </row>
    <row r="4256" spans="1:21" x14ac:dyDescent="0.25">
      <c r="A4256" s="33">
        <v>4276</v>
      </c>
      <c r="B4256" s="24">
        <v>44280</v>
      </c>
      <c r="C4256" t="s">
        <v>181</v>
      </c>
      <c r="D4256" t="s">
        <v>41</v>
      </c>
      <c r="E4256">
        <v>2000720618</v>
      </c>
      <c r="F4256">
        <v>720</v>
      </c>
      <c r="G4256">
        <v>210</v>
      </c>
      <c r="H4256">
        <v>0</v>
      </c>
      <c r="I4256" t="s">
        <v>178</v>
      </c>
      <c r="J4256" t="s">
        <v>203</v>
      </c>
      <c r="K4256" t="s">
        <v>639</v>
      </c>
      <c r="O4256">
        <v>0</v>
      </c>
      <c r="U4256" t="s">
        <v>81</v>
      </c>
    </row>
    <row r="4257" spans="1:21" x14ac:dyDescent="0.25">
      <c r="A4257" s="33">
        <v>4277</v>
      </c>
      <c r="B4257" s="24">
        <v>44280</v>
      </c>
      <c r="C4257" t="s">
        <v>181</v>
      </c>
      <c r="D4257" t="s">
        <v>41</v>
      </c>
      <c r="E4257">
        <v>2000720619</v>
      </c>
      <c r="F4257">
        <v>410</v>
      </c>
      <c r="G4257">
        <v>30</v>
      </c>
      <c r="H4257">
        <v>0</v>
      </c>
      <c r="I4257" t="s">
        <v>178</v>
      </c>
      <c r="J4257" t="s">
        <v>203</v>
      </c>
      <c r="K4257" t="s">
        <v>891</v>
      </c>
      <c r="O4257">
        <v>0</v>
      </c>
      <c r="U4257" t="s">
        <v>81</v>
      </c>
    </row>
    <row r="4258" spans="1:21" x14ac:dyDescent="0.25">
      <c r="A4258" s="33">
        <v>4278</v>
      </c>
      <c r="B4258" s="24">
        <v>44280</v>
      </c>
      <c r="C4258" t="s">
        <v>181</v>
      </c>
      <c r="D4258" t="s">
        <v>41</v>
      </c>
      <c r="E4258">
        <v>2000720860</v>
      </c>
      <c r="F4258">
        <v>1260</v>
      </c>
      <c r="G4258">
        <v>160</v>
      </c>
      <c r="H4258">
        <v>0</v>
      </c>
      <c r="I4258" t="s">
        <v>194</v>
      </c>
      <c r="J4258" t="s">
        <v>174</v>
      </c>
      <c r="K4258" t="s">
        <v>177</v>
      </c>
      <c r="O4258">
        <v>0</v>
      </c>
      <c r="U4258" t="s">
        <v>81</v>
      </c>
    </row>
    <row r="4259" spans="1:21" x14ac:dyDescent="0.25">
      <c r="A4259" s="33">
        <v>4279</v>
      </c>
      <c r="B4259" s="24">
        <v>44280</v>
      </c>
      <c r="C4259" t="s">
        <v>181</v>
      </c>
      <c r="D4259" t="s">
        <v>41</v>
      </c>
      <c r="E4259">
        <v>2000720665</v>
      </c>
      <c r="F4259">
        <v>4432</v>
      </c>
      <c r="G4259">
        <v>200</v>
      </c>
      <c r="H4259">
        <v>0</v>
      </c>
      <c r="I4259" t="s">
        <v>194</v>
      </c>
      <c r="J4259" t="s">
        <v>200</v>
      </c>
      <c r="K4259" t="s">
        <v>653</v>
      </c>
      <c r="O4259">
        <v>0</v>
      </c>
      <c r="U4259" t="s">
        <v>81</v>
      </c>
    </row>
    <row r="4260" spans="1:21" x14ac:dyDescent="0.25">
      <c r="A4260" s="33">
        <v>4280</v>
      </c>
      <c r="B4260" s="24">
        <v>44280</v>
      </c>
      <c r="C4260" t="s">
        <v>181</v>
      </c>
      <c r="D4260" t="s">
        <v>41</v>
      </c>
      <c r="E4260">
        <v>2000720811</v>
      </c>
      <c r="F4260">
        <v>3999</v>
      </c>
      <c r="G4260">
        <v>240</v>
      </c>
      <c r="H4260">
        <v>0</v>
      </c>
      <c r="I4260" t="s">
        <v>194</v>
      </c>
      <c r="J4260" t="s">
        <v>687</v>
      </c>
      <c r="K4260" t="s">
        <v>688</v>
      </c>
      <c r="O4260">
        <v>0</v>
      </c>
      <c r="U4260" t="s">
        <v>81</v>
      </c>
    </row>
    <row r="4261" spans="1:21" x14ac:dyDescent="0.25">
      <c r="A4261" s="33">
        <v>4281</v>
      </c>
      <c r="B4261" s="24">
        <v>44280</v>
      </c>
      <c r="C4261" t="s">
        <v>181</v>
      </c>
      <c r="D4261" t="s">
        <v>41</v>
      </c>
      <c r="E4261">
        <v>2000721603</v>
      </c>
      <c r="F4261">
        <v>900</v>
      </c>
      <c r="G4261">
        <v>80</v>
      </c>
      <c r="H4261">
        <v>0</v>
      </c>
      <c r="I4261" t="s">
        <v>665</v>
      </c>
      <c r="J4261" t="s">
        <v>687</v>
      </c>
      <c r="K4261" t="s">
        <v>705</v>
      </c>
      <c r="O4261">
        <v>0</v>
      </c>
      <c r="U4261" t="s">
        <v>81</v>
      </c>
    </row>
    <row r="4262" spans="1:21" x14ac:dyDescent="0.25">
      <c r="A4262" s="33">
        <v>4282</v>
      </c>
      <c r="B4262" s="24">
        <v>44280</v>
      </c>
      <c r="C4262" t="s">
        <v>181</v>
      </c>
      <c r="D4262" t="s">
        <v>41</v>
      </c>
      <c r="E4262">
        <v>2000721320</v>
      </c>
      <c r="F4262">
        <v>600</v>
      </c>
      <c r="G4262">
        <v>40</v>
      </c>
      <c r="H4262">
        <v>0</v>
      </c>
      <c r="I4262" t="s">
        <v>642</v>
      </c>
      <c r="J4262" t="s">
        <v>987</v>
      </c>
      <c r="K4262" t="s">
        <v>734</v>
      </c>
      <c r="O4262">
        <v>0</v>
      </c>
      <c r="U4262" t="s">
        <v>81</v>
      </c>
    </row>
    <row r="4263" spans="1:21" ht="30" x14ac:dyDescent="0.25">
      <c r="A4263" s="33">
        <v>4283</v>
      </c>
      <c r="B4263" s="24">
        <v>44280</v>
      </c>
      <c r="C4263" t="s">
        <v>181</v>
      </c>
      <c r="D4263" t="s">
        <v>41</v>
      </c>
      <c r="E4263">
        <v>2000720941</v>
      </c>
      <c r="F4263">
        <v>1160</v>
      </c>
      <c r="G4263">
        <v>200</v>
      </c>
      <c r="H4263">
        <v>0</v>
      </c>
      <c r="I4263" t="s">
        <v>642</v>
      </c>
      <c r="J4263" t="s">
        <v>196</v>
      </c>
      <c r="K4263" t="s">
        <v>648</v>
      </c>
      <c r="O4263">
        <v>0</v>
      </c>
      <c r="T4263" s="62" t="s">
        <v>723</v>
      </c>
      <c r="U4263" t="s">
        <v>81</v>
      </c>
    </row>
    <row r="4264" spans="1:21" x14ac:dyDescent="0.25">
      <c r="A4264" s="33">
        <v>4284</v>
      </c>
      <c r="B4264" s="24">
        <v>44280</v>
      </c>
      <c r="C4264" t="s">
        <v>181</v>
      </c>
      <c r="D4264" t="s">
        <v>41</v>
      </c>
      <c r="E4264">
        <v>2000721290</v>
      </c>
      <c r="F4264">
        <v>2200</v>
      </c>
      <c r="G4264">
        <v>200</v>
      </c>
      <c r="H4264">
        <v>0</v>
      </c>
      <c r="I4264" t="s">
        <v>642</v>
      </c>
      <c r="J4264" t="s">
        <v>172</v>
      </c>
      <c r="K4264" t="s">
        <v>173</v>
      </c>
      <c r="O4264">
        <v>0</v>
      </c>
      <c r="U4264" t="s">
        <v>81</v>
      </c>
    </row>
    <row r="4265" spans="1:21" x14ac:dyDescent="0.25">
      <c r="A4265" s="33">
        <v>4285</v>
      </c>
      <c r="B4265" s="24">
        <v>44280</v>
      </c>
      <c r="C4265" t="s">
        <v>181</v>
      </c>
      <c r="D4265" t="s">
        <v>41</v>
      </c>
      <c r="E4265">
        <v>2000720883</v>
      </c>
      <c r="F4265">
        <v>1000</v>
      </c>
      <c r="G4265">
        <v>100</v>
      </c>
      <c r="H4265">
        <v>0</v>
      </c>
      <c r="I4265" t="s">
        <v>642</v>
      </c>
      <c r="J4265" t="s">
        <v>193</v>
      </c>
      <c r="K4265" t="s">
        <v>647</v>
      </c>
      <c r="O4265">
        <v>0</v>
      </c>
      <c r="U4265" t="s">
        <v>81</v>
      </c>
    </row>
    <row r="4266" spans="1:21" x14ac:dyDescent="0.25">
      <c r="A4266" s="33">
        <v>4286</v>
      </c>
      <c r="B4266" s="24">
        <v>44280</v>
      </c>
      <c r="C4266" t="s">
        <v>181</v>
      </c>
      <c r="D4266" t="s">
        <v>41</v>
      </c>
      <c r="E4266">
        <v>2000721333</v>
      </c>
      <c r="F4266">
        <v>2200</v>
      </c>
      <c r="G4266">
        <v>30</v>
      </c>
      <c r="H4266">
        <v>0</v>
      </c>
      <c r="I4266" t="s">
        <v>642</v>
      </c>
      <c r="J4266" t="s">
        <v>998</v>
      </c>
      <c r="K4266" t="s">
        <v>765</v>
      </c>
      <c r="O4266">
        <v>0</v>
      </c>
      <c r="U4266" t="s">
        <v>81</v>
      </c>
    </row>
    <row r="4267" spans="1:21" x14ac:dyDescent="0.25">
      <c r="A4267" s="33">
        <v>4287</v>
      </c>
      <c r="B4267" s="24">
        <v>44280</v>
      </c>
      <c r="C4267" t="s">
        <v>181</v>
      </c>
      <c r="D4267" t="s">
        <v>41</v>
      </c>
      <c r="E4267">
        <v>2000720945</v>
      </c>
      <c r="F4267">
        <v>3216</v>
      </c>
      <c r="G4267">
        <v>700</v>
      </c>
      <c r="H4267">
        <v>0</v>
      </c>
      <c r="I4267" t="s">
        <v>201</v>
      </c>
      <c r="J4267" t="s">
        <v>990</v>
      </c>
      <c r="K4267" t="s">
        <v>788</v>
      </c>
      <c r="O4267">
        <v>0</v>
      </c>
      <c r="U4267" t="s">
        <v>81</v>
      </c>
    </row>
    <row r="4268" spans="1:21" x14ac:dyDescent="0.25">
      <c r="A4268" s="33">
        <v>4288</v>
      </c>
      <c r="B4268" s="24">
        <v>44280</v>
      </c>
      <c r="C4268" t="s">
        <v>181</v>
      </c>
      <c r="D4268" t="s">
        <v>41</v>
      </c>
      <c r="E4268">
        <v>2000720671</v>
      </c>
      <c r="F4268">
        <v>4220</v>
      </c>
      <c r="G4268">
        <v>240</v>
      </c>
      <c r="H4268">
        <v>0</v>
      </c>
      <c r="I4268" t="s">
        <v>201</v>
      </c>
      <c r="J4268" t="s">
        <v>199</v>
      </c>
      <c r="K4268" t="s">
        <v>660</v>
      </c>
      <c r="O4268">
        <v>0</v>
      </c>
      <c r="U4268" t="s">
        <v>81</v>
      </c>
    </row>
    <row r="4269" spans="1:21" x14ac:dyDescent="0.25">
      <c r="A4269" s="33">
        <v>4289</v>
      </c>
      <c r="B4269" s="24">
        <v>44280</v>
      </c>
      <c r="C4269" t="s">
        <v>181</v>
      </c>
      <c r="D4269" t="s">
        <v>41</v>
      </c>
      <c r="E4269">
        <v>2000720184</v>
      </c>
      <c r="F4269">
        <v>1800</v>
      </c>
      <c r="G4269">
        <v>160</v>
      </c>
      <c r="H4269">
        <v>0</v>
      </c>
      <c r="I4269" t="s">
        <v>201</v>
      </c>
      <c r="J4269" t="s">
        <v>614</v>
      </c>
      <c r="K4269" t="s">
        <v>746</v>
      </c>
      <c r="O4269">
        <v>0</v>
      </c>
      <c r="U4269" t="s">
        <v>81</v>
      </c>
    </row>
    <row r="4270" spans="1:21" x14ac:dyDescent="0.25">
      <c r="A4270" s="33">
        <v>4290</v>
      </c>
      <c r="B4270" s="24">
        <v>44280</v>
      </c>
      <c r="C4270" t="s">
        <v>181</v>
      </c>
      <c r="D4270" t="s">
        <v>41</v>
      </c>
      <c r="E4270">
        <v>2000720939</v>
      </c>
      <c r="F4270">
        <v>1160</v>
      </c>
      <c r="G4270">
        <v>150</v>
      </c>
      <c r="H4270">
        <v>0</v>
      </c>
      <c r="I4270" t="s">
        <v>201</v>
      </c>
      <c r="J4270" t="s">
        <v>196</v>
      </c>
      <c r="K4270" t="s">
        <v>682</v>
      </c>
      <c r="O4270">
        <v>0</v>
      </c>
      <c r="U4270" t="s">
        <v>81</v>
      </c>
    </row>
    <row r="4271" spans="1:21" x14ac:dyDescent="0.25">
      <c r="A4271" s="33">
        <v>4291</v>
      </c>
      <c r="B4271" s="24">
        <v>44280</v>
      </c>
      <c r="C4271" t="s">
        <v>181</v>
      </c>
      <c r="D4271" t="s">
        <v>41</v>
      </c>
      <c r="E4271">
        <v>2000721289</v>
      </c>
      <c r="F4271">
        <v>2200</v>
      </c>
      <c r="G4271">
        <v>200</v>
      </c>
      <c r="H4271">
        <v>0</v>
      </c>
      <c r="I4271" t="s">
        <v>201</v>
      </c>
      <c r="J4271" t="s">
        <v>1022</v>
      </c>
      <c r="K4271" t="s">
        <v>725</v>
      </c>
      <c r="O4271">
        <v>0</v>
      </c>
      <c r="U4271" t="s">
        <v>81</v>
      </c>
    </row>
    <row r="4272" spans="1:21" x14ac:dyDescent="0.25">
      <c r="A4272" s="33">
        <v>4292</v>
      </c>
      <c r="B4272" s="24">
        <v>44280</v>
      </c>
      <c r="C4272" t="s">
        <v>181</v>
      </c>
      <c r="D4272" t="s">
        <v>41</v>
      </c>
      <c r="E4272">
        <v>2000720604</v>
      </c>
      <c r="F4272">
        <v>2000</v>
      </c>
      <c r="G4272">
        <v>160</v>
      </c>
      <c r="H4272">
        <v>0</v>
      </c>
      <c r="I4272" t="s">
        <v>201</v>
      </c>
      <c r="J4272" t="s">
        <v>193</v>
      </c>
      <c r="K4272" t="s">
        <v>650</v>
      </c>
      <c r="O4272">
        <v>0</v>
      </c>
      <c r="U4272" t="s">
        <v>81</v>
      </c>
    </row>
    <row r="4273" spans="1:21" x14ac:dyDescent="0.25">
      <c r="A4273" s="33">
        <v>4293</v>
      </c>
      <c r="B4273" s="24">
        <v>44280</v>
      </c>
      <c r="C4273" t="s">
        <v>181</v>
      </c>
      <c r="D4273" t="s">
        <v>41</v>
      </c>
      <c r="E4273">
        <v>2000720938</v>
      </c>
      <c r="F4273">
        <v>1160</v>
      </c>
      <c r="G4273">
        <v>200</v>
      </c>
      <c r="H4273">
        <v>0</v>
      </c>
      <c r="I4273" t="s">
        <v>201</v>
      </c>
      <c r="J4273" t="s">
        <v>196</v>
      </c>
      <c r="K4273" t="s">
        <v>684</v>
      </c>
      <c r="O4273">
        <v>0</v>
      </c>
      <c r="U4273" t="s">
        <v>81</v>
      </c>
    </row>
    <row r="4274" spans="1:21" x14ac:dyDescent="0.25">
      <c r="A4274" s="33">
        <v>4294</v>
      </c>
      <c r="B4274" s="24">
        <v>44280</v>
      </c>
      <c r="C4274" t="s">
        <v>181</v>
      </c>
      <c r="D4274" t="s">
        <v>41</v>
      </c>
      <c r="E4274">
        <v>2000720940</v>
      </c>
      <c r="F4274">
        <v>1160</v>
      </c>
      <c r="G4274">
        <v>150</v>
      </c>
      <c r="H4274">
        <v>0</v>
      </c>
      <c r="I4274" t="s">
        <v>201</v>
      </c>
      <c r="J4274" t="s">
        <v>196</v>
      </c>
      <c r="K4274" t="s">
        <v>685</v>
      </c>
      <c r="O4274">
        <v>0</v>
      </c>
      <c r="U4274" t="s">
        <v>81</v>
      </c>
    </row>
    <row r="4275" spans="1:21" x14ac:dyDescent="0.25">
      <c r="A4275" s="33">
        <v>4295</v>
      </c>
      <c r="B4275" s="24">
        <v>44280</v>
      </c>
      <c r="C4275" t="s">
        <v>181</v>
      </c>
      <c r="D4275" t="s">
        <v>41</v>
      </c>
      <c r="E4275">
        <v>2000720874</v>
      </c>
      <c r="F4275">
        <v>1000</v>
      </c>
      <c r="G4275">
        <v>150</v>
      </c>
      <c r="H4275">
        <v>0</v>
      </c>
      <c r="I4275" t="s">
        <v>201</v>
      </c>
      <c r="J4275" t="s">
        <v>193</v>
      </c>
      <c r="K4275" t="s">
        <v>176</v>
      </c>
      <c r="O4275">
        <v>0</v>
      </c>
      <c r="U4275" t="s">
        <v>81</v>
      </c>
    </row>
    <row r="4276" spans="1:21" x14ac:dyDescent="0.25">
      <c r="A4276" s="33">
        <v>4296</v>
      </c>
      <c r="B4276" s="24">
        <v>44280</v>
      </c>
      <c r="C4276" t="s">
        <v>181</v>
      </c>
      <c r="D4276" t="s">
        <v>41</v>
      </c>
      <c r="E4276">
        <v>2000720673</v>
      </c>
      <c r="F4276">
        <v>1480</v>
      </c>
      <c r="G4276">
        <v>160</v>
      </c>
      <c r="H4276">
        <v>0</v>
      </c>
      <c r="I4276" t="s">
        <v>201</v>
      </c>
      <c r="J4276" t="s">
        <v>614</v>
      </c>
      <c r="K4276" t="s">
        <v>746</v>
      </c>
      <c r="O4276">
        <v>0</v>
      </c>
      <c r="U4276" t="s">
        <v>81</v>
      </c>
    </row>
    <row r="4277" spans="1:21" x14ac:dyDescent="0.25">
      <c r="A4277" s="33">
        <v>4297</v>
      </c>
      <c r="B4277" s="24">
        <v>44280</v>
      </c>
      <c r="C4277" t="s">
        <v>181</v>
      </c>
      <c r="D4277" t="s">
        <v>41</v>
      </c>
      <c r="E4277">
        <v>2000721293</v>
      </c>
      <c r="F4277">
        <v>490</v>
      </c>
      <c r="G4277">
        <v>312</v>
      </c>
      <c r="H4277">
        <v>0</v>
      </c>
      <c r="I4277" t="s">
        <v>180</v>
      </c>
      <c r="J4277" t="s">
        <v>169</v>
      </c>
      <c r="K4277" t="s">
        <v>767</v>
      </c>
      <c r="O4277">
        <v>0</v>
      </c>
      <c r="U4277" t="s">
        <v>81</v>
      </c>
    </row>
    <row r="4278" spans="1:21" x14ac:dyDescent="0.25">
      <c r="A4278" s="33">
        <v>4298</v>
      </c>
      <c r="B4278" s="24">
        <v>44280</v>
      </c>
      <c r="C4278" t="s">
        <v>181</v>
      </c>
      <c r="D4278" t="s">
        <v>51</v>
      </c>
      <c r="E4278">
        <v>2000721071</v>
      </c>
      <c r="F4278">
        <v>620</v>
      </c>
      <c r="G4278">
        <v>300</v>
      </c>
      <c r="H4278">
        <v>1</v>
      </c>
      <c r="I4278" t="s">
        <v>191</v>
      </c>
      <c r="J4278" t="s">
        <v>676</v>
      </c>
      <c r="K4278" t="s">
        <v>677</v>
      </c>
      <c r="L4278" t="s">
        <v>106</v>
      </c>
      <c r="N4278" t="s">
        <v>1136</v>
      </c>
      <c r="O4278">
        <v>1</v>
      </c>
      <c r="P4278" t="s">
        <v>1137</v>
      </c>
      <c r="Q4278" t="s">
        <v>1138</v>
      </c>
      <c r="R4278" t="s">
        <v>1139</v>
      </c>
      <c r="S4278" s="36">
        <v>0.88888888888888884</v>
      </c>
      <c r="U4278" t="s">
        <v>81</v>
      </c>
    </row>
    <row r="4279" spans="1:21" x14ac:dyDescent="0.25">
      <c r="A4279" s="33">
        <v>4299</v>
      </c>
      <c r="B4279" s="24">
        <v>44281</v>
      </c>
      <c r="C4279" t="s">
        <v>39</v>
      </c>
      <c r="D4279" t="s">
        <v>51</v>
      </c>
      <c r="E4279">
        <v>2000721068</v>
      </c>
      <c r="F4279">
        <v>940</v>
      </c>
      <c r="G4279">
        <v>70</v>
      </c>
      <c r="H4279">
        <v>0</v>
      </c>
      <c r="I4279" t="s">
        <v>184</v>
      </c>
      <c r="J4279" t="s">
        <v>937</v>
      </c>
      <c r="K4279" t="s">
        <v>951</v>
      </c>
      <c r="O4279">
        <v>0</v>
      </c>
      <c r="U4279" t="s">
        <v>81</v>
      </c>
    </row>
    <row r="4280" spans="1:21" x14ac:dyDescent="0.25">
      <c r="A4280" s="33">
        <v>4300</v>
      </c>
      <c r="B4280" s="24">
        <v>44281</v>
      </c>
      <c r="C4280" t="s">
        <v>39</v>
      </c>
      <c r="D4280" t="s">
        <v>51</v>
      </c>
      <c r="E4280">
        <v>2000721069</v>
      </c>
      <c r="F4280">
        <v>500</v>
      </c>
      <c r="G4280">
        <v>110</v>
      </c>
      <c r="H4280">
        <v>0</v>
      </c>
      <c r="I4280" t="s">
        <v>706</v>
      </c>
      <c r="J4280" t="s">
        <v>779</v>
      </c>
      <c r="K4280" t="s">
        <v>809</v>
      </c>
      <c r="O4280">
        <v>0</v>
      </c>
      <c r="U4280" t="s">
        <v>81</v>
      </c>
    </row>
    <row r="4281" spans="1:21" x14ac:dyDescent="0.25">
      <c r="A4281" s="33">
        <v>4301</v>
      </c>
      <c r="B4281" s="24">
        <v>44281</v>
      </c>
      <c r="C4281" t="s">
        <v>39</v>
      </c>
      <c r="D4281" t="s">
        <v>51</v>
      </c>
      <c r="E4281">
        <v>2000721073</v>
      </c>
      <c r="F4281">
        <v>700</v>
      </c>
      <c r="G4281">
        <v>80</v>
      </c>
      <c r="H4281">
        <v>0</v>
      </c>
      <c r="I4281" t="s">
        <v>706</v>
      </c>
      <c r="J4281" t="s">
        <v>673</v>
      </c>
      <c r="K4281" t="s">
        <v>760</v>
      </c>
      <c r="O4281">
        <v>0</v>
      </c>
      <c r="U4281" t="s">
        <v>81</v>
      </c>
    </row>
    <row r="4282" spans="1:21" x14ac:dyDescent="0.25">
      <c r="A4282" s="33">
        <v>4302</v>
      </c>
      <c r="B4282" s="24">
        <v>44281</v>
      </c>
      <c r="C4282" t="s">
        <v>39</v>
      </c>
      <c r="D4282" t="s">
        <v>51</v>
      </c>
      <c r="E4282">
        <v>2000721071</v>
      </c>
      <c r="F4282">
        <v>620</v>
      </c>
      <c r="G4282">
        <v>110</v>
      </c>
      <c r="H4282">
        <v>0</v>
      </c>
      <c r="I4282" t="s">
        <v>706</v>
      </c>
      <c r="J4282" t="s">
        <v>676</v>
      </c>
      <c r="K4282" t="s">
        <v>677</v>
      </c>
      <c r="O4282">
        <v>0</v>
      </c>
      <c r="U4282" t="s">
        <v>81</v>
      </c>
    </row>
    <row r="4283" spans="1:21" x14ac:dyDescent="0.25">
      <c r="A4283" s="33">
        <v>4303</v>
      </c>
      <c r="B4283" s="24">
        <v>44281</v>
      </c>
      <c r="C4283" t="s">
        <v>39</v>
      </c>
      <c r="D4283" t="s">
        <v>51</v>
      </c>
      <c r="E4283">
        <v>2000720166</v>
      </c>
      <c r="F4283">
        <v>620</v>
      </c>
      <c r="G4283">
        <v>10</v>
      </c>
      <c r="H4283">
        <v>0</v>
      </c>
      <c r="I4283" t="s">
        <v>706</v>
      </c>
      <c r="J4283" t="s">
        <v>676</v>
      </c>
      <c r="K4283" t="s">
        <v>874</v>
      </c>
      <c r="O4283">
        <v>0</v>
      </c>
      <c r="U4283" t="s">
        <v>81</v>
      </c>
    </row>
    <row r="4284" spans="1:21" x14ac:dyDescent="0.25">
      <c r="A4284" s="33">
        <v>4304</v>
      </c>
      <c r="B4284" s="24">
        <v>44281</v>
      </c>
      <c r="C4284" t="s">
        <v>39</v>
      </c>
      <c r="D4284" t="s">
        <v>51</v>
      </c>
      <c r="E4284">
        <v>2000720219</v>
      </c>
      <c r="F4284">
        <v>350</v>
      </c>
      <c r="G4284">
        <v>250</v>
      </c>
      <c r="H4284">
        <v>0</v>
      </c>
      <c r="I4284" t="s">
        <v>706</v>
      </c>
      <c r="J4284" t="s">
        <v>669</v>
      </c>
      <c r="K4284" t="s">
        <v>810</v>
      </c>
      <c r="O4284">
        <v>0</v>
      </c>
      <c r="U4284" t="s">
        <v>81</v>
      </c>
    </row>
    <row r="4285" spans="1:21" x14ac:dyDescent="0.25">
      <c r="A4285" s="33">
        <v>4305</v>
      </c>
      <c r="B4285" s="24">
        <v>44281</v>
      </c>
      <c r="C4285" t="s">
        <v>39</v>
      </c>
      <c r="D4285" t="s">
        <v>51</v>
      </c>
      <c r="E4285">
        <v>2000721068</v>
      </c>
      <c r="F4285">
        <v>940</v>
      </c>
      <c r="G4285">
        <v>20</v>
      </c>
      <c r="H4285">
        <v>0</v>
      </c>
      <c r="I4285" t="s">
        <v>706</v>
      </c>
      <c r="J4285" t="s">
        <v>669</v>
      </c>
      <c r="K4285" t="s">
        <v>951</v>
      </c>
      <c r="O4285">
        <v>0</v>
      </c>
      <c r="U4285" t="s">
        <v>81</v>
      </c>
    </row>
    <row r="4286" spans="1:21" x14ac:dyDescent="0.25">
      <c r="A4286" s="33">
        <v>4306</v>
      </c>
      <c r="B4286" s="24">
        <v>44281</v>
      </c>
      <c r="C4286" t="s">
        <v>39</v>
      </c>
      <c r="D4286" t="s">
        <v>51</v>
      </c>
      <c r="E4286">
        <v>2000721078</v>
      </c>
      <c r="F4286">
        <v>620</v>
      </c>
      <c r="G4286">
        <v>620</v>
      </c>
      <c r="H4286">
        <v>0</v>
      </c>
      <c r="I4286" t="s">
        <v>706</v>
      </c>
      <c r="J4286" t="s">
        <v>678</v>
      </c>
      <c r="K4286" t="s">
        <v>679</v>
      </c>
      <c r="O4286">
        <v>0</v>
      </c>
      <c r="U4286" t="s">
        <v>81</v>
      </c>
    </row>
    <row r="4287" spans="1:21" x14ac:dyDescent="0.25">
      <c r="A4287" s="33">
        <v>4307</v>
      </c>
      <c r="B4287" s="24">
        <v>44281</v>
      </c>
      <c r="C4287" t="s">
        <v>39</v>
      </c>
      <c r="D4287" t="s">
        <v>41</v>
      </c>
      <c r="E4287">
        <v>2000721556</v>
      </c>
      <c r="F4287">
        <v>870</v>
      </c>
      <c r="G4287">
        <v>225</v>
      </c>
      <c r="H4287">
        <v>0</v>
      </c>
      <c r="I4287" t="s">
        <v>759</v>
      </c>
      <c r="J4287" t="s">
        <v>174</v>
      </c>
      <c r="K4287" t="s">
        <v>774</v>
      </c>
      <c r="O4287">
        <v>0</v>
      </c>
      <c r="U4287" t="s">
        <v>81</v>
      </c>
    </row>
    <row r="4288" spans="1:21" x14ac:dyDescent="0.25">
      <c r="A4288" s="33">
        <v>4308</v>
      </c>
      <c r="B4288" s="24">
        <v>44281</v>
      </c>
      <c r="C4288" t="s">
        <v>39</v>
      </c>
      <c r="D4288" t="s">
        <v>41</v>
      </c>
      <c r="E4288">
        <v>2000721726</v>
      </c>
      <c r="F4288">
        <v>470</v>
      </c>
      <c r="G4288">
        <v>40</v>
      </c>
      <c r="H4288">
        <v>0</v>
      </c>
      <c r="I4288" t="s">
        <v>759</v>
      </c>
      <c r="J4288" t="s">
        <v>174</v>
      </c>
      <c r="K4288" t="s">
        <v>662</v>
      </c>
      <c r="O4288">
        <v>0</v>
      </c>
      <c r="U4288" t="s">
        <v>81</v>
      </c>
    </row>
    <row r="4289" spans="1:21" x14ac:dyDescent="0.25">
      <c r="A4289" s="33">
        <v>4309</v>
      </c>
      <c r="B4289" s="24">
        <v>44281</v>
      </c>
      <c r="C4289" t="s">
        <v>39</v>
      </c>
      <c r="D4289" t="s">
        <v>41</v>
      </c>
      <c r="E4289">
        <v>2000720859</v>
      </c>
      <c r="F4289">
        <v>640</v>
      </c>
      <c r="G4289">
        <v>594</v>
      </c>
      <c r="H4289">
        <v>0</v>
      </c>
      <c r="I4289" t="s">
        <v>183</v>
      </c>
      <c r="J4289" t="s">
        <v>174</v>
      </c>
      <c r="K4289" t="s">
        <v>805</v>
      </c>
      <c r="O4289">
        <v>0</v>
      </c>
      <c r="U4289" t="s">
        <v>81</v>
      </c>
    </row>
    <row r="4290" spans="1:21" x14ac:dyDescent="0.25">
      <c r="A4290" s="33">
        <v>4310</v>
      </c>
      <c r="B4290" s="24">
        <v>44281</v>
      </c>
      <c r="C4290" t="s">
        <v>39</v>
      </c>
      <c r="D4290" t="s">
        <v>41</v>
      </c>
      <c r="E4290">
        <v>2000721303</v>
      </c>
      <c r="F4290">
        <v>1800</v>
      </c>
      <c r="G4290">
        <v>20</v>
      </c>
      <c r="H4290">
        <v>0</v>
      </c>
      <c r="I4290" t="s">
        <v>183</v>
      </c>
      <c r="J4290" t="s">
        <v>169</v>
      </c>
      <c r="K4290" t="s">
        <v>190</v>
      </c>
      <c r="O4290">
        <v>0</v>
      </c>
      <c r="U4290" t="s">
        <v>81</v>
      </c>
    </row>
    <row r="4291" spans="1:21" x14ac:dyDescent="0.25">
      <c r="A4291" s="33">
        <v>4311</v>
      </c>
      <c r="B4291" s="24">
        <v>44281</v>
      </c>
      <c r="C4291" t="s">
        <v>39</v>
      </c>
      <c r="D4291" t="s">
        <v>41</v>
      </c>
      <c r="E4291">
        <v>2000720023</v>
      </c>
      <c r="F4291">
        <v>640</v>
      </c>
      <c r="G4291">
        <v>11</v>
      </c>
      <c r="H4291">
        <v>0</v>
      </c>
      <c r="I4291" t="s">
        <v>183</v>
      </c>
      <c r="J4291" t="s">
        <v>174</v>
      </c>
      <c r="K4291" t="s">
        <v>805</v>
      </c>
      <c r="O4291">
        <v>0</v>
      </c>
      <c r="U4291" t="s">
        <v>81</v>
      </c>
    </row>
    <row r="4292" spans="1:21" x14ac:dyDescent="0.25">
      <c r="A4292" s="33">
        <v>4312</v>
      </c>
      <c r="B4292" s="24">
        <v>44281</v>
      </c>
      <c r="C4292" t="s">
        <v>39</v>
      </c>
      <c r="D4292" t="s">
        <v>41</v>
      </c>
      <c r="E4292">
        <v>2000720021</v>
      </c>
      <c r="F4292">
        <v>320</v>
      </c>
      <c r="G4292">
        <v>2</v>
      </c>
      <c r="H4292">
        <v>0</v>
      </c>
      <c r="I4292" t="s">
        <v>183</v>
      </c>
      <c r="J4292" t="s">
        <v>174</v>
      </c>
      <c r="K4292" t="s">
        <v>662</v>
      </c>
      <c r="O4292">
        <v>0</v>
      </c>
      <c r="U4292" t="s">
        <v>81</v>
      </c>
    </row>
    <row r="4293" spans="1:21" x14ac:dyDescent="0.25">
      <c r="A4293" s="33">
        <v>4313</v>
      </c>
      <c r="B4293" s="24">
        <v>44281</v>
      </c>
      <c r="C4293" t="s">
        <v>39</v>
      </c>
      <c r="D4293" t="s">
        <v>41</v>
      </c>
      <c r="E4293">
        <v>2000719024</v>
      </c>
      <c r="F4293">
        <v>1680</v>
      </c>
      <c r="G4293">
        <v>9</v>
      </c>
      <c r="H4293">
        <v>0</v>
      </c>
      <c r="I4293" t="s">
        <v>183</v>
      </c>
      <c r="J4293" t="s">
        <v>174</v>
      </c>
      <c r="K4293" t="s">
        <v>662</v>
      </c>
      <c r="O4293">
        <v>0</v>
      </c>
      <c r="U4293" t="s">
        <v>81</v>
      </c>
    </row>
    <row r="4294" spans="1:21" x14ac:dyDescent="0.25">
      <c r="A4294" s="33">
        <v>4314</v>
      </c>
      <c r="B4294" s="24">
        <v>44281</v>
      </c>
      <c r="C4294" t="s">
        <v>39</v>
      </c>
      <c r="D4294" t="s">
        <v>41</v>
      </c>
      <c r="E4294">
        <v>2000721726</v>
      </c>
      <c r="F4294">
        <v>470</v>
      </c>
      <c r="G4294">
        <v>40</v>
      </c>
      <c r="H4294">
        <v>0</v>
      </c>
      <c r="I4294" t="s">
        <v>183</v>
      </c>
      <c r="J4294" t="s">
        <v>174</v>
      </c>
      <c r="K4294" t="s">
        <v>662</v>
      </c>
      <c r="O4294">
        <v>0</v>
      </c>
      <c r="U4294" t="s">
        <v>81</v>
      </c>
    </row>
    <row r="4295" spans="1:21" x14ac:dyDescent="0.25">
      <c r="A4295" s="33">
        <v>4315</v>
      </c>
      <c r="B4295" s="24">
        <v>44281</v>
      </c>
      <c r="C4295" t="s">
        <v>39</v>
      </c>
      <c r="D4295" t="s">
        <v>41</v>
      </c>
      <c r="E4295">
        <v>2000720615</v>
      </c>
      <c r="F4295">
        <v>540</v>
      </c>
      <c r="G4295">
        <v>60</v>
      </c>
      <c r="H4295">
        <v>0</v>
      </c>
      <c r="I4295" t="s">
        <v>183</v>
      </c>
      <c r="J4295" t="s">
        <v>203</v>
      </c>
      <c r="K4295" t="s">
        <v>768</v>
      </c>
      <c r="O4295">
        <v>0</v>
      </c>
      <c r="U4295" t="s">
        <v>81</v>
      </c>
    </row>
    <row r="4296" spans="1:21" x14ac:dyDescent="0.25">
      <c r="A4296" s="33">
        <v>4316</v>
      </c>
      <c r="B4296" s="24">
        <v>44281</v>
      </c>
      <c r="C4296" t="s">
        <v>39</v>
      </c>
      <c r="D4296" t="s">
        <v>41</v>
      </c>
      <c r="E4296">
        <v>2000721612</v>
      </c>
      <c r="F4296">
        <v>990</v>
      </c>
      <c r="G4296">
        <v>100</v>
      </c>
      <c r="H4296">
        <v>0</v>
      </c>
      <c r="I4296" t="s">
        <v>693</v>
      </c>
      <c r="J4296" t="s">
        <v>174</v>
      </c>
      <c r="K4296" t="s">
        <v>662</v>
      </c>
      <c r="O4296">
        <v>0</v>
      </c>
      <c r="U4296" t="s">
        <v>81</v>
      </c>
    </row>
    <row r="4297" spans="1:21" x14ac:dyDescent="0.25">
      <c r="A4297" s="33">
        <v>4317</v>
      </c>
      <c r="B4297" s="24">
        <v>44281</v>
      </c>
      <c r="C4297" t="s">
        <v>39</v>
      </c>
      <c r="D4297" t="s">
        <v>41</v>
      </c>
      <c r="E4297">
        <v>2000719716</v>
      </c>
      <c r="F4297">
        <v>1970</v>
      </c>
      <c r="G4297">
        <v>10</v>
      </c>
      <c r="H4297">
        <v>0</v>
      </c>
      <c r="I4297" t="s">
        <v>693</v>
      </c>
      <c r="J4297" t="s">
        <v>174</v>
      </c>
      <c r="K4297" t="s">
        <v>662</v>
      </c>
      <c r="O4297">
        <v>0</v>
      </c>
      <c r="U4297" t="s">
        <v>81</v>
      </c>
    </row>
    <row r="4298" spans="1:21" x14ac:dyDescent="0.25">
      <c r="A4298" s="33">
        <v>4318</v>
      </c>
      <c r="B4298" s="24">
        <v>44281</v>
      </c>
      <c r="C4298" t="s">
        <v>39</v>
      </c>
      <c r="D4298" t="s">
        <v>41</v>
      </c>
      <c r="E4298">
        <v>2000721726</v>
      </c>
      <c r="F4298">
        <v>470</v>
      </c>
      <c r="G4298">
        <v>200</v>
      </c>
      <c r="H4298">
        <v>0</v>
      </c>
      <c r="I4298" t="s">
        <v>693</v>
      </c>
      <c r="J4298" t="s">
        <v>174</v>
      </c>
      <c r="K4298" t="s">
        <v>662</v>
      </c>
      <c r="O4298">
        <v>0</v>
      </c>
      <c r="U4298" t="s">
        <v>81</v>
      </c>
    </row>
    <row r="4299" spans="1:21" x14ac:dyDescent="0.25">
      <c r="A4299" s="33">
        <v>4319</v>
      </c>
      <c r="B4299" s="24">
        <v>44281</v>
      </c>
      <c r="C4299" t="s">
        <v>39</v>
      </c>
      <c r="D4299" t="s">
        <v>41</v>
      </c>
      <c r="E4299">
        <v>2000720853</v>
      </c>
      <c r="F4299">
        <v>630</v>
      </c>
      <c r="G4299">
        <v>45</v>
      </c>
      <c r="H4299">
        <v>0</v>
      </c>
      <c r="I4299" t="s">
        <v>693</v>
      </c>
      <c r="J4299" t="s">
        <v>170</v>
      </c>
      <c r="K4299" t="s">
        <v>697</v>
      </c>
      <c r="O4299">
        <v>0</v>
      </c>
      <c r="U4299" t="s">
        <v>81</v>
      </c>
    </row>
    <row r="4300" spans="1:21" x14ac:dyDescent="0.25">
      <c r="A4300" s="33">
        <v>4320</v>
      </c>
      <c r="B4300" s="24">
        <v>44281</v>
      </c>
      <c r="C4300" t="s">
        <v>39</v>
      </c>
      <c r="D4300" t="s">
        <v>41</v>
      </c>
      <c r="E4300">
        <v>2000721556</v>
      </c>
      <c r="F4300">
        <v>870</v>
      </c>
      <c r="G4300">
        <v>90</v>
      </c>
      <c r="H4300">
        <v>0</v>
      </c>
      <c r="I4300" t="s">
        <v>693</v>
      </c>
      <c r="J4300" t="s">
        <v>174</v>
      </c>
      <c r="K4300" t="s">
        <v>774</v>
      </c>
      <c r="O4300">
        <v>0</v>
      </c>
      <c r="U4300" t="s">
        <v>81</v>
      </c>
    </row>
    <row r="4301" spans="1:21" x14ac:dyDescent="0.25">
      <c r="A4301" s="33">
        <v>4321</v>
      </c>
      <c r="B4301" s="24">
        <v>44281</v>
      </c>
      <c r="C4301" t="s">
        <v>39</v>
      </c>
      <c r="D4301" t="s">
        <v>41</v>
      </c>
      <c r="E4301">
        <v>2000719701</v>
      </c>
      <c r="F4301">
        <v>320</v>
      </c>
      <c r="G4301">
        <v>2</v>
      </c>
      <c r="H4301">
        <v>0</v>
      </c>
      <c r="I4301" t="s">
        <v>693</v>
      </c>
      <c r="J4301" t="s">
        <v>174</v>
      </c>
      <c r="K4301" t="s">
        <v>931</v>
      </c>
      <c r="O4301">
        <v>0</v>
      </c>
      <c r="U4301" t="s">
        <v>81</v>
      </c>
    </row>
    <row r="4302" spans="1:21" x14ac:dyDescent="0.25">
      <c r="A4302" s="33">
        <v>4322</v>
      </c>
      <c r="B4302" s="24">
        <v>44281</v>
      </c>
      <c r="C4302" t="s">
        <v>39</v>
      </c>
      <c r="D4302" t="s">
        <v>41</v>
      </c>
      <c r="E4302">
        <v>2000715331</v>
      </c>
      <c r="F4302">
        <v>200</v>
      </c>
      <c r="G4302">
        <v>1</v>
      </c>
      <c r="H4302">
        <v>0</v>
      </c>
      <c r="I4302" t="s">
        <v>693</v>
      </c>
      <c r="J4302" t="s">
        <v>174</v>
      </c>
      <c r="K4302" t="s">
        <v>931</v>
      </c>
      <c r="O4302">
        <v>0</v>
      </c>
      <c r="U4302" t="s">
        <v>81</v>
      </c>
    </row>
    <row r="4303" spans="1:21" x14ac:dyDescent="0.25">
      <c r="A4303" s="33">
        <v>4323</v>
      </c>
      <c r="B4303" s="24">
        <v>44281</v>
      </c>
      <c r="C4303" t="s">
        <v>39</v>
      </c>
      <c r="D4303" t="s">
        <v>41</v>
      </c>
      <c r="E4303">
        <v>2000721556</v>
      </c>
      <c r="F4303">
        <v>870</v>
      </c>
      <c r="G4303">
        <v>90</v>
      </c>
      <c r="H4303">
        <v>0</v>
      </c>
      <c r="I4303" t="s">
        <v>706</v>
      </c>
      <c r="J4303" t="s">
        <v>174</v>
      </c>
      <c r="K4303" t="s">
        <v>774</v>
      </c>
      <c r="O4303">
        <v>0</v>
      </c>
      <c r="U4303" t="s">
        <v>81</v>
      </c>
    </row>
    <row r="4304" spans="1:21" x14ac:dyDescent="0.25">
      <c r="A4304" s="33">
        <v>4324</v>
      </c>
      <c r="B4304" s="24">
        <v>44281</v>
      </c>
      <c r="C4304" t="s">
        <v>39</v>
      </c>
      <c r="D4304" t="s">
        <v>41</v>
      </c>
      <c r="E4304">
        <v>2000721332</v>
      </c>
      <c r="F4304">
        <v>140</v>
      </c>
      <c r="G4304">
        <v>20</v>
      </c>
      <c r="H4304">
        <v>0</v>
      </c>
      <c r="I4304" t="s">
        <v>185</v>
      </c>
      <c r="J4304" t="s">
        <v>197</v>
      </c>
      <c r="K4304" t="s">
        <v>764</v>
      </c>
      <c r="O4304">
        <v>0</v>
      </c>
      <c r="U4304" t="s">
        <v>81</v>
      </c>
    </row>
    <row r="4305" spans="1:21" x14ac:dyDescent="0.25">
      <c r="A4305" s="33">
        <v>4325</v>
      </c>
      <c r="B4305" s="24">
        <v>44281</v>
      </c>
      <c r="C4305" t="s">
        <v>39</v>
      </c>
      <c r="D4305" t="s">
        <v>41</v>
      </c>
      <c r="E4305">
        <v>2000720647</v>
      </c>
      <c r="F4305">
        <v>950</v>
      </c>
      <c r="G4305">
        <v>90</v>
      </c>
      <c r="H4305">
        <v>0</v>
      </c>
      <c r="I4305" t="s">
        <v>185</v>
      </c>
      <c r="J4305" t="s">
        <v>169</v>
      </c>
      <c r="K4305" t="s">
        <v>179</v>
      </c>
      <c r="O4305">
        <v>0</v>
      </c>
      <c r="U4305" t="s">
        <v>81</v>
      </c>
    </row>
    <row r="4306" spans="1:21" x14ac:dyDescent="0.25">
      <c r="A4306" s="33">
        <v>4326</v>
      </c>
      <c r="B4306" s="24">
        <v>44281</v>
      </c>
      <c r="C4306" t="s">
        <v>39</v>
      </c>
      <c r="D4306" t="s">
        <v>41</v>
      </c>
      <c r="E4306">
        <v>2000721602</v>
      </c>
      <c r="F4306">
        <v>1360</v>
      </c>
      <c r="G4306">
        <v>120</v>
      </c>
      <c r="H4306">
        <v>0</v>
      </c>
      <c r="I4306" t="s">
        <v>185</v>
      </c>
      <c r="J4306" t="s">
        <v>687</v>
      </c>
      <c r="K4306" t="s">
        <v>757</v>
      </c>
      <c r="O4306">
        <v>0</v>
      </c>
      <c r="U4306" t="s">
        <v>81</v>
      </c>
    </row>
    <row r="4307" spans="1:21" x14ac:dyDescent="0.25">
      <c r="A4307" s="33">
        <v>4327</v>
      </c>
      <c r="B4307" s="24">
        <v>44281</v>
      </c>
      <c r="C4307" t="s">
        <v>39</v>
      </c>
      <c r="D4307" t="s">
        <v>41</v>
      </c>
      <c r="E4307">
        <v>2000720804</v>
      </c>
      <c r="F4307">
        <v>2432</v>
      </c>
      <c r="G4307">
        <v>120</v>
      </c>
      <c r="H4307">
        <v>0</v>
      </c>
      <c r="I4307" t="s">
        <v>185</v>
      </c>
      <c r="J4307" t="s">
        <v>655</v>
      </c>
      <c r="K4307" t="s">
        <v>656</v>
      </c>
      <c r="O4307">
        <v>0</v>
      </c>
      <c r="U4307" t="s">
        <v>81</v>
      </c>
    </row>
    <row r="4308" spans="1:21" x14ac:dyDescent="0.25">
      <c r="A4308" s="33">
        <v>4328</v>
      </c>
      <c r="B4308" s="24">
        <v>44281</v>
      </c>
      <c r="C4308" t="s">
        <v>39</v>
      </c>
      <c r="D4308" t="s">
        <v>41</v>
      </c>
      <c r="E4308">
        <v>2000720883</v>
      </c>
      <c r="F4308">
        <v>1000</v>
      </c>
      <c r="G4308">
        <v>20</v>
      </c>
      <c r="H4308">
        <v>0</v>
      </c>
      <c r="I4308" t="s">
        <v>185</v>
      </c>
      <c r="J4308" t="s">
        <v>193</v>
      </c>
      <c r="K4308" t="s">
        <v>647</v>
      </c>
      <c r="O4308">
        <v>0</v>
      </c>
      <c r="U4308" t="s">
        <v>81</v>
      </c>
    </row>
    <row r="4309" spans="1:21" x14ac:dyDescent="0.25">
      <c r="A4309" s="33">
        <v>4329</v>
      </c>
      <c r="B4309" s="24">
        <v>44281</v>
      </c>
      <c r="C4309" t="s">
        <v>39</v>
      </c>
      <c r="D4309" t="s">
        <v>41</v>
      </c>
      <c r="E4309">
        <v>2000721303</v>
      </c>
      <c r="F4309">
        <v>1800</v>
      </c>
      <c r="G4309">
        <v>100</v>
      </c>
      <c r="H4309">
        <v>0</v>
      </c>
      <c r="I4309" t="s">
        <v>185</v>
      </c>
      <c r="J4309" t="s">
        <v>169</v>
      </c>
      <c r="K4309" t="s">
        <v>190</v>
      </c>
      <c r="O4309">
        <v>0</v>
      </c>
      <c r="U4309" t="s">
        <v>81</v>
      </c>
    </row>
    <row r="4310" spans="1:21" x14ac:dyDescent="0.25">
      <c r="A4310" s="33">
        <v>4330</v>
      </c>
      <c r="B4310" s="24">
        <v>44281</v>
      </c>
      <c r="C4310" t="s">
        <v>39</v>
      </c>
      <c r="D4310" t="s">
        <v>41</v>
      </c>
      <c r="E4310">
        <v>2000721726</v>
      </c>
      <c r="F4310">
        <v>470</v>
      </c>
      <c r="G4310">
        <v>40</v>
      </c>
      <c r="H4310">
        <v>0</v>
      </c>
      <c r="I4310" t="s">
        <v>185</v>
      </c>
      <c r="J4310" t="s">
        <v>174</v>
      </c>
      <c r="K4310" t="s">
        <v>662</v>
      </c>
      <c r="O4310">
        <v>0</v>
      </c>
      <c r="U4310" t="s">
        <v>81</v>
      </c>
    </row>
    <row r="4311" spans="1:21" x14ac:dyDescent="0.25">
      <c r="A4311" s="33">
        <v>4331</v>
      </c>
      <c r="B4311" s="24">
        <v>44281</v>
      </c>
      <c r="C4311" t="s">
        <v>39</v>
      </c>
      <c r="D4311" t="s">
        <v>41</v>
      </c>
      <c r="E4311">
        <v>2000721363</v>
      </c>
      <c r="F4311">
        <v>1000</v>
      </c>
      <c r="G4311">
        <v>60</v>
      </c>
      <c r="H4311">
        <v>0</v>
      </c>
      <c r="I4311" t="s">
        <v>185</v>
      </c>
      <c r="J4311" t="s">
        <v>193</v>
      </c>
      <c r="K4311" t="s">
        <v>647</v>
      </c>
      <c r="O4311">
        <v>0</v>
      </c>
      <c r="U4311" t="s">
        <v>81</v>
      </c>
    </row>
    <row r="4312" spans="1:21" x14ac:dyDescent="0.25">
      <c r="A4312" s="33">
        <v>4332</v>
      </c>
      <c r="B4312" s="24">
        <v>44281</v>
      </c>
      <c r="C4312" t="s">
        <v>39</v>
      </c>
      <c r="D4312" t="s">
        <v>41</v>
      </c>
      <c r="E4312">
        <v>2000721291</v>
      </c>
      <c r="F4312">
        <v>3700</v>
      </c>
      <c r="G4312">
        <v>300</v>
      </c>
      <c r="H4312">
        <v>0</v>
      </c>
      <c r="I4312" t="s">
        <v>789</v>
      </c>
      <c r="J4312" t="s">
        <v>172</v>
      </c>
      <c r="K4312" t="s">
        <v>725</v>
      </c>
      <c r="O4312">
        <v>0</v>
      </c>
      <c r="U4312" t="s">
        <v>81</v>
      </c>
    </row>
    <row r="4313" spans="1:21" x14ac:dyDescent="0.25">
      <c r="A4313" s="33">
        <v>4333</v>
      </c>
      <c r="B4313" s="24">
        <v>44281</v>
      </c>
      <c r="C4313" t="s">
        <v>39</v>
      </c>
      <c r="D4313" t="s">
        <v>41</v>
      </c>
      <c r="E4313">
        <v>2000720673</v>
      </c>
      <c r="F4313">
        <v>1480</v>
      </c>
      <c r="G4313">
        <v>480</v>
      </c>
      <c r="H4313">
        <v>0</v>
      </c>
      <c r="I4313" t="s">
        <v>1065</v>
      </c>
      <c r="J4313" t="s">
        <v>745</v>
      </c>
      <c r="K4313" t="s">
        <v>746</v>
      </c>
      <c r="O4313">
        <v>0</v>
      </c>
      <c r="U4313" t="s">
        <v>81</v>
      </c>
    </row>
    <row r="4314" spans="1:21" x14ac:dyDescent="0.25">
      <c r="A4314" s="33">
        <v>4334</v>
      </c>
      <c r="B4314" s="24">
        <v>44281</v>
      </c>
      <c r="C4314" t="s">
        <v>39</v>
      </c>
      <c r="D4314" t="s">
        <v>41</v>
      </c>
      <c r="E4314">
        <v>2000713862</v>
      </c>
      <c r="F4314">
        <v>2640</v>
      </c>
      <c r="G4314">
        <v>130</v>
      </c>
      <c r="H4314">
        <v>0</v>
      </c>
      <c r="I4314" t="s">
        <v>1065</v>
      </c>
      <c r="J4314" t="s">
        <v>203</v>
      </c>
      <c r="K4314" t="s">
        <v>640</v>
      </c>
      <c r="O4314">
        <v>0</v>
      </c>
      <c r="U4314" t="s">
        <v>81</v>
      </c>
    </row>
    <row r="4315" spans="1:21" x14ac:dyDescent="0.25">
      <c r="A4315" s="33">
        <v>4335</v>
      </c>
      <c r="B4315" s="24">
        <v>44281</v>
      </c>
      <c r="C4315" t="s">
        <v>39</v>
      </c>
      <c r="D4315" t="s">
        <v>41</v>
      </c>
      <c r="E4315">
        <v>2000719354</v>
      </c>
      <c r="F4315">
        <v>1200</v>
      </c>
      <c r="G4315">
        <v>240</v>
      </c>
      <c r="H4315">
        <v>0</v>
      </c>
      <c r="I4315" t="s">
        <v>1065</v>
      </c>
      <c r="J4315" t="s">
        <v>203</v>
      </c>
      <c r="K4315" t="s">
        <v>640</v>
      </c>
      <c r="O4315">
        <v>0</v>
      </c>
      <c r="U4315" t="s">
        <v>81</v>
      </c>
    </row>
    <row r="4316" spans="1:21" x14ac:dyDescent="0.25">
      <c r="A4316" s="33">
        <v>4336</v>
      </c>
      <c r="B4316" s="24">
        <v>44281</v>
      </c>
      <c r="C4316" t="s">
        <v>39</v>
      </c>
      <c r="D4316" t="s">
        <v>41</v>
      </c>
      <c r="E4316">
        <v>2000720853</v>
      </c>
      <c r="F4316">
        <v>630</v>
      </c>
      <c r="G4316">
        <v>222</v>
      </c>
      <c r="H4316">
        <v>0</v>
      </c>
      <c r="I4316" t="s">
        <v>696</v>
      </c>
      <c r="J4316" t="s">
        <v>170</v>
      </c>
      <c r="K4316" t="s">
        <v>697</v>
      </c>
      <c r="O4316">
        <v>0</v>
      </c>
      <c r="U4316" t="s">
        <v>81</v>
      </c>
    </row>
    <row r="4317" spans="1:21" x14ac:dyDescent="0.25">
      <c r="A4317" s="33">
        <v>4337</v>
      </c>
      <c r="B4317" s="24">
        <v>44281</v>
      </c>
      <c r="C4317" t="s">
        <v>39</v>
      </c>
      <c r="D4317" t="s">
        <v>41</v>
      </c>
      <c r="E4317">
        <v>2000721556</v>
      </c>
      <c r="F4317">
        <v>870</v>
      </c>
      <c r="G4317">
        <v>180</v>
      </c>
      <c r="H4317">
        <v>0</v>
      </c>
      <c r="I4317" t="s">
        <v>696</v>
      </c>
      <c r="J4317" t="s">
        <v>174</v>
      </c>
      <c r="K4317" t="s">
        <v>774</v>
      </c>
      <c r="O4317">
        <v>0</v>
      </c>
      <c r="U4317" t="s">
        <v>81</v>
      </c>
    </row>
    <row r="4318" spans="1:21" x14ac:dyDescent="0.25">
      <c r="A4318" s="33">
        <v>4338</v>
      </c>
      <c r="B4318" s="24">
        <v>44281</v>
      </c>
      <c r="C4318" t="s">
        <v>39</v>
      </c>
      <c r="D4318" t="s">
        <v>41</v>
      </c>
      <c r="E4318">
        <v>2000720619</v>
      </c>
      <c r="F4318">
        <v>410</v>
      </c>
      <c r="G4318">
        <v>312</v>
      </c>
      <c r="H4318">
        <v>0</v>
      </c>
      <c r="I4318" t="s">
        <v>184</v>
      </c>
      <c r="J4318" t="s">
        <v>203</v>
      </c>
      <c r="K4318" t="s">
        <v>891</v>
      </c>
      <c r="O4318">
        <v>0</v>
      </c>
      <c r="U4318" t="s">
        <v>81</v>
      </c>
    </row>
    <row r="4319" spans="1:21" x14ac:dyDescent="0.25">
      <c r="A4319" s="33">
        <v>4339</v>
      </c>
      <c r="B4319" s="24">
        <v>44281</v>
      </c>
      <c r="C4319" t="s">
        <v>39</v>
      </c>
      <c r="D4319" t="s">
        <v>41</v>
      </c>
      <c r="E4319">
        <v>2000720615</v>
      </c>
      <c r="F4319">
        <v>540</v>
      </c>
      <c r="G4319">
        <v>90</v>
      </c>
      <c r="H4319">
        <v>0</v>
      </c>
      <c r="I4319" t="s">
        <v>184</v>
      </c>
      <c r="J4319" t="s">
        <v>203</v>
      </c>
      <c r="K4319" t="s">
        <v>768</v>
      </c>
      <c r="O4319">
        <v>0</v>
      </c>
      <c r="U4319" t="s">
        <v>81</v>
      </c>
    </row>
    <row r="4320" spans="1:21" x14ac:dyDescent="0.25">
      <c r="A4320" s="33">
        <v>4340</v>
      </c>
      <c r="B4320" s="24">
        <v>44281</v>
      </c>
      <c r="C4320" t="s">
        <v>39</v>
      </c>
      <c r="D4320" t="s">
        <v>41</v>
      </c>
      <c r="E4320">
        <v>2000720853</v>
      </c>
      <c r="F4320">
        <v>630</v>
      </c>
      <c r="G4320">
        <v>45</v>
      </c>
      <c r="H4320">
        <v>0</v>
      </c>
      <c r="I4320" t="s">
        <v>184</v>
      </c>
      <c r="J4320" t="s">
        <v>170</v>
      </c>
      <c r="K4320" t="s">
        <v>697</v>
      </c>
      <c r="O4320">
        <v>0</v>
      </c>
      <c r="U4320" t="s">
        <v>81</v>
      </c>
    </row>
    <row r="4321" spans="1:21" x14ac:dyDescent="0.25">
      <c r="A4321" s="33">
        <v>4341</v>
      </c>
      <c r="B4321" s="24">
        <v>44281</v>
      </c>
      <c r="C4321" t="s">
        <v>39</v>
      </c>
      <c r="D4321" t="s">
        <v>41</v>
      </c>
      <c r="E4321">
        <v>2000720632</v>
      </c>
      <c r="F4321">
        <v>984</v>
      </c>
      <c r="G4321">
        <v>23</v>
      </c>
      <c r="H4321">
        <v>0</v>
      </c>
      <c r="I4321" t="s">
        <v>184</v>
      </c>
      <c r="J4321" t="s">
        <v>174</v>
      </c>
      <c r="K4321" t="s">
        <v>774</v>
      </c>
      <c r="O4321">
        <v>0</v>
      </c>
      <c r="U4321" t="s">
        <v>81</v>
      </c>
    </row>
    <row r="4322" spans="1:21" x14ac:dyDescent="0.25">
      <c r="A4322" s="33">
        <v>4342</v>
      </c>
      <c r="B4322" s="24">
        <v>44281</v>
      </c>
      <c r="C4322" t="s">
        <v>39</v>
      </c>
      <c r="D4322" t="s">
        <v>41</v>
      </c>
      <c r="E4322">
        <v>2000720877</v>
      </c>
      <c r="F4322">
        <v>1000</v>
      </c>
      <c r="G4322">
        <v>160</v>
      </c>
      <c r="H4322">
        <v>0</v>
      </c>
      <c r="I4322" t="s">
        <v>680</v>
      </c>
      <c r="J4322" t="s">
        <v>193</v>
      </c>
      <c r="K4322" t="s">
        <v>686</v>
      </c>
      <c r="O4322">
        <v>0</v>
      </c>
      <c r="U4322" t="s">
        <v>81</v>
      </c>
    </row>
    <row r="4323" spans="1:21" x14ac:dyDescent="0.25">
      <c r="A4323" s="33">
        <v>4343</v>
      </c>
      <c r="B4323" s="24">
        <v>44281</v>
      </c>
      <c r="C4323" t="s">
        <v>39</v>
      </c>
      <c r="D4323" t="s">
        <v>41</v>
      </c>
      <c r="E4323">
        <v>2000711468</v>
      </c>
      <c r="F4323">
        <v>150</v>
      </c>
      <c r="G4323">
        <v>4</v>
      </c>
      <c r="H4323">
        <v>0</v>
      </c>
      <c r="I4323" t="s">
        <v>680</v>
      </c>
      <c r="J4323" t="s">
        <v>169</v>
      </c>
      <c r="K4323" t="s">
        <v>847</v>
      </c>
      <c r="O4323">
        <v>0</v>
      </c>
      <c r="U4323" t="s">
        <v>81</v>
      </c>
    </row>
    <row r="4324" spans="1:21" x14ac:dyDescent="0.25">
      <c r="A4324" s="33">
        <v>4344</v>
      </c>
      <c r="B4324" s="24">
        <v>44281</v>
      </c>
      <c r="C4324" t="s">
        <v>39</v>
      </c>
      <c r="D4324" t="s">
        <v>41</v>
      </c>
      <c r="E4324">
        <v>2000720945</v>
      </c>
      <c r="F4324">
        <v>3216</v>
      </c>
      <c r="G4324">
        <v>400</v>
      </c>
      <c r="H4324">
        <v>0</v>
      </c>
      <c r="I4324" t="s">
        <v>680</v>
      </c>
      <c r="J4324" t="s">
        <v>203</v>
      </c>
      <c r="K4324" t="s">
        <v>788</v>
      </c>
      <c r="O4324">
        <v>0</v>
      </c>
      <c r="U4324" t="s">
        <v>81</v>
      </c>
    </row>
    <row r="4325" spans="1:21" x14ac:dyDescent="0.25">
      <c r="A4325" s="33">
        <v>4345</v>
      </c>
      <c r="B4325" s="24">
        <v>44281</v>
      </c>
      <c r="C4325" t="s">
        <v>39</v>
      </c>
      <c r="D4325" t="s">
        <v>41</v>
      </c>
      <c r="E4325">
        <v>2000721478</v>
      </c>
      <c r="F4325">
        <v>2300</v>
      </c>
      <c r="G4325">
        <v>130</v>
      </c>
      <c r="H4325">
        <v>0</v>
      </c>
      <c r="I4325" t="s">
        <v>680</v>
      </c>
      <c r="J4325" t="s">
        <v>645</v>
      </c>
      <c r="K4325" t="s">
        <v>790</v>
      </c>
      <c r="O4325">
        <v>0</v>
      </c>
      <c r="U4325" t="s">
        <v>81</v>
      </c>
    </row>
    <row r="4326" spans="1:21" x14ac:dyDescent="0.25">
      <c r="A4326" s="33">
        <v>4346</v>
      </c>
      <c r="B4326" s="24">
        <v>44281</v>
      </c>
      <c r="C4326" t="s">
        <v>39</v>
      </c>
      <c r="D4326" t="s">
        <v>41</v>
      </c>
      <c r="E4326">
        <v>2000721705</v>
      </c>
      <c r="F4326">
        <v>147</v>
      </c>
      <c r="G4326">
        <v>147</v>
      </c>
      <c r="H4326">
        <v>0</v>
      </c>
      <c r="I4326" t="s">
        <v>680</v>
      </c>
      <c r="J4326" t="s">
        <v>595</v>
      </c>
      <c r="K4326" t="s">
        <v>1140</v>
      </c>
      <c r="O4326">
        <v>0</v>
      </c>
      <c r="U4326" t="s">
        <v>81</v>
      </c>
    </row>
    <row r="4327" spans="1:21" x14ac:dyDescent="0.25">
      <c r="A4327" s="33">
        <v>4347</v>
      </c>
      <c r="B4327" s="24">
        <v>44281</v>
      </c>
      <c r="C4327" t="s">
        <v>39</v>
      </c>
      <c r="D4327" t="s">
        <v>41</v>
      </c>
      <c r="E4327">
        <v>2000721292</v>
      </c>
      <c r="F4327">
        <v>3700</v>
      </c>
      <c r="G4327">
        <v>200</v>
      </c>
      <c r="H4327">
        <v>0</v>
      </c>
      <c r="I4327" t="s">
        <v>680</v>
      </c>
      <c r="J4327" t="s">
        <v>172</v>
      </c>
      <c r="K4327" t="s">
        <v>173</v>
      </c>
      <c r="O4327">
        <v>0</v>
      </c>
      <c r="U4327" t="s">
        <v>81</v>
      </c>
    </row>
    <row r="4328" spans="1:21" x14ac:dyDescent="0.25">
      <c r="A4328" s="33">
        <v>4348</v>
      </c>
      <c r="B4328" s="24">
        <v>44281</v>
      </c>
      <c r="C4328" t="s">
        <v>39</v>
      </c>
      <c r="D4328" t="s">
        <v>41</v>
      </c>
      <c r="E4328">
        <v>2000720859</v>
      </c>
      <c r="F4328">
        <v>640</v>
      </c>
      <c r="G4328">
        <v>30</v>
      </c>
      <c r="H4328">
        <v>0</v>
      </c>
      <c r="I4328" t="s">
        <v>198</v>
      </c>
      <c r="J4328" t="s">
        <v>174</v>
      </c>
      <c r="K4328" t="s">
        <v>805</v>
      </c>
      <c r="O4328">
        <v>0</v>
      </c>
      <c r="U4328" t="s">
        <v>81</v>
      </c>
    </row>
    <row r="4329" spans="1:21" x14ac:dyDescent="0.25">
      <c r="A4329" s="33">
        <v>4349</v>
      </c>
      <c r="B4329" s="24">
        <v>44281</v>
      </c>
      <c r="C4329" t="s">
        <v>39</v>
      </c>
      <c r="D4329" t="s">
        <v>41</v>
      </c>
      <c r="E4329">
        <v>2000721371</v>
      </c>
      <c r="F4329">
        <v>4230</v>
      </c>
      <c r="G4329">
        <v>300</v>
      </c>
      <c r="H4329">
        <v>0</v>
      </c>
      <c r="I4329" t="s">
        <v>198</v>
      </c>
      <c r="J4329" t="s">
        <v>199</v>
      </c>
      <c r="K4329" t="s">
        <v>660</v>
      </c>
      <c r="O4329">
        <v>0</v>
      </c>
      <c r="U4329" t="s">
        <v>81</v>
      </c>
    </row>
    <row r="4330" spans="1:21" x14ac:dyDescent="0.25">
      <c r="A4330" s="33">
        <v>4350</v>
      </c>
      <c r="B4330" s="24">
        <v>44281</v>
      </c>
      <c r="C4330" t="s">
        <v>39</v>
      </c>
      <c r="D4330" t="s">
        <v>41</v>
      </c>
      <c r="E4330">
        <v>2000720853</v>
      </c>
      <c r="F4330">
        <v>630</v>
      </c>
      <c r="G4330">
        <v>45</v>
      </c>
      <c r="H4330">
        <v>0</v>
      </c>
      <c r="I4330" t="s">
        <v>198</v>
      </c>
      <c r="J4330" t="s">
        <v>170</v>
      </c>
      <c r="K4330" t="s">
        <v>697</v>
      </c>
      <c r="O4330">
        <v>0</v>
      </c>
      <c r="U4330" t="s">
        <v>81</v>
      </c>
    </row>
    <row r="4331" spans="1:21" x14ac:dyDescent="0.25">
      <c r="A4331" s="33">
        <v>4351</v>
      </c>
      <c r="B4331" s="24">
        <v>44281</v>
      </c>
      <c r="C4331" t="s">
        <v>39</v>
      </c>
      <c r="D4331" t="s">
        <v>41</v>
      </c>
      <c r="E4331">
        <v>2000720883</v>
      </c>
      <c r="F4331">
        <v>1000</v>
      </c>
      <c r="G4331">
        <v>60</v>
      </c>
      <c r="H4331">
        <v>0</v>
      </c>
      <c r="I4331" t="s">
        <v>198</v>
      </c>
      <c r="J4331" t="s">
        <v>193</v>
      </c>
      <c r="K4331" t="s">
        <v>647</v>
      </c>
      <c r="O4331">
        <v>0</v>
      </c>
      <c r="U4331" t="s">
        <v>81</v>
      </c>
    </row>
    <row r="4332" spans="1:21" x14ac:dyDescent="0.25">
      <c r="A4332" s="33">
        <v>4352</v>
      </c>
      <c r="B4332" s="24">
        <v>44281</v>
      </c>
      <c r="C4332" t="s">
        <v>39</v>
      </c>
      <c r="D4332" t="s">
        <v>41</v>
      </c>
      <c r="E4332">
        <v>2000720875</v>
      </c>
      <c r="F4332">
        <v>1000</v>
      </c>
      <c r="G4332">
        <v>100</v>
      </c>
      <c r="H4332">
        <v>0</v>
      </c>
      <c r="I4332" t="s">
        <v>198</v>
      </c>
      <c r="J4332" t="s">
        <v>193</v>
      </c>
      <c r="K4332" t="s">
        <v>683</v>
      </c>
      <c r="O4332">
        <v>0</v>
      </c>
      <c r="U4332" t="s">
        <v>81</v>
      </c>
    </row>
    <row r="4333" spans="1:21" x14ac:dyDescent="0.25">
      <c r="A4333" s="33">
        <v>4353</v>
      </c>
      <c r="B4333" s="24">
        <v>44281</v>
      </c>
      <c r="C4333" t="s">
        <v>39</v>
      </c>
      <c r="D4333" t="s">
        <v>41</v>
      </c>
      <c r="E4333">
        <v>2000720673</v>
      </c>
      <c r="F4333">
        <v>1480</v>
      </c>
      <c r="G4333">
        <v>320</v>
      </c>
      <c r="H4333">
        <v>0</v>
      </c>
      <c r="I4333" t="s">
        <v>198</v>
      </c>
      <c r="J4333" t="s">
        <v>745</v>
      </c>
      <c r="K4333" t="s">
        <v>746</v>
      </c>
      <c r="O4333">
        <v>0</v>
      </c>
      <c r="U4333" t="s">
        <v>81</v>
      </c>
    </row>
    <row r="4334" spans="1:21" x14ac:dyDescent="0.25">
      <c r="A4334" s="33">
        <v>4354</v>
      </c>
      <c r="B4334" s="24">
        <v>44281</v>
      </c>
      <c r="C4334" t="s">
        <v>39</v>
      </c>
      <c r="D4334" t="s">
        <v>41</v>
      </c>
      <c r="E4334">
        <v>2000721486</v>
      </c>
      <c r="F4334">
        <v>2000</v>
      </c>
      <c r="G4334">
        <v>300</v>
      </c>
      <c r="H4334">
        <v>0</v>
      </c>
      <c r="I4334" t="s">
        <v>198</v>
      </c>
      <c r="J4334" t="s">
        <v>645</v>
      </c>
      <c r="K4334" t="s">
        <v>736</v>
      </c>
      <c r="O4334">
        <v>0</v>
      </c>
      <c r="U4334" t="s">
        <v>81</v>
      </c>
    </row>
    <row r="4335" spans="1:21" x14ac:dyDescent="0.25">
      <c r="A4335" s="33">
        <v>4355</v>
      </c>
      <c r="B4335" s="24">
        <v>44281</v>
      </c>
      <c r="C4335" t="s">
        <v>39</v>
      </c>
      <c r="D4335" t="s">
        <v>41</v>
      </c>
      <c r="E4335">
        <v>2000720181</v>
      </c>
      <c r="F4335">
        <v>3609</v>
      </c>
      <c r="G4335">
        <v>180</v>
      </c>
      <c r="H4335">
        <v>0</v>
      </c>
      <c r="I4335" t="s">
        <v>198</v>
      </c>
      <c r="J4335" t="s">
        <v>169</v>
      </c>
      <c r="K4335" t="s">
        <v>652</v>
      </c>
      <c r="O4335">
        <v>0</v>
      </c>
      <c r="U4335" t="s">
        <v>81</v>
      </c>
    </row>
    <row r="4336" spans="1:21" x14ac:dyDescent="0.25">
      <c r="A4336" s="33">
        <v>4356</v>
      </c>
      <c r="B4336" s="24">
        <v>44281</v>
      </c>
      <c r="C4336" t="s">
        <v>181</v>
      </c>
      <c r="D4336" t="s">
        <v>41</v>
      </c>
      <c r="E4336">
        <v>2000721556</v>
      </c>
      <c r="F4336">
        <v>870</v>
      </c>
      <c r="G4336">
        <v>265</v>
      </c>
      <c r="H4336">
        <v>0</v>
      </c>
      <c r="I4336" t="s">
        <v>178</v>
      </c>
      <c r="J4336" t="s">
        <v>174</v>
      </c>
      <c r="K4336" t="s">
        <v>774</v>
      </c>
      <c r="O4336">
        <v>0</v>
      </c>
      <c r="U4336" t="s">
        <v>81</v>
      </c>
    </row>
    <row r="4337" spans="1:21" x14ac:dyDescent="0.25">
      <c r="A4337" s="33">
        <v>4357</v>
      </c>
      <c r="B4337" s="24">
        <v>44281</v>
      </c>
      <c r="C4337" t="s">
        <v>181</v>
      </c>
      <c r="D4337" t="s">
        <v>41</v>
      </c>
      <c r="E4337">
        <v>2000720852</v>
      </c>
      <c r="F4337">
        <v>1000</v>
      </c>
      <c r="G4337">
        <v>201</v>
      </c>
      <c r="H4337">
        <v>0</v>
      </c>
      <c r="I4337" t="s">
        <v>178</v>
      </c>
      <c r="J4337" t="s">
        <v>174</v>
      </c>
      <c r="K4337" t="s">
        <v>205</v>
      </c>
      <c r="O4337">
        <v>0</v>
      </c>
      <c r="U4337" t="s">
        <v>81</v>
      </c>
    </row>
    <row r="4338" spans="1:21" x14ac:dyDescent="0.25">
      <c r="A4338" s="33">
        <v>4358</v>
      </c>
      <c r="B4338" s="24">
        <v>44281</v>
      </c>
      <c r="C4338" t="s">
        <v>181</v>
      </c>
      <c r="D4338" t="s">
        <v>41</v>
      </c>
      <c r="E4338">
        <v>2000721764</v>
      </c>
      <c r="F4338">
        <v>510</v>
      </c>
      <c r="G4338">
        <v>270</v>
      </c>
      <c r="H4338">
        <v>0</v>
      </c>
      <c r="I4338" t="s">
        <v>178</v>
      </c>
      <c r="J4338" t="s">
        <v>170</v>
      </c>
      <c r="K4338" t="s">
        <v>899</v>
      </c>
      <c r="O4338">
        <v>0</v>
      </c>
      <c r="U4338" t="s">
        <v>81</v>
      </c>
    </row>
    <row r="4339" spans="1:21" x14ac:dyDescent="0.25">
      <c r="A4339" s="33">
        <v>4359</v>
      </c>
      <c r="B4339" s="24">
        <v>44281</v>
      </c>
      <c r="C4339" t="s">
        <v>181</v>
      </c>
      <c r="D4339" t="s">
        <v>41</v>
      </c>
      <c r="E4339">
        <v>2000716481</v>
      </c>
      <c r="F4339">
        <v>700</v>
      </c>
      <c r="G4339">
        <v>7</v>
      </c>
      <c r="H4339">
        <v>0</v>
      </c>
      <c r="I4339" t="s">
        <v>178</v>
      </c>
      <c r="J4339" t="s">
        <v>170</v>
      </c>
      <c r="K4339" t="s">
        <v>732</v>
      </c>
      <c r="O4339">
        <v>0</v>
      </c>
      <c r="U4339" t="s">
        <v>81</v>
      </c>
    </row>
    <row r="4340" spans="1:21" x14ac:dyDescent="0.25">
      <c r="A4340" s="33">
        <v>4360</v>
      </c>
      <c r="B4340" s="24">
        <v>44281</v>
      </c>
      <c r="C4340" t="s">
        <v>181</v>
      </c>
      <c r="D4340" t="s">
        <v>41</v>
      </c>
      <c r="E4340">
        <v>2000721726</v>
      </c>
      <c r="F4340">
        <v>470</v>
      </c>
      <c r="G4340">
        <v>139</v>
      </c>
      <c r="H4340">
        <v>0</v>
      </c>
      <c r="I4340" t="s">
        <v>180</v>
      </c>
      <c r="J4340" t="s">
        <v>174</v>
      </c>
      <c r="K4340" t="s">
        <v>662</v>
      </c>
      <c r="O4340">
        <v>0</v>
      </c>
      <c r="U4340" t="s">
        <v>81</v>
      </c>
    </row>
    <row r="4341" spans="1:21" x14ac:dyDescent="0.25">
      <c r="A4341" s="33">
        <v>4361</v>
      </c>
      <c r="B4341" s="24">
        <v>44281</v>
      </c>
      <c r="C4341" t="s">
        <v>181</v>
      </c>
      <c r="D4341" t="s">
        <v>41</v>
      </c>
      <c r="E4341">
        <v>2000721727</v>
      </c>
      <c r="F4341">
        <v>890</v>
      </c>
      <c r="G4341">
        <v>260</v>
      </c>
      <c r="H4341">
        <v>0</v>
      </c>
      <c r="I4341" t="s">
        <v>180</v>
      </c>
      <c r="J4341" t="s">
        <v>174</v>
      </c>
      <c r="K4341" t="s">
        <v>662</v>
      </c>
      <c r="O4341">
        <v>0</v>
      </c>
      <c r="U4341" t="s">
        <v>81</v>
      </c>
    </row>
    <row r="4342" spans="1:21" x14ac:dyDescent="0.25">
      <c r="A4342" s="33">
        <v>4362</v>
      </c>
      <c r="B4342" s="24">
        <v>44281</v>
      </c>
      <c r="C4342" t="s">
        <v>181</v>
      </c>
      <c r="D4342" t="s">
        <v>41</v>
      </c>
      <c r="E4342">
        <v>2000719021</v>
      </c>
      <c r="F4342">
        <v>602</v>
      </c>
      <c r="G4342">
        <v>3</v>
      </c>
      <c r="H4342">
        <v>0</v>
      </c>
      <c r="I4342" t="s">
        <v>180</v>
      </c>
      <c r="J4342" t="s">
        <v>174</v>
      </c>
      <c r="K4342" t="s">
        <v>792</v>
      </c>
      <c r="O4342">
        <v>0</v>
      </c>
      <c r="U4342" t="s">
        <v>81</v>
      </c>
    </row>
    <row r="4343" spans="1:21" x14ac:dyDescent="0.25">
      <c r="A4343" s="33">
        <v>4363</v>
      </c>
      <c r="B4343" s="24">
        <v>44281</v>
      </c>
      <c r="C4343" t="s">
        <v>181</v>
      </c>
      <c r="D4343" t="s">
        <v>41</v>
      </c>
      <c r="E4343">
        <v>2000719022</v>
      </c>
      <c r="F4343">
        <v>1680</v>
      </c>
      <c r="G4343">
        <v>4</v>
      </c>
      <c r="H4343">
        <v>0</v>
      </c>
      <c r="I4343" t="s">
        <v>180</v>
      </c>
      <c r="J4343" t="s">
        <v>174</v>
      </c>
      <c r="K4343" t="s">
        <v>763</v>
      </c>
      <c r="O4343">
        <v>0</v>
      </c>
      <c r="U4343" t="s">
        <v>81</v>
      </c>
    </row>
    <row r="4344" spans="1:21" x14ac:dyDescent="0.25">
      <c r="A4344" s="33">
        <v>4364</v>
      </c>
      <c r="B4344" s="24">
        <v>44281</v>
      </c>
      <c r="C4344" t="s">
        <v>181</v>
      </c>
      <c r="D4344" t="s">
        <v>41</v>
      </c>
      <c r="E4344">
        <v>2000720024</v>
      </c>
      <c r="F4344">
        <v>1500</v>
      </c>
      <c r="G4344">
        <v>7</v>
      </c>
      <c r="H4344">
        <v>0</v>
      </c>
      <c r="I4344" t="s">
        <v>180</v>
      </c>
      <c r="J4344" t="s">
        <v>174</v>
      </c>
      <c r="K4344" t="s">
        <v>177</v>
      </c>
      <c r="O4344">
        <v>0</v>
      </c>
      <c r="U4344" t="s">
        <v>81</v>
      </c>
    </row>
    <row r="4345" spans="1:21" x14ac:dyDescent="0.25">
      <c r="A4345" s="33">
        <v>4365</v>
      </c>
      <c r="B4345" s="24">
        <v>44281</v>
      </c>
      <c r="C4345" t="s">
        <v>181</v>
      </c>
      <c r="D4345" t="s">
        <v>41</v>
      </c>
      <c r="E4345">
        <v>2000715580</v>
      </c>
      <c r="F4345">
        <v>240</v>
      </c>
      <c r="G4345">
        <v>2</v>
      </c>
      <c r="H4345">
        <v>0</v>
      </c>
      <c r="I4345" t="s">
        <v>180</v>
      </c>
      <c r="J4345" t="s">
        <v>174</v>
      </c>
      <c r="K4345" t="s">
        <v>644</v>
      </c>
      <c r="O4345">
        <v>0</v>
      </c>
      <c r="U4345" t="s">
        <v>81</v>
      </c>
    </row>
    <row r="4346" spans="1:21" x14ac:dyDescent="0.25">
      <c r="A4346" s="33">
        <v>4366</v>
      </c>
      <c r="B4346" s="24">
        <v>44281</v>
      </c>
      <c r="C4346" t="s">
        <v>181</v>
      </c>
      <c r="D4346" t="s">
        <v>41</v>
      </c>
      <c r="E4346">
        <v>2000720384</v>
      </c>
      <c r="F4346">
        <v>1840</v>
      </c>
      <c r="G4346">
        <v>2</v>
      </c>
      <c r="H4346">
        <v>0</v>
      </c>
      <c r="I4346" t="s">
        <v>180</v>
      </c>
      <c r="J4346" t="s">
        <v>174</v>
      </c>
      <c r="K4346" t="s">
        <v>644</v>
      </c>
      <c r="O4346">
        <v>0</v>
      </c>
      <c r="U4346" t="s">
        <v>81</v>
      </c>
    </row>
    <row r="4347" spans="1:21" x14ac:dyDescent="0.25">
      <c r="A4347" s="33">
        <v>4367</v>
      </c>
      <c r="B4347" s="24">
        <v>44281</v>
      </c>
      <c r="C4347" t="s">
        <v>181</v>
      </c>
      <c r="D4347" t="s">
        <v>41</v>
      </c>
      <c r="E4347">
        <v>2000720022</v>
      </c>
      <c r="F4347">
        <v>160</v>
      </c>
      <c r="G4347">
        <v>2</v>
      </c>
      <c r="H4347">
        <v>0</v>
      </c>
      <c r="I4347" t="s">
        <v>180</v>
      </c>
      <c r="J4347" t="s">
        <v>174</v>
      </c>
      <c r="K4347" t="s">
        <v>188</v>
      </c>
      <c r="O4347">
        <v>0</v>
      </c>
      <c r="U4347" t="s">
        <v>81</v>
      </c>
    </row>
    <row r="4348" spans="1:21" x14ac:dyDescent="0.25">
      <c r="A4348" s="33">
        <v>4368</v>
      </c>
      <c r="B4348" s="24">
        <v>44281</v>
      </c>
      <c r="C4348" t="s">
        <v>181</v>
      </c>
      <c r="D4348" t="s">
        <v>41</v>
      </c>
      <c r="E4348">
        <v>2000721363</v>
      </c>
      <c r="F4348">
        <v>1000</v>
      </c>
      <c r="G4348">
        <v>20</v>
      </c>
      <c r="H4348">
        <v>0</v>
      </c>
      <c r="I4348" t="s">
        <v>642</v>
      </c>
      <c r="J4348" t="s">
        <v>193</v>
      </c>
      <c r="K4348" t="s">
        <v>647</v>
      </c>
      <c r="O4348">
        <v>0</v>
      </c>
      <c r="U4348" t="s">
        <v>81</v>
      </c>
    </row>
    <row r="4349" spans="1:21" x14ac:dyDescent="0.25">
      <c r="A4349" s="33">
        <v>4369</v>
      </c>
      <c r="B4349" s="24">
        <v>44281</v>
      </c>
      <c r="C4349" t="s">
        <v>181</v>
      </c>
      <c r="D4349" t="s">
        <v>41</v>
      </c>
      <c r="E4349">
        <v>2000721292</v>
      </c>
      <c r="F4349">
        <v>3700</v>
      </c>
      <c r="G4349">
        <v>200</v>
      </c>
      <c r="H4349">
        <v>0</v>
      </c>
      <c r="I4349" t="s">
        <v>642</v>
      </c>
      <c r="J4349" t="s">
        <v>172</v>
      </c>
      <c r="K4349" t="s">
        <v>173</v>
      </c>
      <c r="O4349">
        <v>0</v>
      </c>
      <c r="U4349" t="s">
        <v>81</v>
      </c>
    </row>
    <row r="4350" spans="1:21" x14ac:dyDescent="0.25">
      <c r="A4350" s="33">
        <v>4370</v>
      </c>
      <c r="B4350" s="24">
        <v>44281</v>
      </c>
      <c r="C4350" t="s">
        <v>181</v>
      </c>
      <c r="D4350" t="s">
        <v>41</v>
      </c>
      <c r="E4350">
        <v>2000721567</v>
      </c>
      <c r="F4350">
        <v>290</v>
      </c>
      <c r="G4350">
        <v>80</v>
      </c>
      <c r="H4350">
        <v>0</v>
      </c>
      <c r="I4350" t="s">
        <v>642</v>
      </c>
      <c r="J4350" t="s">
        <v>216</v>
      </c>
      <c r="K4350" t="s">
        <v>733</v>
      </c>
      <c r="O4350">
        <v>0</v>
      </c>
      <c r="U4350" t="s">
        <v>81</v>
      </c>
    </row>
    <row r="4351" spans="1:21" x14ac:dyDescent="0.25">
      <c r="A4351" s="33">
        <v>4371</v>
      </c>
      <c r="B4351" s="24">
        <v>44281</v>
      </c>
      <c r="C4351" t="s">
        <v>181</v>
      </c>
      <c r="D4351" t="s">
        <v>41</v>
      </c>
      <c r="E4351">
        <v>2000721478</v>
      </c>
      <c r="F4351">
        <v>2300</v>
      </c>
      <c r="G4351">
        <v>80</v>
      </c>
      <c r="H4351">
        <v>0</v>
      </c>
      <c r="I4351" t="s">
        <v>642</v>
      </c>
      <c r="J4351" t="s">
        <v>645</v>
      </c>
      <c r="K4351" t="s">
        <v>790</v>
      </c>
      <c r="O4351">
        <v>0</v>
      </c>
      <c r="U4351" t="s">
        <v>81</v>
      </c>
    </row>
    <row r="4352" spans="1:21" x14ac:dyDescent="0.25">
      <c r="A4352" s="33">
        <v>4372</v>
      </c>
      <c r="B4352" s="24">
        <v>44281</v>
      </c>
      <c r="C4352" t="s">
        <v>181</v>
      </c>
      <c r="D4352" t="s">
        <v>41</v>
      </c>
      <c r="E4352">
        <v>2000721344</v>
      </c>
      <c r="F4352">
        <v>1200</v>
      </c>
      <c r="G4352">
        <v>120</v>
      </c>
      <c r="H4352">
        <v>0</v>
      </c>
      <c r="I4352" t="s">
        <v>642</v>
      </c>
      <c r="J4352" t="s">
        <v>645</v>
      </c>
      <c r="K4352" t="s">
        <v>721</v>
      </c>
      <c r="O4352">
        <v>0</v>
      </c>
      <c r="U4352" t="s">
        <v>81</v>
      </c>
    </row>
    <row r="4353" spans="1:21" x14ac:dyDescent="0.25">
      <c r="A4353" s="33">
        <v>4373</v>
      </c>
      <c r="B4353" s="24">
        <v>44281</v>
      </c>
      <c r="C4353" t="s">
        <v>181</v>
      </c>
      <c r="D4353" t="s">
        <v>41</v>
      </c>
      <c r="E4353">
        <v>2000720944</v>
      </c>
      <c r="F4353">
        <v>1000</v>
      </c>
      <c r="G4353">
        <v>60</v>
      </c>
      <c r="H4353">
        <v>0</v>
      </c>
      <c r="I4353" t="s">
        <v>191</v>
      </c>
      <c r="J4353" t="s">
        <v>203</v>
      </c>
      <c r="K4353" t="s">
        <v>768</v>
      </c>
      <c r="O4353">
        <v>0</v>
      </c>
      <c r="U4353" t="s">
        <v>81</v>
      </c>
    </row>
    <row r="4354" spans="1:21" x14ac:dyDescent="0.25">
      <c r="A4354" s="33">
        <v>4374</v>
      </c>
      <c r="B4354" s="24">
        <v>44281</v>
      </c>
      <c r="C4354" t="s">
        <v>181</v>
      </c>
      <c r="D4354" t="s">
        <v>41</v>
      </c>
      <c r="E4354">
        <v>2000720615</v>
      </c>
      <c r="F4354">
        <v>540</v>
      </c>
      <c r="G4354">
        <v>60</v>
      </c>
      <c r="H4354">
        <v>0</v>
      </c>
      <c r="I4354" t="s">
        <v>191</v>
      </c>
      <c r="J4354" t="s">
        <v>203</v>
      </c>
      <c r="K4354" t="s">
        <v>768</v>
      </c>
      <c r="O4354">
        <v>0</v>
      </c>
      <c r="U4354" t="s">
        <v>81</v>
      </c>
    </row>
    <row r="4355" spans="1:21" ht="45" x14ac:dyDescent="0.25">
      <c r="A4355" s="33">
        <v>4375</v>
      </c>
      <c r="B4355" s="24">
        <v>44281</v>
      </c>
      <c r="C4355" t="s">
        <v>181</v>
      </c>
      <c r="D4355" t="s">
        <v>41</v>
      </c>
      <c r="E4355">
        <v>2000720665</v>
      </c>
      <c r="F4355">
        <v>4432</v>
      </c>
      <c r="G4355">
        <v>160</v>
      </c>
      <c r="H4355">
        <v>0</v>
      </c>
      <c r="I4355" t="s">
        <v>666</v>
      </c>
      <c r="J4355" t="s">
        <v>200</v>
      </c>
      <c r="K4355" t="s">
        <v>653</v>
      </c>
      <c r="O4355">
        <v>0</v>
      </c>
      <c r="T4355" s="62" t="s">
        <v>775</v>
      </c>
      <c r="U4355" t="s">
        <v>81</v>
      </c>
    </row>
    <row r="4356" spans="1:21" x14ac:dyDescent="0.25">
      <c r="A4356" s="33">
        <v>4376</v>
      </c>
      <c r="B4356" s="24">
        <v>44281</v>
      </c>
      <c r="C4356" t="s">
        <v>181</v>
      </c>
      <c r="D4356" t="s">
        <v>41</v>
      </c>
      <c r="E4356">
        <v>2000721478</v>
      </c>
      <c r="F4356">
        <v>2300</v>
      </c>
      <c r="G4356">
        <v>20</v>
      </c>
      <c r="H4356">
        <v>0</v>
      </c>
      <c r="I4356" t="s">
        <v>666</v>
      </c>
      <c r="J4356" t="s">
        <v>645</v>
      </c>
      <c r="K4356" t="s">
        <v>790</v>
      </c>
      <c r="O4356">
        <v>0</v>
      </c>
      <c r="U4356" t="s">
        <v>81</v>
      </c>
    </row>
    <row r="4357" spans="1:21" x14ac:dyDescent="0.25">
      <c r="A4357" s="33">
        <v>4377</v>
      </c>
      <c r="B4357" s="24">
        <v>44281</v>
      </c>
      <c r="C4357" t="s">
        <v>181</v>
      </c>
      <c r="D4357" t="s">
        <v>41</v>
      </c>
      <c r="E4357">
        <v>2000720811</v>
      </c>
      <c r="F4357">
        <v>3999</v>
      </c>
      <c r="G4357">
        <v>120</v>
      </c>
      <c r="H4357">
        <v>0</v>
      </c>
      <c r="I4357" t="s">
        <v>666</v>
      </c>
      <c r="J4357" t="s">
        <v>687</v>
      </c>
      <c r="K4357" t="s">
        <v>688</v>
      </c>
      <c r="O4357">
        <v>0</v>
      </c>
      <c r="U4357" t="s">
        <v>81</v>
      </c>
    </row>
    <row r="4358" spans="1:21" x14ac:dyDescent="0.25">
      <c r="A4358" s="33">
        <v>4378</v>
      </c>
      <c r="B4358" s="24">
        <v>44281</v>
      </c>
      <c r="C4358" t="s">
        <v>181</v>
      </c>
      <c r="D4358" t="s">
        <v>41</v>
      </c>
      <c r="E4358">
        <v>2000720178</v>
      </c>
      <c r="F4358">
        <v>954</v>
      </c>
      <c r="G4358">
        <v>950</v>
      </c>
      <c r="H4358">
        <v>0</v>
      </c>
      <c r="I4358" t="s">
        <v>666</v>
      </c>
      <c r="J4358" t="s">
        <v>745</v>
      </c>
      <c r="K4358" t="s">
        <v>1141</v>
      </c>
      <c r="O4358">
        <v>0</v>
      </c>
      <c r="U4358" t="s">
        <v>81</v>
      </c>
    </row>
    <row r="4359" spans="1:21" x14ac:dyDescent="0.25">
      <c r="A4359" s="33">
        <v>4379</v>
      </c>
      <c r="B4359" s="24">
        <v>44281</v>
      </c>
      <c r="C4359" t="s">
        <v>181</v>
      </c>
      <c r="D4359" t="s">
        <v>41</v>
      </c>
      <c r="E4359">
        <v>2000720179</v>
      </c>
      <c r="F4359">
        <v>1246</v>
      </c>
      <c r="G4359">
        <v>160</v>
      </c>
      <c r="I4359" t="s">
        <v>666</v>
      </c>
      <c r="J4359" t="s">
        <v>745</v>
      </c>
      <c r="K4359" t="s">
        <v>857</v>
      </c>
      <c r="U4359" t="s">
        <v>81</v>
      </c>
    </row>
    <row r="4360" spans="1:21" x14ac:dyDescent="0.25">
      <c r="A4360" s="33">
        <v>4380</v>
      </c>
      <c r="B4360" s="24">
        <v>44281</v>
      </c>
      <c r="C4360" t="s">
        <v>181</v>
      </c>
      <c r="D4360" t="s">
        <v>41</v>
      </c>
      <c r="E4360">
        <v>2000720803</v>
      </c>
      <c r="F4360">
        <v>4432</v>
      </c>
      <c r="G4360">
        <v>160</v>
      </c>
      <c r="H4360">
        <v>0</v>
      </c>
      <c r="I4360" t="s">
        <v>666</v>
      </c>
      <c r="J4360" t="s">
        <v>200</v>
      </c>
      <c r="K4360" t="s">
        <v>653</v>
      </c>
      <c r="O4360">
        <v>0</v>
      </c>
      <c r="U4360" t="s">
        <v>81</v>
      </c>
    </row>
    <row r="4361" spans="1:21" x14ac:dyDescent="0.25">
      <c r="A4361" s="33">
        <v>4381</v>
      </c>
      <c r="B4361" s="24">
        <v>44281</v>
      </c>
      <c r="C4361" t="s">
        <v>181</v>
      </c>
      <c r="D4361" t="s">
        <v>51</v>
      </c>
      <c r="E4361">
        <v>2000721076</v>
      </c>
      <c r="F4361">
        <v>700</v>
      </c>
      <c r="G4361">
        <v>105</v>
      </c>
      <c r="H4361">
        <v>0</v>
      </c>
      <c r="I4361" t="s">
        <v>661</v>
      </c>
      <c r="J4361" t="s">
        <v>667</v>
      </c>
      <c r="K4361" t="s">
        <v>671</v>
      </c>
      <c r="O4361">
        <v>0</v>
      </c>
      <c r="U4361" t="s">
        <v>81</v>
      </c>
    </row>
    <row r="4362" spans="1:21" x14ac:dyDescent="0.25">
      <c r="A4362" s="33">
        <v>4382</v>
      </c>
      <c r="B4362" s="24">
        <v>44281</v>
      </c>
      <c r="C4362" t="s">
        <v>181</v>
      </c>
      <c r="D4362" t="s">
        <v>51</v>
      </c>
      <c r="E4362">
        <v>2000721460</v>
      </c>
      <c r="F4362">
        <v>400</v>
      </c>
      <c r="G4362">
        <v>105</v>
      </c>
      <c r="H4362">
        <v>0</v>
      </c>
      <c r="I4362" t="s">
        <v>661</v>
      </c>
      <c r="J4362" t="s">
        <v>667</v>
      </c>
      <c r="K4362" t="s">
        <v>671</v>
      </c>
      <c r="O4362">
        <v>0</v>
      </c>
      <c r="U4362" t="s">
        <v>81</v>
      </c>
    </row>
    <row r="4363" spans="1:21" x14ac:dyDescent="0.25">
      <c r="A4363" s="33">
        <v>4383</v>
      </c>
      <c r="B4363" s="24">
        <v>44281</v>
      </c>
      <c r="C4363" t="s">
        <v>181</v>
      </c>
      <c r="D4363" t="s">
        <v>51</v>
      </c>
      <c r="E4363">
        <v>2000718017</v>
      </c>
      <c r="F4363">
        <v>160</v>
      </c>
      <c r="G4363">
        <v>60</v>
      </c>
      <c r="H4363">
        <v>0</v>
      </c>
      <c r="I4363" t="s">
        <v>191</v>
      </c>
      <c r="J4363" t="s">
        <v>669</v>
      </c>
      <c r="K4363" t="s">
        <v>801</v>
      </c>
      <c r="O4363">
        <v>0</v>
      </c>
      <c r="U4363" t="s">
        <v>81</v>
      </c>
    </row>
    <row r="4364" spans="1:21" x14ac:dyDescent="0.25">
      <c r="A4364" s="33">
        <v>4384</v>
      </c>
      <c r="B4364" s="24">
        <v>44281</v>
      </c>
      <c r="C4364" t="s">
        <v>181</v>
      </c>
      <c r="D4364" t="s">
        <v>51</v>
      </c>
      <c r="E4364">
        <v>2000721076</v>
      </c>
      <c r="F4364">
        <v>700</v>
      </c>
      <c r="G4364">
        <v>140</v>
      </c>
      <c r="H4364">
        <v>0</v>
      </c>
      <c r="I4364" t="s">
        <v>191</v>
      </c>
      <c r="J4364" t="s">
        <v>667</v>
      </c>
      <c r="K4364" t="s">
        <v>975</v>
      </c>
      <c r="O4364">
        <v>0</v>
      </c>
      <c r="U4364" t="s">
        <v>81</v>
      </c>
    </row>
    <row r="4365" spans="1:21" x14ac:dyDescent="0.25">
      <c r="A4365" s="33">
        <v>4385</v>
      </c>
      <c r="B4365" s="24">
        <v>44281</v>
      </c>
      <c r="C4365" t="s">
        <v>181</v>
      </c>
      <c r="D4365" t="s">
        <v>51</v>
      </c>
      <c r="E4365">
        <v>2000721460</v>
      </c>
      <c r="F4365">
        <v>400</v>
      </c>
      <c r="G4365">
        <v>70</v>
      </c>
      <c r="H4365">
        <v>0</v>
      </c>
      <c r="I4365" t="s">
        <v>191</v>
      </c>
      <c r="J4365" t="s">
        <v>667</v>
      </c>
      <c r="K4365" t="s">
        <v>671</v>
      </c>
      <c r="O4365">
        <v>0</v>
      </c>
      <c r="U4365" t="s">
        <v>81</v>
      </c>
    </row>
    <row r="4366" spans="1:21" x14ac:dyDescent="0.25">
      <c r="A4366" s="33">
        <v>4386</v>
      </c>
      <c r="B4366" s="24">
        <v>44281</v>
      </c>
      <c r="C4366" t="s">
        <v>181</v>
      </c>
      <c r="D4366" t="s">
        <v>51</v>
      </c>
      <c r="E4366">
        <v>2000721073</v>
      </c>
      <c r="F4366">
        <v>700</v>
      </c>
      <c r="G4366">
        <v>100</v>
      </c>
      <c r="H4366">
        <v>0</v>
      </c>
      <c r="I4366" t="s">
        <v>191</v>
      </c>
      <c r="J4366" t="s">
        <v>673</v>
      </c>
      <c r="K4366" t="s">
        <v>760</v>
      </c>
      <c r="O4366">
        <v>0</v>
      </c>
      <c r="U4366" t="s">
        <v>81</v>
      </c>
    </row>
    <row r="4367" spans="1:21" x14ac:dyDescent="0.25">
      <c r="A4367" s="33">
        <v>4387</v>
      </c>
      <c r="B4367" s="24">
        <v>44281</v>
      </c>
      <c r="C4367" t="s">
        <v>181</v>
      </c>
      <c r="D4367" t="s">
        <v>51</v>
      </c>
      <c r="E4367">
        <v>2000721068</v>
      </c>
      <c r="F4367">
        <v>940</v>
      </c>
      <c r="G4367">
        <v>120</v>
      </c>
      <c r="H4367">
        <v>1</v>
      </c>
      <c r="I4367" t="s">
        <v>191</v>
      </c>
      <c r="J4367" t="s">
        <v>673</v>
      </c>
      <c r="K4367" t="s">
        <v>951</v>
      </c>
      <c r="L4367" t="s">
        <v>87</v>
      </c>
      <c r="N4367" t="s">
        <v>1142</v>
      </c>
      <c r="O4367">
        <v>1</v>
      </c>
      <c r="P4367" t="s">
        <v>1143</v>
      </c>
      <c r="Q4367" t="s">
        <v>1144</v>
      </c>
      <c r="R4367" t="s">
        <v>1145</v>
      </c>
      <c r="S4367" s="36">
        <v>7.6388888888888895E-2</v>
      </c>
      <c r="U4367" t="s">
        <v>81</v>
      </c>
    </row>
    <row r="4368" spans="1:21" x14ac:dyDescent="0.25">
      <c r="A4368" s="33">
        <v>4388</v>
      </c>
      <c r="B4368" s="24">
        <v>44281</v>
      </c>
      <c r="C4368" t="s">
        <v>181</v>
      </c>
      <c r="D4368" t="s">
        <v>51</v>
      </c>
      <c r="E4368">
        <v>2000721457</v>
      </c>
      <c r="F4368">
        <v>185</v>
      </c>
      <c r="G4368">
        <v>10</v>
      </c>
      <c r="H4368">
        <v>0</v>
      </c>
      <c r="I4368" t="s">
        <v>191</v>
      </c>
      <c r="J4368" t="s">
        <v>669</v>
      </c>
      <c r="K4368" t="s">
        <v>810</v>
      </c>
      <c r="O4368">
        <v>0</v>
      </c>
      <c r="U4368" t="s">
        <v>81</v>
      </c>
    </row>
    <row r="4369" spans="1:21" x14ac:dyDescent="0.25">
      <c r="A4369" s="33">
        <v>4389</v>
      </c>
      <c r="B4369" s="24">
        <v>44281</v>
      </c>
      <c r="C4369" t="s">
        <v>181</v>
      </c>
      <c r="D4369" t="s">
        <v>41</v>
      </c>
      <c r="E4369">
        <v>2000720876</v>
      </c>
      <c r="F4369">
        <v>1000</v>
      </c>
      <c r="G4369">
        <v>160</v>
      </c>
      <c r="H4369">
        <v>0</v>
      </c>
      <c r="I4369" t="s">
        <v>201</v>
      </c>
      <c r="J4369" t="s">
        <v>193</v>
      </c>
      <c r="K4369" t="s">
        <v>650</v>
      </c>
      <c r="O4369">
        <v>0</v>
      </c>
      <c r="U4369" t="s">
        <v>81</v>
      </c>
    </row>
    <row r="4370" spans="1:21" x14ac:dyDescent="0.25">
      <c r="A4370" s="33">
        <v>4390</v>
      </c>
      <c r="B4370" s="24">
        <v>44281</v>
      </c>
      <c r="C4370" t="s">
        <v>181</v>
      </c>
      <c r="D4370" t="s">
        <v>41</v>
      </c>
      <c r="E4370">
        <v>2000721705</v>
      </c>
      <c r="F4370">
        <v>147</v>
      </c>
      <c r="G4370">
        <v>147</v>
      </c>
      <c r="H4370">
        <v>0</v>
      </c>
      <c r="I4370" t="s">
        <v>201</v>
      </c>
      <c r="J4370" t="s">
        <v>1146</v>
      </c>
      <c r="K4370" t="s">
        <v>1140</v>
      </c>
      <c r="O4370">
        <v>0</v>
      </c>
      <c r="U4370" t="s">
        <v>83</v>
      </c>
    </row>
    <row r="4371" spans="1:21" x14ac:dyDescent="0.25">
      <c r="A4371" s="33">
        <v>4391</v>
      </c>
      <c r="B4371" s="24">
        <v>44281</v>
      </c>
      <c r="C4371" t="s">
        <v>181</v>
      </c>
      <c r="D4371" t="s">
        <v>41</v>
      </c>
      <c r="E4371">
        <v>2000720879</v>
      </c>
      <c r="F4371">
        <v>1000</v>
      </c>
      <c r="G4371">
        <v>150</v>
      </c>
      <c r="H4371">
        <v>0</v>
      </c>
      <c r="I4371" t="s">
        <v>201</v>
      </c>
      <c r="J4371" t="s">
        <v>193</v>
      </c>
      <c r="K4371" t="s">
        <v>176</v>
      </c>
      <c r="O4371">
        <v>0</v>
      </c>
      <c r="U4371" t="s">
        <v>81</v>
      </c>
    </row>
    <row r="4372" spans="1:21" x14ac:dyDescent="0.25">
      <c r="A4372" s="33">
        <v>4392</v>
      </c>
      <c r="B4372" s="24">
        <v>44281</v>
      </c>
      <c r="C4372" t="s">
        <v>181</v>
      </c>
      <c r="D4372" t="s">
        <v>41</v>
      </c>
      <c r="E4372">
        <v>2000720845</v>
      </c>
      <c r="F4372">
        <v>896</v>
      </c>
      <c r="G4372">
        <v>150</v>
      </c>
      <c r="H4372">
        <v>0</v>
      </c>
      <c r="I4372" t="s">
        <v>201</v>
      </c>
      <c r="J4372" t="s">
        <v>202</v>
      </c>
      <c r="K4372" t="s">
        <v>858</v>
      </c>
      <c r="O4372">
        <v>0</v>
      </c>
      <c r="U4372" t="s">
        <v>81</v>
      </c>
    </row>
    <row r="4373" spans="1:21" x14ac:dyDescent="0.25">
      <c r="A4373" s="33">
        <v>4393</v>
      </c>
      <c r="B4373" s="24">
        <v>44281</v>
      </c>
      <c r="C4373" t="s">
        <v>181</v>
      </c>
      <c r="D4373" t="s">
        <v>41</v>
      </c>
      <c r="E4373">
        <v>2000720882</v>
      </c>
      <c r="F4373">
        <v>1000</v>
      </c>
      <c r="G4373">
        <v>160</v>
      </c>
      <c r="H4373">
        <v>0</v>
      </c>
      <c r="I4373" t="s">
        <v>201</v>
      </c>
      <c r="J4373" t="s">
        <v>193</v>
      </c>
      <c r="K4373" t="s">
        <v>686</v>
      </c>
      <c r="O4373">
        <v>0</v>
      </c>
      <c r="U4373" t="s">
        <v>81</v>
      </c>
    </row>
    <row r="4374" spans="1:21" x14ac:dyDescent="0.25">
      <c r="A4374" s="33">
        <v>4394</v>
      </c>
      <c r="B4374" s="24">
        <v>44281</v>
      </c>
      <c r="C4374" t="s">
        <v>181</v>
      </c>
      <c r="D4374" t="s">
        <v>41</v>
      </c>
      <c r="E4374">
        <v>2000720673</v>
      </c>
      <c r="F4374">
        <v>1480</v>
      </c>
      <c r="G4374">
        <v>520</v>
      </c>
      <c r="H4374">
        <v>0</v>
      </c>
      <c r="I4374" t="s">
        <v>201</v>
      </c>
      <c r="J4374" t="s">
        <v>745</v>
      </c>
      <c r="K4374" t="s">
        <v>746</v>
      </c>
      <c r="O4374">
        <v>0</v>
      </c>
      <c r="U4374" t="s">
        <v>81</v>
      </c>
    </row>
    <row r="4375" spans="1:21" x14ac:dyDescent="0.25">
      <c r="A4375" s="33">
        <v>4395</v>
      </c>
      <c r="B4375" s="24">
        <v>44281</v>
      </c>
      <c r="C4375" t="s">
        <v>181</v>
      </c>
      <c r="D4375" t="s">
        <v>41</v>
      </c>
      <c r="E4375">
        <v>2000720880</v>
      </c>
      <c r="F4375">
        <v>1000</v>
      </c>
      <c r="G4375">
        <v>150</v>
      </c>
      <c r="H4375">
        <v>0</v>
      </c>
      <c r="I4375" t="s">
        <v>201</v>
      </c>
      <c r="J4375" t="s">
        <v>193</v>
      </c>
      <c r="K4375" t="s">
        <v>683</v>
      </c>
      <c r="O4375">
        <v>0</v>
      </c>
      <c r="U4375" t="s">
        <v>81</v>
      </c>
    </row>
    <row r="4376" spans="1:21" x14ac:dyDescent="0.25">
      <c r="A4376" s="33">
        <v>4396</v>
      </c>
      <c r="B4376" s="24">
        <v>44281</v>
      </c>
      <c r="C4376" t="s">
        <v>181</v>
      </c>
      <c r="D4376" t="s">
        <v>41</v>
      </c>
      <c r="E4376">
        <v>2000720881</v>
      </c>
      <c r="F4376">
        <v>1000</v>
      </c>
      <c r="G4376">
        <v>120</v>
      </c>
      <c r="H4376">
        <v>0</v>
      </c>
      <c r="I4376" t="s">
        <v>201</v>
      </c>
      <c r="J4376" t="s">
        <v>193</v>
      </c>
      <c r="K4376" t="s">
        <v>650</v>
      </c>
      <c r="O4376">
        <v>0</v>
      </c>
      <c r="U4376" t="s">
        <v>81</v>
      </c>
    </row>
    <row r="4377" spans="1:21" x14ac:dyDescent="0.25">
      <c r="A4377" s="33">
        <v>4397</v>
      </c>
      <c r="B4377" s="24">
        <v>44281</v>
      </c>
      <c r="C4377" t="s">
        <v>181</v>
      </c>
      <c r="D4377" t="s">
        <v>41</v>
      </c>
      <c r="E4377">
        <v>2000721498</v>
      </c>
      <c r="F4377">
        <v>290</v>
      </c>
      <c r="G4377">
        <v>100</v>
      </c>
      <c r="H4377">
        <v>0</v>
      </c>
      <c r="I4377" t="s">
        <v>201</v>
      </c>
      <c r="J4377" t="s">
        <v>216</v>
      </c>
      <c r="K4377" t="s">
        <v>839</v>
      </c>
      <c r="O4377">
        <v>0</v>
      </c>
      <c r="U4377" t="s">
        <v>81</v>
      </c>
    </row>
    <row r="4378" spans="1:21" x14ac:dyDescent="0.25">
      <c r="A4378" s="33">
        <v>4398</v>
      </c>
      <c r="B4378" s="24">
        <v>44281</v>
      </c>
      <c r="C4378" t="s">
        <v>181</v>
      </c>
      <c r="D4378" t="s">
        <v>41</v>
      </c>
      <c r="E4378">
        <v>2000721497</v>
      </c>
      <c r="F4378">
        <v>290</v>
      </c>
      <c r="G4378">
        <v>80</v>
      </c>
      <c r="H4378">
        <v>0</v>
      </c>
      <c r="I4378" t="s">
        <v>201</v>
      </c>
      <c r="J4378" t="s">
        <v>216</v>
      </c>
      <c r="K4378" t="s">
        <v>784</v>
      </c>
      <c r="O4378">
        <v>0</v>
      </c>
      <c r="U4378" t="s">
        <v>81</v>
      </c>
    </row>
    <row r="4379" spans="1:21" x14ac:dyDescent="0.25">
      <c r="A4379" s="33">
        <v>4399</v>
      </c>
      <c r="B4379" s="24">
        <v>44281</v>
      </c>
      <c r="C4379" t="s">
        <v>181</v>
      </c>
      <c r="D4379" t="s">
        <v>41</v>
      </c>
      <c r="E4379">
        <v>2000721516</v>
      </c>
      <c r="F4379">
        <v>3000</v>
      </c>
      <c r="G4379">
        <v>200</v>
      </c>
      <c r="H4379">
        <v>0</v>
      </c>
      <c r="I4379" t="s">
        <v>201</v>
      </c>
      <c r="J4379" t="s">
        <v>200</v>
      </c>
      <c r="K4379" t="s">
        <v>737</v>
      </c>
      <c r="O4379">
        <v>0</v>
      </c>
      <c r="U4379" t="s">
        <v>81</v>
      </c>
    </row>
    <row r="4380" spans="1:21" x14ac:dyDescent="0.25">
      <c r="A4380" s="33">
        <v>4400</v>
      </c>
      <c r="B4380" s="24">
        <v>44281</v>
      </c>
      <c r="C4380" t="s">
        <v>181</v>
      </c>
      <c r="D4380" t="s">
        <v>41</v>
      </c>
      <c r="E4380">
        <v>2000720615</v>
      </c>
      <c r="F4380">
        <v>540</v>
      </c>
      <c r="G4380">
        <v>90</v>
      </c>
      <c r="H4380">
        <v>0</v>
      </c>
      <c r="I4380" t="s">
        <v>168</v>
      </c>
      <c r="J4380" t="s">
        <v>203</v>
      </c>
      <c r="K4380" t="s">
        <v>768</v>
      </c>
      <c r="O4380">
        <v>0</v>
      </c>
      <c r="U4380" t="s">
        <v>81</v>
      </c>
    </row>
    <row r="4381" spans="1:21" x14ac:dyDescent="0.25">
      <c r="A4381" s="33">
        <v>4401</v>
      </c>
      <c r="B4381" s="24">
        <v>44281</v>
      </c>
      <c r="C4381" t="s">
        <v>181</v>
      </c>
      <c r="D4381" t="s">
        <v>41</v>
      </c>
      <c r="E4381">
        <v>2000720944</v>
      </c>
      <c r="F4381">
        <v>1000</v>
      </c>
      <c r="G4381">
        <v>120</v>
      </c>
      <c r="H4381">
        <v>0</v>
      </c>
      <c r="I4381" t="s">
        <v>168</v>
      </c>
      <c r="J4381" t="s">
        <v>203</v>
      </c>
      <c r="K4381" t="s">
        <v>768</v>
      </c>
      <c r="O4381">
        <v>0</v>
      </c>
      <c r="U4381" t="s">
        <v>81</v>
      </c>
    </row>
    <row r="4382" spans="1:21" x14ac:dyDescent="0.25">
      <c r="A4382" s="33">
        <v>4402</v>
      </c>
      <c r="B4382" s="24">
        <v>44281</v>
      </c>
      <c r="C4382" t="s">
        <v>181</v>
      </c>
      <c r="D4382" t="s">
        <v>41</v>
      </c>
      <c r="E4382">
        <v>2000721336</v>
      </c>
      <c r="F4382">
        <v>1000</v>
      </c>
      <c r="G4382">
        <v>100</v>
      </c>
      <c r="H4382">
        <v>0</v>
      </c>
      <c r="I4382" t="s">
        <v>168</v>
      </c>
      <c r="J4382" t="s">
        <v>816</v>
      </c>
      <c r="K4382" t="s">
        <v>833</v>
      </c>
      <c r="O4382">
        <v>0</v>
      </c>
      <c r="U4382" t="s">
        <v>81</v>
      </c>
    </row>
    <row r="4383" spans="1:21" x14ac:dyDescent="0.25">
      <c r="A4383" s="33">
        <v>4403</v>
      </c>
      <c r="B4383" s="24">
        <v>44281</v>
      </c>
      <c r="C4383" t="s">
        <v>181</v>
      </c>
      <c r="D4383" t="s">
        <v>41</v>
      </c>
      <c r="E4383">
        <v>2000720619</v>
      </c>
      <c r="F4383">
        <v>410</v>
      </c>
      <c r="G4383">
        <v>60</v>
      </c>
      <c r="H4383">
        <v>0</v>
      </c>
      <c r="I4383" t="s">
        <v>168</v>
      </c>
      <c r="J4383" t="s">
        <v>203</v>
      </c>
      <c r="K4383" t="s">
        <v>891</v>
      </c>
      <c r="O4383">
        <v>0</v>
      </c>
      <c r="U4383" t="s">
        <v>81</v>
      </c>
    </row>
    <row r="4384" spans="1:21" x14ac:dyDescent="0.25">
      <c r="A4384" s="33">
        <v>4404</v>
      </c>
      <c r="B4384" s="24">
        <v>44281</v>
      </c>
      <c r="C4384" t="s">
        <v>181</v>
      </c>
      <c r="D4384" t="s">
        <v>41</v>
      </c>
      <c r="E4384">
        <v>2000721325</v>
      </c>
      <c r="F4384">
        <v>350</v>
      </c>
      <c r="G4384">
        <v>20</v>
      </c>
      <c r="H4384">
        <v>0</v>
      </c>
      <c r="I4384" t="s">
        <v>168</v>
      </c>
      <c r="J4384" t="s">
        <v>745</v>
      </c>
      <c r="K4384" t="s">
        <v>836</v>
      </c>
      <c r="O4384">
        <v>0</v>
      </c>
      <c r="U4384" t="s">
        <v>81</v>
      </c>
    </row>
    <row r="4385" spans="1:21" x14ac:dyDescent="0.25">
      <c r="A4385" s="33">
        <v>4405</v>
      </c>
      <c r="B4385" s="24">
        <v>44281</v>
      </c>
      <c r="C4385" t="s">
        <v>181</v>
      </c>
      <c r="D4385" t="s">
        <v>41</v>
      </c>
      <c r="E4385">
        <v>2000720186</v>
      </c>
      <c r="F4385">
        <v>300</v>
      </c>
      <c r="G4385">
        <v>150</v>
      </c>
      <c r="H4385">
        <v>0</v>
      </c>
      <c r="I4385" t="s">
        <v>661</v>
      </c>
      <c r="J4385" t="s">
        <v>169</v>
      </c>
      <c r="K4385" t="s">
        <v>867</v>
      </c>
      <c r="O4385">
        <v>0</v>
      </c>
      <c r="U4385" t="s">
        <v>81</v>
      </c>
    </row>
    <row r="4386" spans="1:21" x14ac:dyDescent="0.25">
      <c r="A4386" s="33">
        <v>4406</v>
      </c>
      <c r="B4386" s="24">
        <v>44282</v>
      </c>
      <c r="C4386" t="s">
        <v>39</v>
      </c>
      <c r="D4386" t="s">
        <v>51</v>
      </c>
      <c r="E4386">
        <v>2000721457</v>
      </c>
      <c r="F4386">
        <v>185</v>
      </c>
      <c r="G4386">
        <v>10</v>
      </c>
      <c r="H4386">
        <v>0</v>
      </c>
      <c r="I4386" t="s">
        <v>198</v>
      </c>
      <c r="J4386" t="s">
        <v>669</v>
      </c>
      <c r="K4386" t="s">
        <v>810</v>
      </c>
      <c r="O4386">
        <v>0</v>
      </c>
      <c r="U4386" t="s">
        <v>81</v>
      </c>
    </row>
    <row r="4387" spans="1:21" x14ac:dyDescent="0.25">
      <c r="A4387" s="33">
        <v>4407</v>
      </c>
      <c r="B4387" s="24">
        <v>44282</v>
      </c>
      <c r="C4387" t="s">
        <v>39</v>
      </c>
      <c r="D4387" t="s">
        <v>51</v>
      </c>
      <c r="E4387">
        <v>2000721457</v>
      </c>
      <c r="F4387">
        <v>185</v>
      </c>
      <c r="G4387">
        <v>10</v>
      </c>
      <c r="H4387">
        <v>0</v>
      </c>
      <c r="I4387" t="s">
        <v>198</v>
      </c>
      <c r="J4387" t="s">
        <v>669</v>
      </c>
      <c r="K4387" t="s">
        <v>810</v>
      </c>
      <c r="O4387">
        <v>0</v>
      </c>
      <c r="U4387" t="s">
        <v>81</v>
      </c>
    </row>
    <row r="4388" spans="1:21" x14ac:dyDescent="0.25">
      <c r="A4388" s="33">
        <v>4408</v>
      </c>
      <c r="B4388" s="24">
        <v>44282</v>
      </c>
      <c r="C4388" t="s">
        <v>39</v>
      </c>
      <c r="D4388" t="s">
        <v>51</v>
      </c>
      <c r="E4388">
        <v>2000721457</v>
      </c>
      <c r="F4388">
        <v>185</v>
      </c>
      <c r="G4388">
        <v>155</v>
      </c>
      <c r="H4388">
        <v>0</v>
      </c>
      <c r="I4388" t="s">
        <v>693</v>
      </c>
      <c r="J4388" t="s">
        <v>669</v>
      </c>
      <c r="K4388" t="s">
        <v>810</v>
      </c>
      <c r="O4388">
        <v>0</v>
      </c>
      <c r="U4388" t="s">
        <v>81</v>
      </c>
    </row>
    <row r="4389" spans="1:21" x14ac:dyDescent="0.25">
      <c r="A4389" s="33">
        <v>4409</v>
      </c>
      <c r="B4389" s="24">
        <v>44282</v>
      </c>
      <c r="C4389" t="s">
        <v>39</v>
      </c>
      <c r="D4389" t="s">
        <v>51</v>
      </c>
      <c r="E4389">
        <v>2000721074</v>
      </c>
      <c r="F4389">
        <v>350</v>
      </c>
      <c r="G4389">
        <v>70</v>
      </c>
      <c r="H4389">
        <v>0</v>
      </c>
      <c r="I4389" t="s">
        <v>693</v>
      </c>
      <c r="J4389" t="s">
        <v>937</v>
      </c>
      <c r="K4389" t="s">
        <v>760</v>
      </c>
      <c r="O4389">
        <v>0</v>
      </c>
      <c r="U4389" t="s">
        <v>81</v>
      </c>
    </row>
    <row r="4390" spans="1:21" x14ac:dyDescent="0.25">
      <c r="A4390" s="33">
        <v>4410</v>
      </c>
      <c r="B4390" s="24">
        <v>44282</v>
      </c>
      <c r="C4390" t="s">
        <v>39</v>
      </c>
      <c r="D4390" t="s">
        <v>51</v>
      </c>
      <c r="E4390">
        <v>2000721073</v>
      </c>
      <c r="F4390">
        <v>700</v>
      </c>
      <c r="G4390">
        <v>10</v>
      </c>
      <c r="H4390">
        <v>0</v>
      </c>
      <c r="I4390" t="s">
        <v>693</v>
      </c>
      <c r="J4390" t="s">
        <v>937</v>
      </c>
      <c r="K4390" t="s">
        <v>760</v>
      </c>
      <c r="O4390">
        <v>0</v>
      </c>
      <c r="U4390" t="s">
        <v>81</v>
      </c>
    </row>
    <row r="4391" spans="1:21" x14ac:dyDescent="0.25">
      <c r="A4391" s="33">
        <v>4411</v>
      </c>
      <c r="B4391" s="24">
        <v>44282</v>
      </c>
      <c r="C4391" t="s">
        <v>39</v>
      </c>
      <c r="D4391" t="s">
        <v>41</v>
      </c>
      <c r="E4391">
        <v>2000721518</v>
      </c>
      <c r="F4391">
        <v>2400</v>
      </c>
      <c r="G4391">
        <v>300</v>
      </c>
      <c r="H4391">
        <v>0</v>
      </c>
      <c r="I4391" t="s">
        <v>198</v>
      </c>
      <c r="J4391" t="s">
        <v>203</v>
      </c>
      <c r="K4391" t="s">
        <v>729</v>
      </c>
      <c r="O4391">
        <v>0</v>
      </c>
      <c r="U4391" t="s">
        <v>81</v>
      </c>
    </row>
    <row r="4392" spans="1:21" x14ac:dyDescent="0.25">
      <c r="A4392" s="33">
        <v>4412</v>
      </c>
      <c r="B4392" s="24">
        <v>44282</v>
      </c>
      <c r="C4392" t="s">
        <v>39</v>
      </c>
      <c r="D4392" t="s">
        <v>41</v>
      </c>
      <c r="E4392">
        <v>2000720811</v>
      </c>
      <c r="F4392">
        <v>3999</v>
      </c>
      <c r="G4392">
        <v>120</v>
      </c>
      <c r="H4392">
        <v>0</v>
      </c>
      <c r="I4392" t="s">
        <v>198</v>
      </c>
      <c r="J4392" t="s">
        <v>687</v>
      </c>
      <c r="K4392" t="s">
        <v>688</v>
      </c>
      <c r="O4392">
        <v>0</v>
      </c>
      <c r="U4392" t="s">
        <v>81</v>
      </c>
    </row>
    <row r="4393" spans="1:21" x14ac:dyDescent="0.25">
      <c r="A4393" s="33">
        <v>4413</v>
      </c>
      <c r="B4393" s="24">
        <v>44282</v>
      </c>
      <c r="C4393" t="s">
        <v>39</v>
      </c>
      <c r="D4393" t="s">
        <v>41</v>
      </c>
      <c r="E4393">
        <v>2000720812</v>
      </c>
      <c r="F4393">
        <v>3999</v>
      </c>
      <c r="G4393">
        <v>120</v>
      </c>
      <c r="H4393">
        <v>0</v>
      </c>
      <c r="I4393" t="s">
        <v>198</v>
      </c>
      <c r="J4393" t="s">
        <v>687</v>
      </c>
      <c r="K4393" t="s">
        <v>688</v>
      </c>
      <c r="O4393">
        <v>0</v>
      </c>
      <c r="U4393" t="s">
        <v>81</v>
      </c>
    </row>
    <row r="4394" spans="1:21" x14ac:dyDescent="0.25">
      <c r="A4394" s="33">
        <v>4414</v>
      </c>
      <c r="B4394" s="24">
        <v>44282</v>
      </c>
      <c r="C4394" t="s">
        <v>39</v>
      </c>
      <c r="D4394" t="s">
        <v>41</v>
      </c>
      <c r="E4394">
        <v>2000720806</v>
      </c>
      <c r="F4394">
        <v>2448</v>
      </c>
      <c r="G4394">
        <v>160</v>
      </c>
      <c r="H4394">
        <v>0</v>
      </c>
      <c r="I4394" t="s">
        <v>198</v>
      </c>
      <c r="J4394" t="s">
        <v>655</v>
      </c>
      <c r="K4394" t="s">
        <v>656</v>
      </c>
      <c r="O4394">
        <v>0</v>
      </c>
      <c r="U4394" t="s">
        <v>81</v>
      </c>
    </row>
    <row r="4395" spans="1:21" x14ac:dyDescent="0.25">
      <c r="A4395" s="33">
        <v>4415</v>
      </c>
      <c r="B4395" s="24">
        <v>44282</v>
      </c>
      <c r="C4395" t="s">
        <v>39</v>
      </c>
      <c r="D4395" t="s">
        <v>41</v>
      </c>
      <c r="E4395">
        <v>2000715913</v>
      </c>
      <c r="F4395">
        <v>300</v>
      </c>
      <c r="G4395">
        <v>1</v>
      </c>
      <c r="H4395">
        <v>0</v>
      </c>
      <c r="I4395" t="s">
        <v>198</v>
      </c>
      <c r="J4395" t="s">
        <v>169</v>
      </c>
      <c r="K4395" t="s">
        <v>867</v>
      </c>
      <c r="O4395">
        <v>0</v>
      </c>
      <c r="U4395" t="s">
        <v>81</v>
      </c>
    </row>
    <row r="4396" spans="1:21" x14ac:dyDescent="0.25">
      <c r="A4396" s="33">
        <v>4416</v>
      </c>
      <c r="B4396" s="24">
        <v>44282</v>
      </c>
      <c r="C4396" t="s">
        <v>39</v>
      </c>
      <c r="D4396" t="s">
        <v>41</v>
      </c>
      <c r="E4396">
        <v>2000721741</v>
      </c>
      <c r="F4396">
        <v>130</v>
      </c>
      <c r="G4396">
        <v>20</v>
      </c>
      <c r="H4396">
        <v>0</v>
      </c>
      <c r="I4396" t="s">
        <v>198</v>
      </c>
      <c r="J4396" t="s">
        <v>202</v>
      </c>
      <c r="K4396" t="s">
        <v>797</v>
      </c>
      <c r="O4396">
        <v>0</v>
      </c>
      <c r="U4396" t="s">
        <v>81</v>
      </c>
    </row>
    <row r="4397" spans="1:21" ht="30" x14ac:dyDescent="0.25">
      <c r="A4397" s="33">
        <v>4417</v>
      </c>
      <c r="B4397" s="24">
        <v>44282</v>
      </c>
      <c r="C4397" t="s">
        <v>39</v>
      </c>
      <c r="D4397" t="s">
        <v>41</v>
      </c>
      <c r="E4397">
        <v>2000721511</v>
      </c>
      <c r="F4397">
        <v>1020</v>
      </c>
      <c r="G4397">
        <v>300</v>
      </c>
      <c r="H4397">
        <v>0</v>
      </c>
      <c r="I4397" t="s">
        <v>198</v>
      </c>
      <c r="J4397" t="s">
        <v>172</v>
      </c>
      <c r="K4397" t="s">
        <v>725</v>
      </c>
      <c r="O4397">
        <v>0</v>
      </c>
      <c r="T4397" s="62" t="s">
        <v>723</v>
      </c>
      <c r="U4397" t="s">
        <v>81</v>
      </c>
    </row>
    <row r="4398" spans="1:21" x14ac:dyDescent="0.25">
      <c r="A4398" s="33">
        <v>4418</v>
      </c>
      <c r="B4398" s="24">
        <v>44282</v>
      </c>
      <c r="C4398" t="s">
        <v>39</v>
      </c>
      <c r="D4398" t="s">
        <v>41</v>
      </c>
      <c r="E4398">
        <v>2000721325</v>
      </c>
      <c r="F4398">
        <v>350</v>
      </c>
      <c r="G4398">
        <v>105</v>
      </c>
      <c r="H4398">
        <v>0</v>
      </c>
      <c r="I4398" t="s">
        <v>184</v>
      </c>
      <c r="J4398" t="s">
        <v>745</v>
      </c>
      <c r="K4398" t="s">
        <v>836</v>
      </c>
      <c r="O4398">
        <v>0</v>
      </c>
      <c r="U4398" t="s">
        <v>81</v>
      </c>
    </row>
    <row r="4399" spans="1:21" x14ac:dyDescent="0.25">
      <c r="A4399" s="33">
        <v>4419</v>
      </c>
      <c r="B4399" s="24">
        <v>44282</v>
      </c>
      <c r="C4399" t="s">
        <v>39</v>
      </c>
      <c r="D4399" t="s">
        <v>41</v>
      </c>
      <c r="E4399">
        <v>2000720615</v>
      </c>
      <c r="F4399">
        <v>540</v>
      </c>
      <c r="G4399">
        <v>60</v>
      </c>
      <c r="H4399">
        <v>0</v>
      </c>
      <c r="I4399" t="s">
        <v>184</v>
      </c>
      <c r="J4399" t="s">
        <v>203</v>
      </c>
      <c r="K4399" t="s">
        <v>768</v>
      </c>
      <c r="O4399">
        <v>0</v>
      </c>
      <c r="U4399" t="s">
        <v>81</v>
      </c>
    </row>
    <row r="4400" spans="1:21" x14ac:dyDescent="0.25">
      <c r="A4400" s="33">
        <v>4420</v>
      </c>
      <c r="B4400" s="24">
        <v>44282</v>
      </c>
      <c r="C4400" t="s">
        <v>39</v>
      </c>
      <c r="D4400" t="s">
        <v>41</v>
      </c>
      <c r="E4400">
        <v>2000721372</v>
      </c>
      <c r="F4400">
        <v>2450</v>
      </c>
      <c r="G4400">
        <v>480</v>
      </c>
      <c r="H4400">
        <v>0</v>
      </c>
      <c r="I4400" t="s">
        <v>1065</v>
      </c>
      <c r="J4400" t="s">
        <v>203</v>
      </c>
      <c r="K4400" t="s">
        <v>640</v>
      </c>
      <c r="O4400">
        <v>0</v>
      </c>
      <c r="U4400" t="s">
        <v>81</v>
      </c>
    </row>
    <row r="4401" spans="1:21" x14ac:dyDescent="0.25">
      <c r="A4401" s="33">
        <v>4421</v>
      </c>
      <c r="B4401" s="24">
        <v>44282</v>
      </c>
      <c r="C4401" t="s">
        <v>39</v>
      </c>
      <c r="D4401" t="s">
        <v>41</v>
      </c>
      <c r="E4401">
        <v>2000720180</v>
      </c>
      <c r="F4401">
        <v>1120</v>
      </c>
      <c r="G4401">
        <v>3</v>
      </c>
      <c r="H4401">
        <v>0</v>
      </c>
      <c r="I4401" t="s">
        <v>1065</v>
      </c>
      <c r="J4401" t="s">
        <v>745</v>
      </c>
      <c r="K4401" t="s">
        <v>879</v>
      </c>
      <c r="O4401">
        <v>0</v>
      </c>
      <c r="U4401" t="s">
        <v>81</v>
      </c>
    </row>
    <row r="4402" spans="1:21" x14ac:dyDescent="0.25">
      <c r="A4402" s="33">
        <v>4422</v>
      </c>
      <c r="B4402" s="24">
        <v>44282</v>
      </c>
      <c r="C4402" t="s">
        <v>39</v>
      </c>
      <c r="D4402" t="s">
        <v>41</v>
      </c>
      <c r="E4402">
        <v>2000721764</v>
      </c>
      <c r="F4402">
        <v>510</v>
      </c>
      <c r="G4402">
        <v>240</v>
      </c>
      <c r="H4402">
        <v>0</v>
      </c>
      <c r="I4402" t="s">
        <v>696</v>
      </c>
      <c r="J4402" t="s">
        <v>170</v>
      </c>
      <c r="K4402" t="s">
        <v>899</v>
      </c>
      <c r="O4402">
        <v>0</v>
      </c>
      <c r="U4402" t="s">
        <v>81</v>
      </c>
    </row>
    <row r="4403" spans="1:21" x14ac:dyDescent="0.25">
      <c r="A4403" s="33">
        <v>4423</v>
      </c>
      <c r="B4403" s="24">
        <v>44282</v>
      </c>
      <c r="C4403" t="s">
        <v>39</v>
      </c>
      <c r="D4403" t="s">
        <v>41</v>
      </c>
      <c r="E4403">
        <v>2000720854</v>
      </c>
      <c r="F4403">
        <v>560</v>
      </c>
      <c r="G4403">
        <v>7</v>
      </c>
      <c r="H4403">
        <v>0</v>
      </c>
      <c r="I4403" t="s">
        <v>696</v>
      </c>
      <c r="J4403" t="s">
        <v>170</v>
      </c>
      <c r="K4403" t="s">
        <v>899</v>
      </c>
      <c r="O4403">
        <v>0</v>
      </c>
      <c r="U4403" t="s">
        <v>81</v>
      </c>
    </row>
    <row r="4404" spans="1:21" x14ac:dyDescent="0.25">
      <c r="A4404" s="33">
        <v>4424</v>
      </c>
      <c r="B4404" s="24">
        <v>44282</v>
      </c>
      <c r="C4404" t="s">
        <v>39</v>
      </c>
      <c r="D4404" t="s">
        <v>41</v>
      </c>
      <c r="E4404">
        <v>2000721545</v>
      </c>
      <c r="F4404">
        <v>760</v>
      </c>
      <c r="G4404">
        <v>40</v>
      </c>
      <c r="H4404">
        <v>0</v>
      </c>
      <c r="I4404" t="s">
        <v>696</v>
      </c>
      <c r="J4404" t="s">
        <v>174</v>
      </c>
      <c r="K4404" t="s">
        <v>186</v>
      </c>
      <c r="O4404">
        <v>0</v>
      </c>
      <c r="U4404" t="s">
        <v>81</v>
      </c>
    </row>
    <row r="4405" spans="1:21" x14ac:dyDescent="0.25">
      <c r="A4405" s="33">
        <v>4425</v>
      </c>
      <c r="B4405" s="24">
        <v>44282</v>
      </c>
      <c r="C4405" t="s">
        <v>39</v>
      </c>
      <c r="D4405" t="s">
        <v>41</v>
      </c>
      <c r="E4405">
        <v>2000721727</v>
      </c>
      <c r="F4405">
        <v>890</v>
      </c>
      <c r="G4405">
        <v>280</v>
      </c>
      <c r="H4405">
        <v>0</v>
      </c>
      <c r="I4405" t="s">
        <v>696</v>
      </c>
      <c r="J4405" t="s">
        <v>174</v>
      </c>
      <c r="K4405" t="s">
        <v>695</v>
      </c>
      <c r="O4405">
        <v>0</v>
      </c>
      <c r="U4405" t="s">
        <v>81</v>
      </c>
    </row>
    <row r="4406" spans="1:21" x14ac:dyDescent="0.25">
      <c r="A4406" s="33">
        <v>4426</v>
      </c>
      <c r="B4406" s="24">
        <v>44282</v>
      </c>
      <c r="C4406" t="s">
        <v>39</v>
      </c>
      <c r="D4406" t="s">
        <v>41</v>
      </c>
      <c r="E4406">
        <v>2000720944</v>
      </c>
      <c r="F4406">
        <v>1000</v>
      </c>
      <c r="G4406">
        <v>438</v>
      </c>
      <c r="H4406">
        <v>0</v>
      </c>
      <c r="I4406" t="s">
        <v>706</v>
      </c>
      <c r="J4406" t="s">
        <v>203</v>
      </c>
      <c r="K4406" t="s">
        <v>768</v>
      </c>
      <c r="O4406">
        <v>0</v>
      </c>
      <c r="U4406" t="s">
        <v>81</v>
      </c>
    </row>
    <row r="4407" spans="1:21" x14ac:dyDescent="0.25">
      <c r="A4407" s="33">
        <v>4427</v>
      </c>
      <c r="B4407" s="24">
        <v>44282</v>
      </c>
      <c r="C4407" t="s">
        <v>39</v>
      </c>
      <c r="D4407" t="s">
        <v>41</v>
      </c>
      <c r="E4407">
        <v>2000720615</v>
      </c>
      <c r="F4407">
        <v>540</v>
      </c>
      <c r="G4407">
        <v>120</v>
      </c>
      <c r="H4407">
        <v>0</v>
      </c>
      <c r="I4407" t="s">
        <v>706</v>
      </c>
      <c r="J4407" t="s">
        <v>203</v>
      </c>
      <c r="K4407" t="s">
        <v>768</v>
      </c>
      <c r="O4407">
        <v>0</v>
      </c>
      <c r="U4407" t="s">
        <v>81</v>
      </c>
    </row>
    <row r="4408" spans="1:21" x14ac:dyDescent="0.25">
      <c r="A4408" s="33">
        <v>4428</v>
      </c>
      <c r="B4408" s="24">
        <v>44282</v>
      </c>
      <c r="C4408" t="s">
        <v>39</v>
      </c>
      <c r="D4408" t="s">
        <v>41</v>
      </c>
      <c r="E4408">
        <v>2000720803</v>
      </c>
      <c r="F4408">
        <v>4432</v>
      </c>
      <c r="G4408">
        <v>40</v>
      </c>
      <c r="H4408">
        <v>0</v>
      </c>
      <c r="I4408" t="s">
        <v>680</v>
      </c>
      <c r="J4408" t="s">
        <v>200</v>
      </c>
      <c r="K4408" t="s">
        <v>653</v>
      </c>
      <c r="O4408">
        <v>0</v>
      </c>
      <c r="U4408" t="s">
        <v>81</v>
      </c>
    </row>
    <row r="4409" spans="1:21" x14ac:dyDescent="0.25">
      <c r="A4409" s="33">
        <v>4429</v>
      </c>
      <c r="B4409" s="24">
        <v>44282</v>
      </c>
      <c r="C4409" t="s">
        <v>39</v>
      </c>
      <c r="D4409" t="s">
        <v>41</v>
      </c>
      <c r="E4409">
        <v>2000721481</v>
      </c>
      <c r="F4409">
        <v>1020</v>
      </c>
      <c r="G4409">
        <v>80</v>
      </c>
      <c r="H4409">
        <v>0</v>
      </c>
      <c r="I4409" t="s">
        <v>680</v>
      </c>
      <c r="J4409" t="s">
        <v>645</v>
      </c>
      <c r="K4409" t="s">
        <v>718</v>
      </c>
      <c r="O4409">
        <v>0</v>
      </c>
      <c r="U4409" t="s">
        <v>81</v>
      </c>
    </row>
    <row r="4410" spans="1:21" x14ac:dyDescent="0.25">
      <c r="A4410" s="33">
        <v>4430</v>
      </c>
      <c r="B4410" s="24">
        <v>44282</v>
      </c>
      <c r="C4410" t="s">
        <v>39</v>
      </c>
      <c r="D4410" t="s">
        <v>41</v>
      </c>
      <c r="E4410">
        <v>2000721466</v>
      </c>
      <c r="F4410">
        <v>1340</v>
      </c>
      <c r="G4410">
        <v>140</v>
      </c>
      <c r="H4410">
        <v>0</v>
      </c>
      <c r="I4410" t="s">
        <v>680</v>
      </c>
      <c r="J4410" t="s">
        <v>175</v>
      </c>
      <c r="K4410" t="s">
        <v>808</v>
      </c>
      <c r="O4410">
        <v>0</v>
      </c>
      <c r="U4410" t="s">
        <v>81</v>
      </c>
    </row>
    <row r="4411" spans="1:21" x14ac:dyDescent="0.25">
      <c r="A4411" s="33">
        <v>4431</v>
      </c>
      <c r="B4411" s="24">
        <v>44282</v>
      </c>
      <c r="C4411" t="s">
        <v>39</v>
      </c>
      <c r="D4411" t="s">
        <v>41</v>
      </c>
      <c r="E4411">
        <v>2000721706</v>
      </c>
      <c r="F4411">
        <v>110</v>
      </c>
      <c r="G4411">
        <v>110</v>
      </c>
      <c r="H4411">
        <v>0</v>
      </c>
      <c r="I4411" t="s">
        <v>680</v>
      </c>
      <c r="J4411" t="s">
        <v>203</v>
      </c>
      <c r="K4411" t="s">
        <v>875</v>
      </c>
      <c r="O4411">
        <v>0</v>
      </c>
      <c r="U4411" t="s">
        <v>81</v>
      </c>
    </row>
    <row r="4412" spans="1:21" x14ac:dyDescent="0.25">
      <c r="A4412" s="33">
        <v>4432</v>
      </c>
      <c r="B4412" s="24">
        <v>44282</v>
      </c>
      <c r="C4412" t="s">
        <v>39</v>
      </c>
      <c r="D4412" t="s">
        <v>41</v>
      </c>
      <c r="E4412">
        <v>2000721509</v>
      </c>
      <c r="F4412">
        <v>1800</v>
      </c>
      <c r="G4412">
        <v>130</v>
      </c>
      <c r="H4412">
        <v>0</v>
      </c>
      <c r="I4412" t="s">
        <v>680</v>
      </c>
      <c r="J4412" t="s">
        <v>172</v>
      </c>
      <c r="K4412" t="s">
        <v>173</v>
      </c>
      <c r="O4412">
        <v>0</v>
      </c>
      <c r="U4412" t="s">
        <v>81</v>
      </c>
    </row>
    <row r="4413" spans="1:21" x14ac:dyDescent="0.25">
      <c r="A4413" s="33">
        <v>4433</v>
      </c>
      <c r="B4413" s="24">
        <v>44282</v>
      </c>
      <c r="C4413" t="s">
        <v>39</v>
      </c>
      <c r="D4413" t="s">
        <v>41</v>
      </c>
      <c r="E4413">
        <v>2000721480</v>
      </c>
      <c r="F4413">
        <v>300</v>
      </c>
      <c r="G4413">
        <v>80</v>
      </c>
      <c r="H4413">
        <v>0</v>
      </c>
      <c r="I4413" t="s">
        <v>680</v>
      </c>
      <c r="J4413" t="s">
        <v>645</v>
      </c>
      <c r="K4413" t="s">
        <v>765</v>
      </c>
      <c r="O4413">
        <v>0</v>
      </c>
      <c r="U4413" t="s">
        <v>81</v>
      </c>
    </row>
    <row r="4414" spans="1:21" x14ac:dyDescent="0.25">
      <c r="A4414" s="33">
        <v>4434</v>
      </c>
      <c r="B4414" s="24">
        <v>44282</v>
      </c>
      <c r="C4414" t="s">
        <v>39</v>
      </c>
      <c r="D4414" t="s">
        <v>41</v>
      </c>
      <c r="E4414">
        <v>2000720944</v>
      </c>
      <c r="F4414">
        <v>1000</v>
      </c>
      <c r="G4414">
        <v>120</v>
      </c>
      <c r="H4414">
        <v>0</v>
      </c>
      <c r="I4414" t="s">
        <v>183</v>
      </c>
      <c r="J4414" t="s">
        <v>203</v>
      </c>
      <c r="K4414" t="s">
        <v>768</v>
      </c>
      <c r="O4414">
        <v>0</v>
      </c>
      <c r="U4414" t="s">
        <v>81</v>
      </c>
    </row>
    <row r="4415" spans="1:21" x14ac:dyDescent="0.25">
      <c r="A4415" s="33">
        <v>4435</v>
      </c>
      <c r="B4415" s="24">
        <v>44282</v>
      </c>
      <c r="C4415" t="s">
        <v>39</v>
      </c>
      <c r="D4415" t="s">
        <v>41</v>
      </c>
      <c r="E4415">
        <v>2000720615</v>
      </c>
      <c r="F4415">
        <v>540</v>
      </c>
      <c r="G4415">
        <v>60</v>
      </c>
      <c r="H4415">
        <v>0</v>
      </c>
      <c r="I4415" t="s">
        <v>183</v>
      </c>
      <c r="J4415" t="s">
        <v>203</v>
      </c>
      <c r="K4415" t="s">
        <v>768</v>
      </c>
      <c r="O4415">
        <v>0</v>
      </c>
      <c r="U4415" t="s">
        <v>81</v>
      </c>
    </row>
    <row r="4416" spans="1:21" x14ac:dyDescent="0.25">
      <c r="A4416" s="33">
        <v>4436</v>
      </c>
      <c r="B4416" s="24">
        <v>44282</v>
      </c>
      <c r="C4416" t="s">
        <v>39</v>
      </c>
      <c r="D4416" t="s">
        <v>41</v>
      </c>
      <c r="E4416">
        <v>2000721545</v>
      </c>
      <c r="F4416">
        <v>760</v>
      </c>
      <c r="G4416">
        <v>280</v>
      </c>
      <c r="H4416">
        <v>0</v>
      </c>
      <c r="I4416" t="s">
        <v>183</v>
      </c>
      <c r="J4416" t="s">
        <v>174</v>
      </c>
      <c r="K4416" t="s">
        <v>186</v>
      </c>
      <c r="O4416">
        <v>0</v>
      </c>
      <c r="U4416" t="s">
        <v>81</v>
      </c>
    </row>
    <row r="4417" spans="1:21" x14ac:dyDescent="0.25">
      <c r="A4417" s="33">
        <v>4437</v>
      </c>
      <c r="B4417" s="24">
        <v>44282</v>
      </c>
      <c r="C4417" t="s">
        <v>39</v>
      </c>
      <c r="D4417" t="s">
        <v>41</v>
      </c>
      <c r="E4417">
        <v>2000721727</v>
      </c>
      <c r="F4417">
        <v>890</v>
      </c>
      <c r="G4417">
        <v>120</v>
      </c>
      <c r="H4417">
        <v>0</v>
      </c>
      <c r="I4417" t="s">
        <v>183</v>
      </c>
      <c r="J4417" t="s">
        <v>174</v>
      </c>
      <c r="K4417" t="s">
        <v>695</v>
      </c>
      <c r="O4417">
        <v>0</v>
      </c>
      <c r="U4417" t="s">
        <v>81</v>
      </c>
    </row>
    <row r="4418" spans="1:21" x14ac:dyDescent="0.25">
      <c r="A4418" s="33">
        <v>4438</v>
      </c>
      <c r="B4418" s="24">
        <v>44282</v>
      </c>
      <c r="C4418" t="s">
        <v>39</v>
      </c>
      <c r="D4418" t="s">
        <v>41</v>
      </c>
      <c r="E4418">
        <v>2000721611</v>
      </c>
      <c r="F4418">
        <v>40</v>
      </c>
      <c r="G4418">
        <v>40</v>
      </c>
      <c r="H4418">
        <v>0</v>
      </c>
      <c r="I4418" t="s">
        <v>183</v>
      </c>
      <c r="J4418" t="s">
        <v>174</v>
      </c>
      <c r="K4418" t="s">
        <v>870</v>
      </c>
      <c r="O4418">
        <v>0</v>
      </c>
      <c r="U4418" t="s">
        <v>81</v>
      </c>
    </row>
    <row r="4419" spans="1:21" x14ac:dyDescent="0.25">
      <c r="A4419" s="33">
        <v>4439</v>
      </c>
      <c r="B4419" s="24">
        <v>44282</v>
      </c>
      <c r="C4419" t="s">
        <v>39</v>
      </c>
      <c r="D4419" t="s">
        <v>41</v>
      </c>
      <c r="E4419">
        <v>2000721544</v>
      </c>
      <c r="F4419">
        <v>760</v>
      </c>
      <c r="G4419">
        <v>80</v>
      </c>
      <c r="H4419">
        <v>0</v>
      </c>
      <c r="I4419" t="s">
        <v>183</v>
      </c>
      <c r="J4419" t="s">
        <v>174</v>
      </c>
      <c r="K4419" t="s">
        <v>735</v>
      </c>
      <c r="O4419">
        <v>0</v>
      </c>
      <c r="U4419" t="s">
        <v>81</v>
      </c>
    </row>
    <row r="4420" spans="1:21" x14ac:dyDescent="0.25">
      <c r="A4420" s="33">
        <v>4440</v>
      </c>
      <c r="B4420" s="24">
        <v>44282</v>
      </c>
      <c r="C4420" t="s">
        <v>39</v>
      </c>
      <c r="D4420" t="s">
        <v>41</v>
      </c>
      <c r="E4420">
        <v>2000721727</v>
      </c>
      <c r="F4420">
        <v>890</v>
      </c>
      <c r="G4420">
        <v>20</v>
      </c>
      <c r="H4420">
        <v>0</v>
      </c>
      <c r="I4420" t="s">
        <v>693</v>
      </c>
      <c r="J4420" t="s">
        <v>174</v>
      </c>
      <c r="K4420" t="s">
        <v>695</v>
      </c>
      <c r="O4420">
        <v>0</v>
      </c>
      <c r="U4420" t="s">
        <v>81</v>
      </c>
    </row>
    <row r="4421" spans="1:21" x14ac:dyDescent="0.25">
      <c r="A4421" s="33">
        <v>4441</v>
      </c>
      <c r="B4421" s="24">
        <v>44282</v>
      </c>
      <c r="C4421" t="s">
        <v>39</v>
      </c>
      <c r="D4421" t="s">
        <v>41</v>
      </c>
      <c r="E4421">
        <v>2000721237</v>
      </c>
      <c r="F4421">
        <v>1900</v>
      </c>
      <c r="G4421">
        <v>120</v>
      </c>
      <c r="H4421">
        <v>0</v>
      </c>
      <c r="I4421" t="s">
        <v>185</v>
      </c>
      <c r="J4421" t="s">
        <v>169</v>
      </c>
      <c r="K4421" t="s">
        <v>637</v>
      </c>
      <c r="O4421">
        <v>0</v>
      </c>
      <c r="U4421" t="s">
        <v>81</v>
      </c>
    </row>
    <row r="4422" spans="1:21" x14ac:dyDescent="0.25">
      <c r="A4422" s="33">
        <v>4442</v>
      </c>
      <c r="B4422" s="24">
        <v>44282</v>
      </c>
      <c r="C4422" t="s">
        <v>39</v>
      </c>
      <c r="D4422" t="s">
        <v>41</v>
      </c>
      <c r="E4422">
        <v>2000721545</v>
      </c>
      <c r="F4422">
        <v>760</v>
      </c>
      <c r="G4422">
        <v>120</v>
      </c>
      <c r="H4422">
        <v>0</v>
      </c>
      <c r="I4422" t="s">
        <v>185</v>
      </c>
      <c r="J4422" t="s">
        <v>174</v>
      </c>
      <c r="K4422" t="s">
        <v>186</v>
      </c>
      <c r="O4422">
        <v>0</v>
      </c>
      <c r="U4422" t="s">
        <v>81</v>
      </c>
    </row>
    <row r="4423" spans="1:21" x14ac:dyDescent="0.25">
      <c r="A4423" s="33">
        <v>4443</v>
      </c>
      <c r="B4423" s="24">
        <v>44282</v>
      </c>
      <c r="C4423" t="s">
        <v>39</v>
      </c>
      <c r="D4423" t="s">
        <v>41</v>
      </c>
      <c r="E4423">
        <v>2000721727</v>
      </c>
      <c r="F4423">
        <v>890</v>
      </c>
      <c r="G4423">
        <v>209</v>
      </c>
      <c r="H4423">
        <v>0</v>
      </c>
      <c r="I4423" t="s">
        <v>185</v>
      </c>
      <c r="J4423" t="s">
        <v>174</v>
      </c>
      <c r="K4423" t="s">
        <v>695</v>
      </c>
      <c r="O4423">
        <v>0</v>
      </c>
      <c r="U4423" t="s">
        <v>81</v>
      </c>
    </row>
    <row r="4424" spans="1:21" x14ac:dyDescent="0.25">
      <c r="A4424" s="33">
        <v>4444</v>
      </c>
      <c r="B4424" s="24">
        <v>44282</v>
      </c>
      <c r="C4424" t="s">
        <v>181</v>
      </c>
      <c r="D4424" t="s">
        <v>41</v>
      </c>
      <c r="E4424">
        <v>2000721373</v>
      </c>
      <c r="F4424">
        <v>4220</v>
      </c>
      <c r="G4424">
        <v>300</v>
      </c>
      <c r="H4424">
        <v>0</v>
      </c>
      <c r="I4424" t="s">
        <v>201</v>
      </c>
      <c r="J4424" t="s">
        <v>199</v>
      </c>
      <c r="K4424" t="s">
        <v>660</v>
      </c>
      <c r="O4424">
        <v>0</v>
      </c>
      <c r="U4424" t="s">
        <v>81</v>
      </c>
    </row>
    <row r="4425" spans="1:21" x14ac:dyDescent="0.25">
      <c r="A4425" s="33">
        <v>4445</v>
      </c>
      <c r="B4425" s="24">
        <v>44282</v>
      </c>
      <c r="C4425" t="s">
        <v>181</v>
      </c>
      <c r="D4425" t="s">
        <v>41</v>
      </c>
      <c r="E4425">
        <v>2000721514</v>
      </c>
      <c r="F4425">
        <v>944</v>
      </c>
      <c r="G4425">
        <v>200</v>
      </c>
      <c r="H4425">
        <v>0</v>
      </c>
      <c r="I4425" t="s">
        <v>201</v>
      </c>
      <c r="J4425" t="s">
        <v>645</v>
      </c>
      <c r="K4425" t="s">
        <v>1089</v>
      </c>
      <c r="O4425">
        <v>0</v>
      </c>
      <c r="U4425" t="s">
        <v>81</v>
      </c>
    </row>
    <row r="4426" spans="1:21" x14ac:dyDescent="0.25">
      <c r="A4426" s="33">
        <v>4446</v>
      </c>
      <c r="B4426" s="24">
        <v>44282</v>
      </c>
      <c r="C4426" t="s">
        <v>181</v>
      </c>
      <c r="D4426" t="s">
        <v>41</v>
      </c>
      <c r="E4426">
        <v>2000721706</v>
      </c>
      <c r="F4426">
        <v>110</v>
      </c>
      <c r="G4426">
        <v>110</v>
      </c>
      <c r="H4426">
        <v>0</v>
      </c>
      <c r="I4426" t="s">
        <v>201</v>
      </c>
      <c r="J4426" t="s">
        <v>203</v>
      </c>
      <c r="K4426" t="s">
        <v>875</v>
      </c>
      <c r="O4426">
        <v>0</v>
      </c>
      <c r="U4426" t="s">
        <v>81</v>
      </c>
    </row>
    <row r="4427" spans="1:21" x14ac:dyDescent="0.25">
      <c r="A4427" s="33">
        <v>4447</v>
      </c>
      <c r="B4427" s="24">
        <v>44282</v>
      </c>
      <c r="C4427" t="s">
        <v>181</v>
      </c>
      <c r="D4427" t="s">
        <v>41</v>
      </c>
      <c r="E4427">
        <v>2000721512</v>
      </c>
      <c r="F4427">
        <v>2200</v>
      </c>
      <c r="G4427">
        <v>300</v>
      </c>
      <c r="H4427">
        <v>0</v>
      </c>
      <c r="I4427" t="s">
        <v>201</v>
      </c>
      <c r="J4427" t="s">
        <v>172</v>
      </c>
      <c r="K4427" t="s">
        <v>725</v>
      </c>
      <c r="O4427">
        <v>0</v>
      </c>
      <c r="U4427" t="s">
        <v>81</v>
      </c>
    </row>
    <row r="4428" spans="1:21" x14ac:dyDescent="0.25">
      <c r="A4428" s="33">
        <v>4448</v>
      </c>
      <c r="B4428" s="24">
        <v>44282</v>
      </c>
      <c r="C4428" t="s">
        <v>181</v>
      </c>
      <c r="D4428" t="s">
        <v>41</v>
      </c>
      <c r="E4428">
        <v>2000721372</v>
      </c>
      <c r="F4428">
        <v>2450</v>
      </c>
      <c r="G4428">
        <v>240</v>
      </c>
      <c r="H4428">
        <v>0</v>
      </c>
      <c r="I4428" t="s">
        <v>201</v>
      </c>
      <c r="J4428" t="s">
        <v>203</v>
      </c>
      <c r="K4428" t="s">
        <v>640</v>
      </c>
      <c r="O4428">
        <v>0</v>
      </c>
      <c r="U4428" t="s">
        <v>81</v>
      </c>
    </row>
    <row r="4429" spans="1:21" x14ac:dyDescent="0.25">
      <c r="A4429" s="33">
        <v>4449</v>
      </c>
      <c r="B4429" s="24">
        <v>44282</v>
      </c>
      <c r="C4429" t="s">
        <v>181</v>
      </c>
      <c r="D4429" t="s">
        <v>41</v>
      </c>
      <c r="E4429">
        <v>2000721517</v>
      </c>
      <c r="F4429">
        <v>896</v>
      </c>
      <c r="G4429">
        <v>200</v>
      </c>
      <c r="H4429">
        <v>0</v>
      </c>
      <c r="I4429" t="s">
        <v>201</v>
      </c>
      <c r="J4429" t="s">
        <v>202</v>
      </c>
      <c r="K4429" t="s">
        <v>858</v>
      </c>
      <c r="O4429">
        <v>0</v>
      </c>
      <c r="U4429" t="s">
        <v>81</v>
      </c>
    </row>
    <row r="4430" spans="1:21" x14ac:dyDescent="0.25">
      <c r="A4430" s="33">
        <v>4450</v>
      </c>
      <c r="B4430" s="24">
        <v>44282</v>
      </c>
      <c r="C4430" t="s">
        <v>181</v>
      </c>
      <c r="D4430" t="s">
        <v>41</v>
      </c>
      <c r="E4430">
        <v>2000721374</v>
      </c>
      <c r="F4430">
        <v>560</v>
      </c>
      <c r="G4430">
        <v>120</v>
      </c>
      <c r="H4430">
        <v>0</v>
      </c>
      <c r="I4430" t="s">
        <v>201</v>
      </c>
      <c r="J4430" t="s">
        <v>645</v>
      </c>
      <c r="K4430" t="s">
        <v>831</v>
      </c>
      <c r="O4430">
        <v>0</v>
      </c>
      <c r="U4430" t="s">
        <v>81</v>
      </c>
    </row>
    <row r="4431" spans="1:21" x14ac:dyDescent="0.25">
      <c r="A4431" s="33">
        <v>4451</v>
      </c>
      <c r="B4431" s="24">
        <v>44282</v>
      </c>
      <c r="C4431" t="s">
        <v>181</v>
      </c>
      <c r="D4431" t="s">
        <v>41</v>
      </c>
      <c r="E4431">
        <v>2000721739</v>
      </c>
      <c r="F4431">
        <v>130</v>
      </c>
      <c r="G4431">
        <v>50</v>
      </c>
      <c r="H4431">
        <v>0</v>
      </c>
      <c r="I4431" t="s">
        <v>201</v>
      </c>
      <c r="J4431" t="s">
        <v>202</v>
      </c>
      <c r="K4431" t="s">
        <v>831</v>
      </c>
      <c r="O4431">
        <v>0</v>
      </c>
      <c r="U4431" t="s">
        <v>81</v>
      </c>
    </row>
    <row r="4432" spans="1:21" x14ac:dyDescent="0.25">
      <c r="A4432" s="33">
        <v>4452</v>
      </c>
      <c r="B4432" s="24">
        <v>44282</v>
      </c>
      <c r="C4432" t="s">
        <v>181</v>
      </c>
      <c r="D4432" t="s">
        <v>41</v>
      </c>
      <c r="E4432">
        <v>2000721515</v>
      </c>
      <c r="F4432">
        <v>3600</v>
      </c>
      <c r="G4432">
        <v>240</v>
      </c>
      <c r="H4432">
        <v>0</v>
      </c>
      <c r="I4432" t="s">
        <v>201</v>
      </c>
      <c r="J4432" t="s">
        <v>169</v>
      </c>
      <c r="K4432" t="s">
        <v>652</v>
      </c>
      <c r="O4432">
        <v>0</v>
      </c>
      <c r="U4432" t="s">
        <v>81</v>
      </c>
    </row>
    <row r="4433" spans="1:21" x14ac:dyDescent="0.25">
      <c r="A4433" s="33">
        <v>4453</v>
      </c>
      <c r="B4433" s="24">
        <v>44282</v>
      </c>
      <c r="C4433" t="s">
        <v>181</v>
      </c>
      <c r="D4433" t="s">
        <v>41</v>
      </c>
      <c r="E4433">
        <v>2000721738</v>
      </c>
      <c r="F4433">
        <v>130</v>
      </c>
      <c r="G4433">
        <v>50</v>
      </c>
      <c r="H4433">
        <v>0</v>
      </c>
      <c r="I4433" t="s">
        <v>201</v>
      </c>
      <c r="J4433" t="s">
        <v>202</v>
      </c>
      <c r="K4433" t="s">
        <v>830</v>
      </c>
      <c r="O4433">
        <v>0</v>
      </c>
      <c r="U4433" t="s">
        <v>81</v>
      </c>
    </row>
    <row r="4434" spans="1:21" x14ac:dyDescent="0.25">
      <c r="A4434" s="33">
        <v>4454</v>
      </c>
      <c r="B4434" s="24">
        <v>44282</v>
      </c>
      <c r="C4434" t="s">
        <v>181</v>
      </c>
      <c r="D4434" t="s">
        <v>41</v>
      </c>
      <c r="E4434">
        <v>2000720684</v>
      </c>
      <c r="F4434">
        <v>1500</v>
      </c>
      <c r="G4434">
        <v>150</v>
      </c>
      <c r="H4434">
        <v>0</v>
      </c>
      <c r="I4434" t="s">
        <v>201</v>
      </c>
      <c r="J4434" t="s">
        <v>645</v>
      </c>
      <c r="K4434" t="s">
        <v>739</v>
      </c>
      <c r="O4434">
        <v>0</v>
      </c>
      <c r="U4434" t="s">
        <v>81</v>
      </c>
    </row>
    <row r="4435" spans="1:21" x14ac:dyDescent="0.25">
      <c r="A4435" s="33">
        <v>4455</v>
      </c>
      <c r="B4435" s="24">
        <v>44282</v>
      </c>
      <c r="C4435" t="s">
        <v>181</v>
      </c>
      <c r="D4435" t="s">
        <v>41</v>
      </c>
      <c r="E4435">
        <v>2000720685</v>
      </c>
      <c r="F4435">
        <v>1500</v>
      </c>
      <c r="G4435">
        <v>150</v>
      </c>
      <c r="H4435">
        <v>0</v>
      </c>
      <c r="I4435" t="s">
        <v>201</v>
      </c>
      <c r="J4435" t="s">
        <v>645</v>
      </c>
      <c r="K4435" t="s">
        <v>658</v>
      </c>
      <c r="O4435">
        <v>0</v>
      </c>
      <c r="U4435" t="s">
        <v>81</v>
      </c>
    </row>
    <row r="4436" spans="1:21" x14ac:dyDescent="0.25">
      <c r="A4436" s="33">
        <v>4456</v>
      </c>
      <c r="B4436" s="24">
        <v>44282</v>
      </c>
      <c r="C4436" t="s">
        <v>181</v>
      </c>
      <c r="D4436" t="s">
        <v>41</v>
      </c>
      <c r="E4436">
        <v>2000720944</v>
      </c>
      <c r="F4436">
        <v>1000</v>
      </c>
      <c r="G4436">
        <v>30</v>
      </c>
      <c r="H4436">
        <v>0</v>
      </c>
      <c r="I4436" t="s">
        <v>191</v>
      </c>
      <c r="J4436" t="s">
        <v>203</v>
      </c>
      <c r="K4436" t="s">
        <v>768</v>
      </c>
      <c r="O4436">
        <v>0</v>
      </c>
      <c r="U4436" t="s">
        <v>81</v>
      </c>
    </row>
    <row r="4437" spans="1:21" x14ac:dyDescent="0.25">
      <c r="A4437" s="33">
        <v>4457</v>
      </c>
      <c r="B4437" s="24">
        <v>44282</v>
      </c>
      <c r="C4437" t="s">
        <v>181</v>
      </c>
      <c r="D4437" t="s">
        <v>41</v>
      </c>
      <c r="E4437">
        <v>2000721302</v>
      </c>
      <c r="F4437">
        <v>800</v>
      </c>
      <c r="G4437">
        <v>60</v>
      </c>
      <c r="H4437">
        <v>0</v>
      </c>
      <c r="I4437" t="s">
        <v>191</v>
      </c>
      <c r="J4437" t="s">
        <v>203</v>
      </c>
      <c r="K4437" t="s">
        <v>785</v>
      </c>
      <c r="O4437">
        <v>0</v>
      </c>
      <c r="U4437" t="s">
        <v>81</v>
      </c>
    </row>
    <row r="4438" spans="1:21" x14ac:dyDescent="0.25">
      <c r="A4438" s="33">
        <v>4458</v>
      </c>
      <c r="B4438" s="24">
        <v>44282</v>
      </c>
      <c r="C4438" t="s">
        <v>181</v>
      </c>
      <c r="D4438" t="s">
        <v>41</v>
      </c>
      <c r="E4438">
        <v>2000721733</v>
      </c>
      <c r="F4438">
        <v>440</v>
      </c>
      <c r="G4438">
        <v>160</v>
      </c>
      <c r="H4438">
        <v>0</v>
      </c>
      <c r="I4438" t="s">
        <v>191</v>
      </c>
      <c r="J4438" t="s">
        <v>174</v>
      </c>
      <c r="K4438" t="s">
        <v>735</v>
      </c>
      <c r="O4438">
        <v>0</v>
      </c>
      <c r="U4438" t="s">
        <v>81</v>
      </c>
    </row>
    <row r="4439" spans="1:21" x14ac:dyDescent="0.25">
      <c r="A4439" s="33">
        <v>4459</v>
      </c>
      <c r="B4439" s="24">
        <v>44282</v>
      </c>
      <c r="C4439" t="s">
        <v>181</v>
      </c>
      <c r="D4439" t="s">
        <v>41</v>
      </c>
      <c r="E4439">
        <v>2000721733</v>
      </c>
      <c r="F4439">
        <v>440</v>
      </c>
      <c r="G4439">
        <v>289</v>
      </c>
      <c r="H4439">
        <v>0</v>
      </c>
      <c r="I4439" t="s">
        <v>191</v>
      </c>
      <c r="J4439" t="s">
        <v>174</v>
      </c>
      <c r="K4439" t="s">
        <v>735</v>
      </c>
      <c r="O4439">
        <v>0</v>
      </c>
      <c r="U4439" t="s">
        <v>81</v>
      </c>
    </row>
    <row r="4440" spans="1:21" x14ac:dyDescent="0.25">
      <c r="A4440" s="33">
        <v>4460</v>
      </c>
      <c r="B4440" s="24">
        <v>44282</v>
      </c>
      <c r="C4440" t="s">
        <v>181</v>
      </c>
      <c r="D4440" t="s">
        <v>41</v>
      </c>
      <c r="E4440">
        <v>2000720812</v>
      </c>
      <c r="F4440">
        <v>3999</v>
      </c>
      <c r="G4440">
        <v>120</v>
      </c>
      <c r="H4440">
        <v>1</v>
      </c>
      <c r="I4440" t="s">
        <v>661</v>
      </c>
      <c r="J4440" t="s">
        <v>687</v>
      </c>
      <c r="K4440" t="s">
        <v>688</v>
      </c>
      <c r="L4440" t="s">
        <v>88</v>
      </c>
      <c r="N4440" t="s">
        <v>1147</v>
      </c>
      <c r="O4440">
        <v>1</v>
      </c>
      <c r="P4440" t="s">
        <v>1148</v>
      </c>
      <c r="Q4440" t="s">
        <v>1149</v>
      </c>
      <c r="S4440" s="36">
        <v>0.89236111111111116</v>
      </c>
      <c r="U4440" t="s">
        <v>81</v>
      </c>
    </row>
    <row r="4441" spans="1:21" x14ac:dyDescent="0.25">
      <c r="A4441" s="33">
        <v>4461</v>
      </c>
      <c r="B4441" s="24">
        <v>44282</v>
      </c>
      <c r="C4441" t="s">
        <v>181</v>
      </c>
      <c r="D4441" t="s">
        <v>41</v>
      </c>
      <c r="E4441">
        <v>2000721452</v>
      </c>
      <c r="F4441">
        <v>1260</v>
      </c>
      <c r="G4441">
        <v>67</v>
      </c>
      <c r="H4441">
        <v>0</v>
      </c>
      <c r="I4441" t="s">
        <v>661</v>
      </c>
      <c r="J4441" t="s">
        <v>169</v>
      </c>
      <c r="K4441" t="s">
        <v>190</v>
      </c>
      <c r="O4441">
        <v>0</v>
      </c>
      <c r="U4441" t="s">
        <v>81</v>
      </c>
    </row>
    <row r="4442" spans="1:21" x14ac:dyDescent="0.25">
      <c r="A4442" s="33">
        <v>4462</v>
      </c>
      <c r="B4442" s="24">
        <v>44282</v>
      </c>
      <c r="C4442" t="s">
        <v>181</v>
      </c>
      <c r="D4442" t="s">
        <v>41</v>
      </c>
      <c r="E4442">
        <v>2000721325</v>
      </c>
      <c r="F4442">
        <v>350</v>
      </c>
      <c r="G4442">
        <v>115</v>
      </c>
      <c r="H4442">
        <v>0</v>
      </c>
      <c r="I4442" t="s">
        <v>168</v>
      </c>
      <c r="J4442" t="s">
        <v>745</v>
      </c>
      <c r="K4442" t="s">
        <v>836</v>
      </c>
      <c r="O4442">
        <v>0</v>
      </c>
      <c r="U4442" t="s">
        <v>81</v>
      </c>
    </row>
    <row r="4443" spans="1:21" x14ac:dyDescent="0.25">
      <c r="A4443" s="33">
        <v>4463</v>
      </c>
      <c r="B4443" s="24">
        <v>44282</v>
      </c>
      <c r="C4443" t="s">
        <v>181</v>
      </c>
      <c r="D4443" t="s">
        <v>41</v>
      </c>
      <c r="E4443">
        <v>2000721302</v>
      </c>
      <c r="F4443">
        <v>800</v>
      </c>
      <c r="G4443">
        <v>90</v>
      </c>
      <c r="H4443">
        <v>0</v>
      </c>
      <c r="I4443" t="s">
        <v>168</v>
      </c>
      <c r="J4443" t="s">
        <v>203</v>
      </c>
      <c r="K4443" t="s">
        <v>785</v>
      </c>
      <c r="O4443">
        <v>0</v>
      </c>
      <c r="U4443" t="s">
        <v>81</v>
      </c>
    </row>
    <row r="4444" spans="1:21" x14ac:dyDescent="0.25">
      <c r="A4444" s="33">
        <v>4464</v>
      </c>
      <c r="B4444" s="24">
        <v>44282</v>
      </c>
      <c r="C4444" t="s">
        <v>181</v>
      </c>
      <c r="D4444" t="s">
        <v>41</v>
      </c>
      <c r="E4444">
        <v>2000721404</v>
      </c>
      <c r="F4444">
        <v>510</v>
      </c>
      <c r="G4444">
        <v>120</v>
      </c>
      <c r="H4444">
        <v>0</v>
      </c>
      <c r="I4444" t="s">
        <v>168</v>
      </c>
      <c r="J4444" t="s">
        <v>203</v>
      </c>
      <c r="K4444" t="s">
        <v>638</v>
      </c>
      <c r="O4444">
        <v>0</v>
      </c>
      <c r="U4444" t="s">
        <v>81</v>
      </c>
    </row>
    <row r="4445" spans="1:21" ht="30" x14ac:dyDescent="0.25">
      <c r="A4445" s="33">
        <v>4465</v>
      </c>
      <c r="B4445" s="24">
        <v>44282</v>
      </c>
      <c r="C4445" t="s">
        <v>181</v>
      </c>
      <c r="D4445" t="s">
        <v>41</v>
      </c>
      <c r="E4445">
        <v>2000721405</v>
      </c>
      <c r="F4445">
        <v>500</v>
      </c>
      <c r="G4445">
        <v>60</v>
      </c>
      <c r="H4445">
        <v>0</v>
      </c>
      <c r="I4445" t="s">
        <v>168</v>
      </c>
      <c r="J4445" t="s">
        <v>203</v>
      </c>
      <c r="K4445" t="s">
        <v>639</v>
      </c>
      <c r="O4445">
        <v>0</v>
      </c>
      <c r="T4445" s="62" t="s">
        <v>723</v>
      </c>
      <c r="U4445" t="s">
        <v>81</v>
      </c>
    </row>
    <row r="4446" spans="1:21" x14ac:dyDescent="0.25">
      <c r="A4446" s="33">
        <v>4466</v>
      </c>
      <c r="B4446" s="24">
        <v>44282</v>
      </c>
      <c r="C4446" t="s">
        <v>181</v>
      </c>
      <c r="D4446" t="s">
        <v>41</v>
      </c>
      <c r="E4446">
        <v>2000721545</v>
      </c>
      <c r="F4446">
        <v>760</v>
      </c>
      <c r="G4446">
        <v>200</v>
      </c>
      <c r="H4446">
        <v>0</v>
      </c>
      <c r="I4446" t="s">
        <v>178</v>
      </c>
      <c r="J4446" t="s">
        <v>174</v>
      </c>
      <c r="K4446" t="s">
        <v>186</v>
      </c>
      <c r="O4446">
        <v>0</v>
      </c>
      <c r="U4446" t="s">
        <v>81</v>
      </c>
    </row>
    <row r="4447" spans="1:21" x14ac:dyDescent="0.25">
      <c r="A4447" s="33">
        <v>4467</v>
      </c>
      <c r="B4447" s="24">
        <v>44282</v>
      </c>
      <c r="C4447" t="s">
        <v>181</v>
      </c>
      <c r="D4447" t="s">
        <v>41</v>
      </c>
      <c r="E4447">
        <v>2000721344</v>
      </c>
      <c r="F4447">
        <v>1200</v>
      </c>
      <c r="G4447">
        <v>80</v>
      </c>
      <c r="H4447">
        <v>0</v>
      </c>
      <c r="I4447" t="s">
        <v>178</v>
      </c>
      <c r="J4447" t="s">
        <v>645</v>
      </c>
      <c r="K4447" t="s">
        <v>721</v>
      </c>
      <c r="O4447">
        <v>0</v>
      </c>
      <c r="U4447" t="s">
        <v>81</v>
      </c>
    </row>
    <row r="4448" spans="1:21" x14ac:dyDescent="0.25">
      <c r="A4448" s="33">
        <v>4468</v>
      </c>
      <c r="B4448" s="24">
        <v>44282</v>
      </c>
      <c r="C4448" t="s">
        <v>181</v>
      </c>
      <c r="D4448" t="s">
        <v>41</v>
      </c>
      <c r="E4448">
        <v>2000721742</v>
      </c>
      <c r="F4448">
        <v>300</v>
      </c>
      <c r="G4448">
        <v>225</v>
      </c>
      <c r="H4448">
        <v>0</v>
      </c>
      <c r="I4448" t="s">
        <v>178</v>
      </c>
      <c r="J4448" t="s">
        <v>170</v>
      </c>
      <c r="K4448" t="s">
        <v>206</v>
      </c>
      <c r="O4448">
        <v>0</v>
      </c>
      <c r="U4448" t="s">
        <v>81</v>
      </c>
    </row>
    <row r="4449" spans="1:21" x14ac:dyDescent="0.25">
      <c r="A4449" s="33">
        <v>4469</v>
      </c>
      <c r="B4449" s="24">
        <v>44282</v>
      </c>
      <c r="C4449" t="s">
        <v>181</v>
      </c>
      <c r="D4449" t="s">
        <v>41</v>
      </c>
      <c r="E4449">
        <v>2000720803</v>
      </c>
      <c r="F4449">
        <v>4432</v>
      </c>
      <c r="G4449">
        <v>160</v>
      </c>
      <c r="H4449">
        <v>0</v>
      </c>
      <c r="I4449" t="s">
        <v>666</v>
      </c>
      <c r="J4449" t="s">
        <v>200</v>
      </c>
      <c r="K4449" t="s">
        <v>653</v>
      </c>
      <c r="O4449">
        <v>0</v>
      </c>
      <c r="U4449" t="s">
        <v>81</v>
      </c>
    </row>
    <row r="4450" spans="1:21" x14ac:dyDescent="0.25">
      <c r="A4450" s="33">
        <v>4470</v>
      </c>
      <c r="B4450" s="24">
        <v>44282</v>
      </c>
      <c r="C4450" t="s">
        <v>181</v>
      </c>
      <c r="D4450" t="s">
        <v>41</v>
      </c>
      <c r="E4450">
        <v>2000721479</v>
      </c>
      <c r="F4450">
        <v>1260</v>
      </c>
      <c r="G4450">
        <v>200</v>
      </c>
      <c r="H4450">
        <v>0</v>
      </c>
      <c r="I4450" t="s">
        <v>666</v>
      </c>
      <c r="J4450" t="s">
        <v>645</v>
      </c>
      <c r="K4450" t="s">
        <v>646</v>
      </c>
      <c r="O4450">
        <v>0</v>
      </c>
      <c r="U4450" t="s">
        <v>81</v>
      </c>
    </row>
    <row r="4451" spans="1:21" x14ac:dyDescent="0.25">
      <c r="A4451" s="33">
        <v>4471</v>
      </c>
      <c r="B4451" s="24">
        <v>44282</v>
      </c>
      <c r="C4451" t="s">
        <v>181</v>
      </c>
      <c r="D4451" t="s">
        <v>41</v>
      </c>
      <c r="E4451">
        <v>2000721375</v>
      </c>
      <c r="F4451">
        <v>3960</v>
      </c>
      <c r="G4451">
        <v>200</v>
      </c>
      <c r="H4451">
        <v>0</v>
      </c>
      <c r="I4451" t="s">
        <v>666</v>
      </c>
      <c r="J4451" t="s">
        <v>645</v>
      </c>
      <c r="K4451" t="s">
        <v>659</v>
      </c>
      <c r="O4451">
        <v>0</v>
      </c>
      <c r="U4451" t="s">
        <v>81</v>
      </c>
    </row>
    <row r="4452" spans="1:21" x14ac:dyDescent="0.25">
      <c r="A4452" s="33">
        <v>4472</v>
      </c>
      <c r="B4452" s="24">
        <v>44282</v>
      </c>
      <c r="C4452" t="s">
        <v>181</v>
      </c>
      <c r="D4452" t="s">
        <v>51</v>
      </c>
      <c r="E4452">
        <v>2000772107</v>
      </c>
      <c r="F4452">
        <v>350</v>
      </c>
      <c r="G4452">
        <v>80</v>
      </c>
      <c r="H4452">
        <v>0</v>
      </c>
      <c r="I4452" t="s">
        <v>191</v>
      </c>
      <c r="J4452" t="s">
        <v>673</v>
      </c>
      <c r="K4452" t="s">
        <v>760</v>
      </c>
      <c r="O4452">
        <v>0</v>
      </c>
      <c r="U4452" t="s">
        <v>81</v>
      </c>
    </row>
    <row r="4453" spans="1:21" x14ac:dyDescent="0.25">
      <c r="A4453" s="33">
        <v>4473</v>
      </c>
      <c r="B4453" s="24">
        <v>44282</v>
      </c>
      <c r="C4453" t="s">
        <v>181</v>
      </c>
      <c r="D4453" t="s">
        <v>51</v>
      </c>
      <c r="E4453">
        <v>2000721461</v>
      </c>
      <c r="F4453">
        <v>400</v>
      </c>
      <c r="G4453">
        <v>105</v>
      </c>
      <c r="H4453">
        <v>0</v>
      </c>
      <c r="I4453" t="s">
        <v>191</v>
      </c>
      <c r="J4453" t="s">
        <v>667</v>
      </c>
      <c r="K4453" t="s">
        <v>671</v>
      </c>
      <c r="O4453">
        <v>0</v>
      </c>
      <c r="U4453" t="s">
        <v>81</v>
      </c>
    </row>
    <row r="4454" spans="1:21" x14ac:dyDescent="0.25">
      <c r="A4454" s="33">
        <v>4474</v>
      </c>
      <c r="B4454" s="24">
        <v>44282</v>
      </c>
      <c r="C4454" t="s">
        <v>181</v>
      </c>
      <c r="D4454" t="s">
        <v>51</v>
      </c>
      <c r="E4454">
        <v>2000721462</v>
      </c>
      <c r="F4454">
        <v>400</v>
      </c>
      <c r="G4454">
        <v>105</v>
      </c>
      <c r="H4454">
        <v>0</v>
      </c>
      <c r="I4454" t="s">
        <v>191</v>
      </c>
      <c r="J4454" t="s">
        <v>667</v>
      </c>
      <c r="K4454" t="s">
        <v>671</v>
      </c>
      <c r="O4454">
        <v>0</v>
      </c>
      <c r="U4454" t="s">
        <v>81</v>
      </c>
    </row>
    <row r="4455" spans="1:21" x14ac:dyDescent="0.25">
      <c r="A4455" s="33">
        <v>4475</v>
      </c>
      <c r="B4455" s="24">
        <v>44282</v>
      </c>
      <c r="C4455" t="s">
        <v>181</v>
      </c>
      <c r="D4455" t="s">
        <v>51</v>
      </c>
      <c r="E4455">
        <v>2000721463</v>
      </c>
      <c r="F4455">
        <v>400</v>
      </c>
      <c r="G4455">
        <v>105</v>
      </c>
      <c r="H4455">
        <v>0</v>
      </c>
      <c r="I4455" t="s">
        <v>191</v>
      </c>
      <c r="J4455" t="s">
        <v>667</v>
      </c>
      <c r="K4455" t="s">
        <v>671</v>
      </c>
      <c r="O4455">
        <v>0</v>
      </c>
      <c r="U4455" t="s">
        <v>81</v>
      </c>
    </row>
    <row r="4456" spans="1:21" x14ac:dyDescent="0.25">
      <c r="A4456" s="33">
        <v>4476</v>
      </c>
      <c r="B4456" s="24">
        <v>44282</v>
      </c>
      <c r="C4456" t="s">
        <v>181</v>
      </c>
      <c r="D4456" t="s">
        <v>51</v>
      </c>
      <c r="E4456">
        <v>2000721072</v>
      </c>
      <c r="F4456">
        <v>470</v>
      </c>
      <c r="G4456">
        <v>80</v>
      </c>
      <c r="H4456">
        <v>0</v>
      </c>
      <c r="I4456" t="s">
        <v>191</v>
      </c>
      <c r="J4456" t="s">
        <v>673</v>
      </c>
      <c r="K4456" t="s">
        <v>951</v>
      </c>
      <c r="O4456">
        <v>0</v>
      </c>
      <c r="U4456" t="s">
        <v>81</v>
      </c>
    </row>
    <row r="4457" spans="1:21" x14ac:dyDescent="0.25">
      <c r="A4457" s="33">
        <v>4477</v>
      </c>
      <c r="B4457" s="24">
        <v>44283</v>
      </c>
      <c r="C4457" t="s">
        <v>39</v>
      </c>
      <c r="D4457" t="s">
        <v>41</v>
      </c>
      <c r="E4457">
        <v>2000721733</v>
      </c>
      <c r="F4457">
        <v>440</v>
      </c>
      <c r="G4457">
        <v>111</v>
      </c>
      <c r="H4457">
        <v>0</v>
      </c>
      <c r="I4457" t="s">
        <v>693</v>
      </c>
      <c r="J4457" t="s">
        <v>174</v>
      </c>
      <c r="K4457" t="s">
        <v>735</v>
      </c>
      <c r="O4457">
        <v>0</v>
      </c>
      <c r="U4457" t="s">
        <v>81</v>
      </c>
    </row>
    <row r="4458" spans="1:21" x14ac:dyDescent="0.25">
      <c r="A4458" s="33">
        <v>4478</v>
      </c>
      <c r="B4458" s="24">
        <v>44283</v>
      </c>
      <c r="C4458" t="s">
        <v>39</v>
      </c>
      <c r="D4458" t="s">
        <v>41</v>
      </c>
      <c r="E4458">
        <v>2000721544</v>
      </c>
      <c r="F4458">
        <v>760</v>
      </c>
      <c r="G4458">
        <v>280</v>
      </c>
      <c r="H4458">
        <v>0</v>
      </c>
      <c r="I4458" t="s">
        <v>693</v>
      </c>
      <c r="J4458" t="s">
        <v>174</v>
      </c>
      <c r="K4458" t="s">
        <v>735</v>
      </c>
      <c r="O4458">
        <v>0</v>
      </c>
      <c r="U4458" t="s">
        <v>81</v>
      </c>
    </row>
    <row r="4459" spans="1:21" x14ac:dyDescent="0.25">
      <c r="A4459" s="33">
        <v>4479</v>
      </c>
      <c r="B4459" s="24">
        <v>44283</v>
      </c>
      <c r="C4459" t="s">
        <v>39</v>
      </c>
      <c r="D4459" t="s">
        <v>41</v>
      </c>
      <c r="E4459">
        <v>2000721637</v>
      </c>
      <c r="F4459">
        <v>452</v>
      </c>
      <c r="G4459">
        <v>135</v>
      </c>
      <c r="H4459">
        <v>0</v>
      </c>
      <c r="I4459" t="s">
        <v>693</v>
      </c>
      <c r="J4459" t="s">
        <v>698</v>
      </c>
      <c r="K4459" t="s">
        <v>786</v>
      </c>
      <c r="O4459">
        <v>0</v>
      </c>
      <c r="U4459" t="s">
        <v>81</v>
      </c>
    </row>
    <row r="4460" spans="1:21" x14ac:dyDescent="0.25">
      <c r="A4460" s="33">
        <v>4480</v>
      </c>
      <c r="B4460" s="24">
        <v>44283</v>
      </c>
      <c r="C4460" t="s">
        <v>39</v>
      </c>
      <c r="D4460" t="s">
        <v>41</v>
      </c>
      <c r="E4460">
        <v>2000720633</v>
      </c>
      <c r="F4460">
        <v>270</v>
      </c>
      <c r="G4460">
        <v>2</v>
      </c>
      <c r="H4460">
        <v>0</v>
      </c>
      <c r="I4460" t="s">
        <v>693</v>
      </c>
      <c r="J4460" t="s">
        <v>698</v>
      </c>
      <c r="K4460" t="s">
        <v>700</v>
      </c>
      <c r="O4460">
        <v>0</v>
      </c>
      <c r="U4460" t="s">
        <v>81</v>
      </c>
    </row>
    <row r="4461" spans="1:21" x14ac:dyDescent="0.25">
      <c r="A4461" s="33">
        <v>4481</v>
      </c>
      <c r="B4461" s="24">
        <v>44283</v>
      </c>
      <c r="C4461" t="s">
        <v>39</v>
      </c>
      <c r="D4461" t="s">
        <v>41</v>
      </c>
      <c r="E4461">
        <v>2000721557</v>
      </c>
      <c r="F4461">
        <v>410</v>
      </c>
      <c r="G4461">
        <v>90</v>
      </c>
      <c r="H4461">
        <v>0</v>
      </c>
      <c r="I4461" t="s">
        <v>693</v>
      </c>
      <c r="J4461" t="s">
        <v>698</v>
      </c>
      <c r="K4461" t="s">
        <v>699</v>
      </c>
      <c r="O4461">
        <v>0</v>
      </c>
      <c r="U4461" t="s">
        <v>81</v>
      </c>
    </row>
    <row r="4462" spans="1:21" x14ac:dyDescent="0.25">
      <c r="A4462" s="33">
        <v>4482</v>
      </c>
      <c r="B4462" s="24">
        <v>44283</v>
      </c>
      <c r="C4462" t="s">
        <v>39</v>
      </c>
      <c r="D4462" t="s">
        <v>41</v>
      </c>
      <c r="E4462">
        <v>2000721325</v>
      </c>
      <c r="F4462">
        <v>350</v>
      </c>
      <c r="G4462">
        <v>30</v>
      </c>
      <c r="H4462">
        <v>0</v>
      </c>
      <c r="I4462" t="s">
        <v>1150</v>
      </c>
      <c r="J4462" t="s">
        <v>745</v>
      </c>
      <c r="K4462" t="s">
        <v>836</v>
      </c>
      <c r="O4462">
        <v>0</v>
      </c>
      <c r="U4462" t="s">
        <v>81</v>
      </c>
    </row>
    <row r="4463" spans="1:21" x14ac:dyDescent="0.25">
      <c r="A4463" s="33">
        <v>4483</v>
      </c>
      <c r="B4463" s="24">
        <v>44283</v>
      </c>
      <c r="C4463" t="s">
        <v>39</v>
      </c>
      <c r="D4463" t="s">
        <v>41</v>
      </c>
      <c r="E4463">
        <v>2000721302</v>
      </c>
      <c r="F4463">
        <v>800</v>
      </c>
      <c r="G4463">
        <v>282</v>
      </c>
      <c r="H4463">
        <v>0</v>
      </c>
      <c r="I4463" t="s">
        <v>1150</v>
      </c>
      <c r="J4463" t="s">
        <v>962</v>
      </c>
      <c r="K4463" t="s">
        <v>785</v>
      </c>
      <c r="O4463">
        <v>0</v>
      </c>
      <c r="U4463" t="s">
        <v>81</v>
      </c>
    </row>
    <row r="4464" spans="1:21" x14ac:dyDescent="0.25">
      <c r="A4464" s="33">
        <v>4484</v>
      </c>
      <c r="B4464" s="24">
        <v>44283</v>
      </c>
      <c r="C4464" t="s">
        <v>39</v>
      </c>
      <c r="D4464" t="s">
        <v>41</v>
      </c>
      <c r="E4464">
        <v>2000721405</v>
      </c>
      <c r="F4464">
        <v>500</v>
      </c>
      <c r="G4464">
        <v>150</v>
      </c>
      <c r="H4464">
        <v>0</v>
      </c>
      <c r="I4464" t="s">
        <v>1150</v>
      </c>
      <c r="J4464" t="s">
        <v>203</v>
      </c>
      <c r="K4464" t="s">
        <v>639</v>
      </c>
      <c r="O4464">
        <v>0</v>
      </c>
      <c r="U4464" t="s">
        <v>81</v>
      </c>
    </row>
    <row r="4465" spans="1:21" x14ac:dyDescent="0.25">
      <c r="A4465" s="33">
        <v>4485</v>
      </c>
      <c r="B4465" s="24">
        <v>44283</v>
      </c>
      <c r="C4465" t="s">
        <v>39</v>
      </c>
      <c r="D4465" t="s">
        <v>41</v>
      </c>
      <c r="E4465">
        <v>2000721404</v>
      </c>
      <c r="F4465">
        <v>510</v>
      </c>
      <c r="G4465">
        <v>30</v>
      </c>
      <c r="H4465">
        <v>0</v>
      </c>
      <c r="I4465" t="s">
        <v>1150</v>
      </c>
      <c r="J4465" t="s">
        <v>203</v>
      </c>
      <c r="K4465" t="s">
        <v>638</v>
      </c>
      <c r="O4465">
        <v>0</v>
      </c>
      <c r="U4465" t="s">
        <v>81</v>
      </c>
    </row>
    <row r="4466" spans="1:21" ht="45" x14ac:dyDescent="0.25">
      <c r="A4466" s="33">
        <v>4486</v>
      </c>
      <c r="B4466" s="24">
        <v>44283</v>
      </c>
      <c r="C4466" t="s">
        <v>39</v>
      </c>
      <c r="D4466" t="s">
        <v>41</v>
      </c>
      <c r="E4466">
        <v>2000721637</v>
      </c>
      <c r="F4466">
        <v>452</v>
      </c>
      <c r="G4466">
        <v>90</v>
      </c>
      <c r="H4466">
        <v>0</v>
      </c>
      <c r="I4466" t="s">
        <v>1150</v>
      </c>
      <c r="J4466" t="s">
        <v>698</v>
      </c>
      <c r="K4466" t="s">
        <v>786</v>
      </c>
      <c r="O4466">
        <v>0</v>
      </c>
      <c r="T4466" s="62" t="s">
        <v>775</v>
      </c>
      <c r="U4466" t="s">
        <v>81</v>
      </c>
    </row>
    <row r="4467" spans="1:21" x14ac:dyDescent="0.25">
      <c r="A4467" s="33">
        <v>4487</v>
      </c>
      <c r="B4467" s="24">
        <v>44283</v>
      </c>
      <c r="C4467" t="s">
        <v>39</v>
      </c>
      <c r="D4467" t="s">
        <v>41</v>
      </c>
      <c r="E4467">
        <v>2000721557</v>
      </c>
      <c r="F4467">
        <v>410</v>
      </c>
      <c r="G4467">
        <v>90</v>
      </c>
      <c r="H4467">
        <v>0</v>
      </c>
      <c r="I4467" t="s">
        <v>1150</v>
      </c>
      <c r="J4467" t="s">
        <v>698</v>
      </c>
      <c r="K4467" t="s">
        <v>699</v>
      </c>
      <c r="O4467">
        <v>0</v>
      </c>
      <c r="U4467" t="s">
        <v>81</v>
      </c>
    </row>
    <row r="4468" spans="1:21" x14ac:dyDescent="0.25">
      <c r="A4468" s="33">
        <v>4488</v>
      </c>
      <c r="B4468" s="24">
        <v>44283</v>
      </c>
      <c r="C4468" t="s">
        <v>39</v>
      </c>
      <c r="D4468" t="s">
        <v>41</v>
      </c>
      <c r="E4468">
        <v>2000721615</v>
      </c>
      <c r="F4468">
        <v>300</v>
      </c>
      <c r="G4468">
        <v>30</v>
      </c>
      <c r="H4468">
        <v>0</v>
      </c>
      <c r="I4468" t="s">
        <v>1150</v>
      </c>
      <c r="J4468" t="s">
        <v>170</v>
      </c>
      <c r="K4468" t="s">
        <v>171</v>
      </c>
      <c r="O4468">
        <v>0</v>
      </c>
      <c r="U4468" t="s">
        <v>81</v>
      </c>
    </row>
    <row r="4469" spans="1:21" x14ac:dyDescent="0.25">
      <c r="A4469" s="33">
        <v>4489</v>
      </c>
      <c r="B4469" s="24">
        <v>44283</v>
      </c>
      <c r="C4469" t="s">
        <v>39</v>
      </c>
      <c r="D4469" t="s">
        <v>41</v>
      </c>
      <c r="E4469">
        <v>2000721728</v>
      </c>
      <c r="F4469">
        <v>40</v>
      </c>
      <c r="G4469">
        <v>40</v>
      </c>
      <c r="H4469">
        <v>0</v>
      </c>
      <c r="I4469" t="s">
        <v>759</v>
      </c>
      <c r="J4469" t="s">
        <v>174</v>
      </c>
      <c r="K4469" t="s">
        <v>717</v>
      </c>
      <c r="O4469">
        <v>0</v>
      </c>
      <c r="U4469" t="s">
        <v>81</v>
      </c>
    </row>
    <row r="4470" spans="1:21" x14ac:dyDescent="0.25">
      <c r="A4470" s="33">
        <v>4490</v>
      </c>
      <c r="B4470" s="24">
        <v>44283</v>
      </c>
      <c r="C4470" t="s">
        <v>39</v>
      </c>
      <c r="D4470" t="s">
        <v>41</v>
      </c>
      <c r="E4470">
        <v>2000721733</v>
      </c>
      <c r="F4470">
        <v>440</v>
      </c>
      <c r="G4470">
        <v>40</v>
      </c>
      <c r="H4470">
        <v>0</v>
      </c>
      <c r="I4470" t="s">
        <v>759</v>
      </c>
      <c r="J4470" t="s">
        <v>174</v>
      </c>
      <c r="K4470" t="s">
        <v>735</v>
      </c>
      <c r="O4470">
        <v>0</v>
      </c>
      <c r="U4470" t="s">
        <v>81</v>
      </c>
    </row>
    <row r="4471" spans="1:21" x14ac:dyDescent="0.25">
      <c r="A4471" s="33">
        <v>4491</v>
      </c>
      <c r="B4471" s="24">
        <v>44283</v>
      </c>
      <c r="C4471" t="s">
        <v>39</v>
      </c>
      <c r="D4471" t="s">
        <v>41</v>
      </c>
      <c r="E4471">
        <v>2000721544</v>
      </c>
      <c r="F4471">
        <v>760</v>
      </c>
      <c r="G4471">
        <v>399</v>
      </c>
      <c r="H4471">
        <v>0</v>
      </c>
      <c r="I4471" t="s">
        <v>759</v>
      </c>
      <c r="J4471" t="s">
        <v>174</v>
      </c>
      <c r="K4471" t="s">
        <v>735</v>
      </c>
      <c r="O4471">
        <v>0</v>
      </c>
      <c r="U4471" t="s">
        <v>81</v>
      </c>
    </row>
    <row r="4472" spans="1:21" x14ac:dyDescent="0.25">
      <c r="A4472" s="33">
        <v>4493</v>
      </c>
      <c r="B4472" s="24">
        <v>44283</v>
      </c>
      <c r="C4472" t="s">
        <v>39</v>
      </c>
      <c r="D4472" t="s">
        <v>41</v>
      </c>
      <c r="E4472">
        <v>2000721637</v>
      </c>
      <c r="F4472">
        <v>452</v>
      </c>
      <c r="G4472">
        <v>90</v>
      </c>
      <c r="H4472">
        <v>0</v>
      </c>
      <c r="I4472" t="s">
        <v>759</v>
      </c>
      <c r="J4472" t="s">
        <v>698</v>
      </c>
      <c r="K4472" t="s">
        <v>786</v>
      </c>
      <c r="O4472">
        <v>0</v>
      </c>
      <c r="U4472" t="s">
        <v>81</v>
      </c>
    </row>
    <row r="4473" spans="1:21" x14ac:dyDescent="0.25">
      <c r="A4473" s="33">
        <v>4494</v>
      </c>
      <c r="B4473" s="24">
        <v>44283</v>
      </c>
      <c r="C4473" t="s">
        <v>39</v>
      </c>
      <c r="D4473" t="s">
        <v>41</v>
      </c>
      <c r="E4473">
        <v>2000721557</v>
      </c>
      <c r="F4473">
        <v>410</v>
      </c>
      <c r="G4473">
        <v>90</v>
      </c>
      <c r="H4473">
        <v>0</v>
      </c>
      <c r="I4473" t="s">
        <v>759</v>
      </c>
      <c r="J4473" t="s">
        <v>698</v>
      </c>
      <c r="K4473" t="s">
        <v>699</v>
      </c>
      <c r="O4473">
        <v>0</v>
      </c>
      <c r="U4473" t="s">
        <v>81</v>
      </c>
    </row>
    <row r="4474" spans="1:21" x14ac:dyDescent="0.25">
      <c r="A4474" s="33">
        <v>4495</v>
      </c>
      <c r="B4474" s="24">
        <v>44283</v>
      </c>
      <c r="C4474" t="s">
        <v>39</v>
      </c>
      <c r="D4474" t="s">
        <v>41</v>
      </c>
      <c r="E4474">
        <v>2000721615</v>
      </c>
      <c r="F4474">
        <v>300</v>
      </c>
      <c r="G4474">
        <v>45</v>
      </c>
      <c r="H4474">
        <v>0</v>
      </c>
      <c r="I4474" t="s">
        <v>759</v>
      </c>
      <c r="J4474" t="s">
        <v>170</v>
      </c>
      <c r="K4474" t="s">
        <v>171</v>
      </c>
      <c r="O4474">
        <v>0</v>
      </c>
      <c r="U4474" t="s">
        <v>81</v>
      </c>
    </row>
    <row r="4475" spans="1:21" x14ac:dyDescent="0.25">
      <c r="A4475" s="33">
        <v>4496</v>
      </c>
      <c r="B4475" s="24">
        <v>44283</v>
      </c>
      <c r="C4475" t="s">
        <v>39</v>
      </c>
      <c r="D4475" t="s">
        <v>41</v>
      </c>
      <c r="E4475">
        <v>2000721742</v>
      </c>
      <c r="F4475">
        <v>300</v>
      </c>
      <c r="G4475">
        <v>45</v>
      </c>
      <c r="H4475">
        <v>0</v>
      </c>
      <c r="I4475" t="s">
        <v>183</v>
      </c>
      <c r="J4475" t="s">
        <v>170</v>
      </c>
      <c r="K4475" t="s">
        <v>206</v>
      </c>
      <c r="O4475">
        <v>0</v>
      </c>
      <c r="U4475" t="s">
        <v>81</v>
      </c>
    </row>
    <row r="4476" spans="1:21" x14ac:dyDescent="0.25">
      <c r="A4476" s="33">
        <v>4497</v>
      </c>
      <c r="B4476" s="24">
        <v>44283</v>
      </c>
      <c r="C4476" t="s">
        <v>39</v>
      </c>
      <c r="D4476" t="s">
        <v>41</v>
      </c>
      <c r="E4476">
        <v>2000708959</v>
      </c>
      <c r="F4476">
        <v>1132</v>
      </c>
      <c r="G4476">
        <v>16</v>
      </c>
      <c r="H4476">
        <v>0</v>
      </c>
      <c r="I4476" t="s">
        <v>183</v>
      </c>
      <c r="J4476" t="s">
        <v>170</v>
      </c>
      <c r="K4476" t="s">
        <v>171</v>
      </c>
      <c r="O4476">
        <v>0</v>
      </c>
      <c r="U4476" t="s">
        <v>81</v>
      </c>
    </row>
    <row r="4477" spans="1:21" x14ac:dyDescent="0.25">
      <c r="A4477" s="33">
        <v>4498</v>
      </c>
      <c r="B4477" s="24">
        <v>44283</v>
      </c>
      <c r="C4477" t="s">
        <v>39</v>
      </c>
      <c r="D4477" t="s">
        <v>41</v>
      </c>
      <c r="E4477">
        <v>2000720615</v>
      </c>
      <c r="F4477">
        <v>540</v>
      </c>
      <c r="G4477">
        <v>30</v>
      </c>
      <c r="H4477">
        <v>0</v>
      </c>
      <c r="I4477" t="s">
        <v>183</v>
      </c>
      <c r="J4477" t="s">
        <v>203</v>
      </c>
      <c r="K4477" t="s">
        <v>768</v>
      </c>
      <c r="O4477">
        <v>0</v>
      </c>
      <c r="U4477" t="s">
        <v>81</v>
      </c>
    </row>
    <row r="4478" spans="1:21" x14ac:dyDescent="0.25">
      <c r="A4478" s="33">
        <v>4499</v>
      </c>
      <c r="B4478" s="24">
        <v>44283</v>
      </c>
      <c r="C4478" t="s">
        <v>39</v>
      </c>
      <c r="D4478" t="s">
        <v>41</v>
      </c>
      <c r="E4478">
        <v>2000720944</v>
      </c>
      <c r="F4478">
        <v>1000</v>
      </c>
      <c r="G4478">
        <v>210</v>
      </c>
      <c r="H4478">
        <v>0</v>
      </c>
      <c r="I4478" t="s">
        <v>183</v>
      </c>
      <c r="J4478" t="s">
        <v>203</v>
      </c>
      <c r="K4478" t="s">
        <v>768</v>
      </c>
      <c r="O4478">
        <v>0</v>
      </c>
      <c r="U4478" t="s">
        <v>81</v>
      </c>
    </row>
    <row r="4479" spans="1:21" x14ac:dyDescent="0.25">
      <c r="A4479" s="33">
        <v>4500</v>
      </c>
      <c r="B4479" s="24">
        <v>44283</v>
      </c>
      <c r="C4479" t="s">
        <v>39</v>
      </c>
      <c r="D4479" t="s">
        <v>41</v>
      </c>
      <c r="E4479">
        <v>2000720441</v>
      </c>
      <c r="F4479">
        <v>850</v>
      </c>
      <c r="G4479">
        <v>1</v>
      </c>
      <c r="H4479">
        <v>0</v>
      </c>
      <c r="I4479" t="s">
        <v>183</v>
      </c>
      <c r="J4479" t="s">
        <v>203</v>
      </c>
      <c r="K4479" t="s">
        <v>638</v>
      </c>
      <c r="O4479">
        <v>0</v>
      </c>
      <c r="U4479" t="s">
        <v>81</v>
      </c>
    </row>
    <row r="4480" spans="1:21" x14ac:dyDescent="0.25">
      <c r="A4480" s="33">
        <v>4501</v>
      </c>
      <c r="B4480" s="24">
        <v>44283</v>
      </c>
      <c r="C4480" t="s">
        <v>39</v>
      </c>
      <c r="D4480" t="s">
        <v>41</v>
      </c>
      <c r="E4480">
        <v>2000721404</v>
      </c>
      <c r="F4480">
        <v>510</v>
      </c>
      <c r="G4480">
        <v>360</v>
      </c>
      <c r="H4480">
        <v>0</v>
      </c>
      <c r="I4480" t="s">
        <v>183</v>
      </c>
      <c r="J4480" t="s">
        <v>203</v>
      </c>
      <c r="K4480" t="s">
        <v>638</v>
      </c>
      <c r="O4480">
        <v>0</v>
      </c>
      <c r="U4480" t="s">
        <v>81</v>
      </c>
    </row>
    <row r="4481" spans="1:21" x14ac:dyDescent="0.25">
      <c r="A4481" s="33">
        <v>4502</v>
      </c>
      <c r="B4481" s="24">
        <v>44283</v>
      </c>
      <c r="C4481" t="s">
        <v>39</v>
      </c>
      <c r="D4481" t="s">
        <v>41</v>
      </c>
      <c r="E4481">
        <v>2000721557</v>
      </c>
      <c r="F4481">
        <v>410</v>
      </c>
      <c r="G4481">
        <v>140</v>
      </c>
      <c r="H4481">
        <v>0</v>
      </c>
      <c r="I4481" t="s">
        <v>183</v>
      </c>
      <c r="J4481" t="s">
        <v>698</v>
      </c>
      <c r="K4481" t="s">
        <v>699</v>
      </c>
      <c r="O4481">
        <v>0</v>
      </c>
      <c r="U4481" t="s">
        <v>81</v>
      </c>
    </row>
    <row r="4482" spans="1:21" x14ac:dyDescent="0.25">
      <c r="A4482" s="33">
        <v>4503</v>
      </c>
      <c r="B4482" s="24">
        <v>44283</v>
      </c>
      <c r="C4482" t="s">
        <v>39</v>
      </c>
      <c r="D4482" t="s">
        <v>41</v>
      </c>
      <c r="E4482">
        <v>2000721637</v>
      </c>
      <c r="F4482">
        <v>452</v>
      </c>
      <c r="G4482">
        <v>137</v>
      </c>
      <c r="H4482">
        <v>0</v>
      </c>
      <c r="I4482" t="s">
        <v>183</v>
      </c>
      <c r="J4482" t="s">
        <v>698</v>
      </c>
      <c r="K4482" t="s">
        <v>786</v>
      </c>
      <c r="O4482">
        <v>0</v>
      </c>
      <c r="U4482" t="s">
        <v>81</v>
      </c>
    </row>
    <row r="4483" spans="1:21" x14ac:dyDescent="0.25">
      <c r="A4483" s="33">
        <v>4504</v>
      </c>
      <c r="B4483" s="24">
        <v>44284</v>
      </c>
      <c r="C4483" t="s">
        <v>39</v>
      </c>
      <c r="D4483" t="s">
        <v>41</v>
      </c>
      <c r="E4483">
        <v>2000720805</v>
      </c>
      <c r="F4483">
        <v>4448</v>
      </c>
      <c r="G4483">
        <v>200</v>
      </c>
      <c r="H4483">
        <v>0</v>
      </c>
      <c r="I4483" t="s">
        <v>680</v>
      </c>
      <c r="J4483" t="s">
        <v>200</v>
      </c>
      <c r="K4483" t="s">
        <v>653</v>
      </c>
      <c r="O4483">
        <v>0</v>
      </c>
      <c r="U4483" t="s">
        <v>81</v>
      </c>
    </row>
    <row r="4484" spans="1:21" x14ac:dyDescent="0.25">
      <c r="A4484" s="33">
        <v>4505</v>
      </c>
      <c r="B4484" s="24">
        <v>44284</v>
      </c>
      <c r="C4484" t="s">
        <v>39</v>
      </c>
      <c r="D4484" t="s">
        <v>41</v>
      </c>
      <c r="E4484">
        <v>2000721781</v>
      </c>
      <c r="F4484">
        <v>2400</v>
      </c>
      <c r="G4484">
        <v>160</v>
      </c>
      <c r="H4484">
        <v>0</v>
      </c>
      <c r="I4484" t="s">
        <v>680</v>
      </c>
      <c r="J4484" t="s">
        <v>655</v>
      </c>
      <c r="K4484" t="s">
        <v>656</v>
      </c>
      <c r="O4484">
        <v>0</v>
      </c>
      <c r="U4484" t="s">
        <v>81</v>
      </c>
    </row>
    <row r="4485" spans="1:21" x14ac:dyDescent="0.25">
      <c r="A4485" s="33">
        <v>4506</v>
      </c>
      <c r="B4485" s="24">
        <v>44284</v>
      </c>
      <c r="C4485" t="s">
        <v>39</v>
      </c>
      <c r="D4485" t="s">
        <v>41</v>
      </c>
      <c r="E4485">
        <v>2000721731</v>
      </c>
      <c r="F4485">
        <v>1000</v>
      </c>
      <c r="G4485">
        <v>80</v>
      </c>
      <c r="H4485">
        <v>0</v>
      </c>
      <c r="I4485" t="s">
        <v>680</v>
      </c>
      <c r="J4485" t="s">
        <v>196</v>
      </c>
      <c r="K4485" t="s">
        <v>648</v>
      </c>
      <c r="O4485">
        <v>0</v>
      </c>
      <c r="U4485" t="s">
        <v>81</v>
      </c>
    </row>
    <row r="4486" spans="1:21" x14ac:dyDescent="0.25">
      <c r="A4486" s="33">
        <v>4507</v>
      </c>
      <c r="B4486" s="24">
        <v>44284</v>
      </c>
      <c r="C4486" t="s">
        <v>39</v>
      </c>
      <c r="D4486" t="s">
        <v>41</v>
      </c>
      <c r="E4486">
        <v>2000721513</v>
      </c>
      <c r="F4486">
        <v>2200</v>
      </c>
      <c r="G4486">
        <v>130</v>
      </c>
      <c r="H4486">
        <v>0</v>
      </c>
      <c r="I4486" t="s">
        <v>680</v>
      </c>
      <c r="J4486" t="s">
        <v>172</v>
      </c>
      <c r="K4486" t="s">
        <v>173</v>
      </c>
      <c r="O4486">
        <v>0</v>
      </c>
      <c r="U4486" t="s">
        <v>81</v>
      </c>
    </row>
    <row r="4487" spans="1:21" x14ac:dyDescent="0.25">
      <c r="A4487" s="33">
        <v>4508</v>
      </c>
      <c r="B4487" s="24">
        <v>44284</v>
      </c>
      <c r="C4487" t="s">
        <v>39</v>
      </c>
      <c r="D4487" t="s">
        <v>41</v>
      </c>
      <c r="E4487">
        <v>2000721883</v>
      </c>
      <c r="F4487">
        <v>150</v>
      </c>
      <c r="G4487">
        <v>20</v>
      </c>
      <c r="H4487">
        <v>0</v>
      </c>
      <c r="I4487" t="s">
        <v>680</v>
      </c>
      <c r="J4487" t="s">
        <v>645</v>
      </c>
      <c r="K4487" t="s">
        <v>719</v>
      </c>
      <c r="O4487">
        <v>0</v>
      </c>
      <c r="U4487" t="s">
        <v>81</v>
      </c>
    </row>
    <row r="4488" spans="1:21" x14ac:dyDescent="0.25">
      <c r="A4488" s="33">
        <v>4509</v>
      </c>
      <c r="B4488" s="24">
        <v>44284</v>
      </c>
      <c r="C4488" t="s">
        <v>39</v>
      </c>
      <c r="D4488" t="s">
        <v>41</v>
      </c>
      <c r="E4488">
        <v>2000721451</v>
      </c>
      <c r="F4488">
        <v>380</v>
      </c>
      <c r="G4488">
        <v>60</v>
      </c>
      <c r="H4488">
        <v>0</v>
      </c>
      <c r="I4488" t="s">
        <v>680</v>
      </c>
      <c r="J4488" t="s">
        <v>169</v>
      </c>
      <c r="K4488" t="s">
        <v>663</v>
      </c>
      <c r="O4488">
        <v>0</v>
      </c>
      <c r="U4488" t="s">
        <v>81</v>
      </c>
    </row>
    <row r="4489" spans="1:21" x14ac:dyDescent="0.25">
      <c r="A4489" s="33">
        <v>4510</v>
      </c>
      <c r="B4489" s="24">
        <v>44284</v>
      </c>
      <c r="C4489" t="s">
        <v>39</v>
      </c>
      <c r="D4489" t="s">
        <v>41</v>
      </c>
      <c r="E4489">
        <v>2000720198</v>
      </c>
      <c r="F4489">
        <v>240</v>
      </c>
      <c r="G4489">
        <v>2</v>
      </c>
      <c r="H4489">
        <v>0</v>
      </c>
      <c r="I4489" t="s">
        <v>680</v>
      </c>
      <c r="J4489" t="s">
        <v>169</v>
      </c>
      <c r="K4489" t="s">
        <v>852</v>
      </c>
      <c r="O4489">
        <v>0</v>
      </c>
      <c r="U4489" t="s">
        <v>81</v>
      </c>
    </row>
    <row r="4490" spans="1:21" x14ac:dyDescent="0.25">
      <c r="A4490" s="33">
        <v>4511</v>
      </c>
      <c r="B4490" s="24">
        <v>44284</v>
      </c>
      <c r="C4490" t="s">
        <v>39</v>
      </c>
      <c r="D4490" t="s">
        <v>41</v>
      </c>
      <c r="E4490">
        <v>2000721546</v>
      </c>
      <c r="F4490">
        <v>120</v>
      </c>
      <c r="G4490">
        <v>40</v>
      </c>
      <c r="H4490">
        <v>0</v>
      </c>
      <c r="I4490" t="s">
        <v>185</v>
      </c>
      <c r="J4490" t="s">
        <v>174</v>
      </c>
      <c r="K4490" t="s">
        <v>187</v>
      </c>
      <c r="O4490">
        <v>0</v>
      </c>
      <c r="U4490" t="s">
        <v>81</v>
      </c>
    </row>
    <row r="4491" spans="1:21" x14ac:dyDescent="0.25">
      <c r="A4491" s="33">
        <v>4512</v>
      </c>
      <c r="B4491" s="24">
        <v>44284</v>
      </c>
      <c r="C4491" t="s">
        <v>39</v>
      </c>
      <c r="D4491" t="s">
        <v>41</v>
      </c>
      <c r="E4491">
        <v>2000721545</v>
      </c>
      <c r="F4491">
        <v>760</v>
      </c>
      <c r="G4491">
        <v>40</v>
      </c>
      <c r="H4491">
        <v>0</v>
      </c>
      <c r="I4491" t="s">
        <v>185</v>
      </c>
      <c r="J4491" t="s">
        <v>174</v>
      </c>
      <c r="K4491" t="s">
        <v>186</v>
      </c>
      <c r="O4491">
        <v>0</v>
      </c>
      <c r="U4491" t="s">
        <v>81</v>
      </c>
    </row>
    <row r="4492" spans="1:21" x14ac:dyDescent="0.25">
      <c r="A4492" s="33">
        <v>4513</v>
      </c>
      <c r="B4492" s="24">
        <v>44284</v>
      </c>
      <c r="C4492" t="s">
        <v>39</v>
      </c>
      <c r="D4492" t="s">
        <v>41</v>
      </c>
      <c r="E4492">
        <v>2000721734</v>
      </c>
      <c r="F4492">
        <v>320</v>
      </c>
      <c r="G4492">
        <v>120</v>
      </c>
      <c r="H4492">
        <v>0</v>
      </c>
      <c r="I4492" t="s">
        <v>185</v>
      </c>
      <c r="J4492" t="s">
        <v>174</v>
      </c>
      <c r="K4492" t="s">
        <v>877</v>
      </c>
      <c r="O4492">
        <v>0</v>
      </c>
      <c r="U4492" t="s">
        <v>81</v>
      </c>
    </row>
    <row r="4493" spans="1:21" x14ac:dyDescent="0.25">
      <c r="A4493" s="33">
        <v>4514</v>
      </c>
      <c r="B4493" s="24">
        <v>44284</v>
      </c>
      <c r="C4493" t="s">
        <v>39</v>
      </c>
      <c r="D4493" t="s">
        <v>41</v>
      </c>
      <c r="E4493">
        <v>2000721732</v>
      </c>
      <c r="F4493">
        <v>600</v>
      </c>
      <c r="G4493">
        <v>80</v>
      </c>
      <c r="H4493">
        <v>0</v>
      </c>
      <c r="I4493" t="s">
        <v>185</v>
      </c>
      <c r="J4493" t="s">
        <v>174</v>
      </c>
      <c r="K4493" t="s">
        <v>188</v>
      </c>
      <c r="O4493">
        <v>0</v>
      </c>
      <c r="U4493" t="s">
        <v>81</v>
      </c>
    </row>
    <row r="4494" spans="1:21" x14ac:dyDescent="0.25">
      <c r="A4494" s="33">
        <v>4515</v>
      </c>
      <c r="B4494" s="24">
        <v>44284</v>
      </c>
      <c r="C4494" t="s">
        <v>39</v>
      </c>
      <c r="D4494" t="s">
        <v>41</v>
      </c>
      <c r="E4494">
        <v>2000721452</v>
      </c>
      <c r="F4494">
        <v>1260</v>
      </c>
      <c r="G4494">
        <v>53</v>
      </c>
      <c r="H4494">
        <v>0</v>
      </c>
      <c r="I4494" t="s">
        <v>185</v>
      </c>
      <c r="J4494" t="s">
        <v>169</v>
      </c>
      <c r="K4494" t="s">
        <v>190</v>
      </c>
      <c r="O4494">
        <v>0</v>
      </c>
      <c r="U4494" t="s">
        <v>81</v>
      </c>
    </row>
    <row r="4495" spans="1:21" x14ac:dyDescent="0.25">
      <c r="A4495" s="33">
        <v>4516</v>
      </c>
      <c r="B4495" s="24">
        <v>44284</v>
      </c>
      <c r="C4495" t="s">
        <v>39</v>
      </c>
      <c r="D4495" t="s">
        <v>41</v>
      </c>
      <c r="E4495">
        <v>2000721345</v>
      </c>
      <c r="F4495">
        <v>200</v>
      </c>
      <c r="G4495">
        <v>40</v>
      </c>
      <c r="H4495">
        <v>0</v>
      </c>
      <c r="I4495" t="s">
        <v>185</v>
      </c>
      <c r="J4495" t="s">
        <v>195</v>
      </c>
      <c r="K4495" t="s">
        <v>812</v>
      </c>
      <c r="O4495">
        <v>0</v>
      </c>
      <c r="U4495" t="s">
        <v>81</v>
      </c>
    </row>
    <row r="4496" spans="1:21" x14ac:dyDescent="0.25">
      <c r="A4496" s="33">
        <v>4517</v>
      </c>
      <c r="B4496" s="24">
        <v>44284</v>
      </c>
      <c r="C4496" t="s">
        <v>39</v>
      </c>
      <c r="D4496" t="s">
        <v>41</v>
      </c>
      <c r="E4496">
        <v>2000721568</v>
      </c>
      <c r="F4496">
        <v>950</v>
      </c>
      <c r="G4496">
        <v>90</v>
      </c>
      <c r="H4496">
        <v>0</v>
      </c>
      <c r="I4496" t="s">
        <v>185</v>
      </c>
      <c r="J4496" t="s">
        <v>169</v>
      </c>
      <c r="K4496" t="s">
        <v>664</v>
      </c>
      <c r="O4496">
        <v>0</v>
      </c>
      <c r="U4496" t="s">
        <v>81</v>
      </c>
    </row>
    <row r="4497" spans="1:21" x14ac:dyDescent="0.25">
      <c r="A4497" s="33">
        <v>4518</v>
      </c>
      <c r="B4497" s="24">
        <v>44284</v>
      </c>
      <c r="C4497" t="s">
        <v>39</v>
      </c>
      <c r="D4497" t="s">
        <v>41</v>
      </c>
      <c r="E4497">
        <v>2000718461</v>
      </c>
      <c r="F4497">
        <v>400</v>
      </c>
      <c r="G4497">
        <v>9</v>
      </c>
      <c r="H4497">
        <v>0</v>
      </c>
      <c r="I4497" t="s">
        <v>185</v>
      </c>
      <c r="J4497" t="s">
        <v>170</v>
      </c>
      <c r="K4497" t="s">
        <v>697</v>
      </c>
      <c r="O4497">
        <v>0</v>
      </c>
      <c r="U4497" t="s">
        <v>81</v>
      </c>
    </row>
    <row r="4498" spans="1:21" x14ac:dyDescent="0.25">
      <c r="A4498" s="33">
        <v>4519</v>
      </c>
      <c r="B4498" s="24">
        <v>44284</v>
      </c>
      <c r="C4498" t="s">
        <v>39</v>
      </c>
      <c r="D4498" t="s">
        <v>41</v>
      </c>
      <c r="E4498">
        <v>2000714220</v>
      </c>
      <c r="F4498">
        <v>576</v>
      </c>
      <c r="G4498">
        <v>12</v>
      </c>
      <c r="H4498">
        <v>0</v>
      </c>
      <c r="I4498" t="s">
        <v>185</v>
      </c>
      <c r="J4498" t="s">
        <v>698</v>
      </c>
      <c r="K4498" t="s">
        <v>700</v>
      </c>
      <c r="O4498">
        <v>0</v>
      </c>
      <c r="U4498" t="s">
        <v>81</v>
      </c>
    </row>
    <row r="4499" spans="1:21" x14ac:dyDescent="0.25">
      <c r="A4499" s="33">
        <v>4520</v>
      </c>
      <c r="B4499" s="24">
        <v>44284</v>
      </c>
      <c r="C4499" t="s">
        <v>39</v>
      </c>
      <c r="D4499" t="s">
        <v>41</v>
      </c>
      <c r="E4499">
        <v>2000721546</v>
      </c>
      <c r="F4499">
        <v>120</v>
      </c>
      <c r="G4499">
        <v>80</v>
      </c>
      <c r="H4499">
        <v>0</v>
      </c>
      <c r="I4499" t="s">
        <v>693</v>
      </c>
      <c r="J4499" t="s">
        <v>174</v>
      </c>
      <c r="K4499" t="s">
        <v>187</v>
      </c>
      <c r="O4499">
        <v>0</v>
      </c>
      <c r="U4499" t="s">
        <v>81</v>
      </c>
    </row>
    <row r="4500" spans="1:21" x14ac:dyDescent="0.25">
      <c r="A4500" s="33">
        <v>4521</v>
      </c>
      <c r="B4500" s="24">
        <v>44284</v>
      </c>
      <c r="C4500" t="s">
        <v>39</v>
      </c>
      <c r="D4500" t="s">
        <v>41</v>
      </c>
      <c r="E4500">
        <v>2000721545</v>
      </c>
      <c r="F4500">
        <v>760</v>
      </c>
      <c r="G4500">
        <v>40</v>
      </c>
      <c r="H4500">
        <v>0</v>
      </c>
      <c r="I4500" t="s">
        <v>693</v>
      </c>
      <c r="J4500" t="s">
        <v>174</v>
      </c>
      <c r="K4500" t="s">
        <v>186</v>
      </c>
      <c r="O4500">
        <v>0</v>
      </c>
      <c r="U4500" t="s">
        <v>81</v>
      </c>
    </row>
    <row r="4501" spans="1:21" x14ac:dyDescent="0.25">
      <c r="A4501" s="33">
        <v>4522</v>
      </c>
      <c r="B4501" s="24">
        <v>44284</v>
      </c>
      <c r="C4501" t="s">
        <v>39</v>
      </c>
      <c r="D4501" t="s">
        <v>41</v>
      </c>
      <c r="E4501">
        <v>2000721734</v>
      </c>
      <c r="F4501">
        <v>320</v>
      </c>
      <c r="G4501">
        <v>119</v>
      </c>
      <c r="H4501">
        <v>0</v>
      </c>
      <c r="I4501" t="s">
        <v>693</v>
      </c>
      <c r="J4501" t="s">
        <v>174</v>
      </c>
      <c r="K4501" t="s">
        <v>877</v>
      </c>
      <c r="O4501">
        <v>0</v>
      </c>
      <c r="U4501" t="s">
        <v>81</v>
      </c>
    </row>
    <row r="4502" spans="1:21" x14ac:dyDescent="0.25">
      <c r="A4502" s="33">
        <v>4523</v>
      </c>
      <c r="B4502" s="24">
        <v>44284</v>
      </c>
      <c r="C4502" t="s">
        <v>39</v>
      </c>
      <c r="D4502" t="s">
        <v>41</v>
      </c>
      <c r="E4502">
        <v>2000721732</v>
      </c>
      <c r="F4502">
        <v>600</v>
      </c>
      <c r="G4502">
        <v>200</v>
      </c>
      <c r="H4502">
        <v>0</v>
      </c>
      <c r="I4502" t="s">
        <v>693</v>
      </c>
      <c r="J4502" t="s">
        <v>174</v>
      </c>
      <c r="K4502" t="s">
        <v>188</v>
      </c>
      <c r="O4502">
        <v>0</v>
      </c>
      <c r="U4502" t="s">
        <v>81</v>
      </c>
    </row>
    <row r="4503" spans="1:21" x14ac:dyDescent="0.25">
      <c r="A4503" s="33">
        <v>4524</v>
      </c>
      <c r="B4503" s="24">
        <v>44284</v>
      </c>
      <c r="C4503" t="s">
        <v>39</v>
      </c>
      <c r="D4503" t="s">
        <v>41</v>
      </c>
      <c r="E4503">
        <v>2000721735</v>
      </c>
      <c r="F4503">
        <v>160</v>
      </c>
      <c r="G4503">
        <v>131</v>
      </c>
      <c r="H4503">
        <v>0</v>
      </c>
      <c r="I4503" t="s">
        <v>693</v>
      </c>
      <c r="J4503" t="s">
        <v>174</v>
      </c>
      <c r="K4503" t="s">
        <v>893</v>
      </c>
      <c r="O4503">
        <v>0</v>
      </c>
      <c r="U4503" t="s">
        <v>81</v>
      </c>
    </row>
    <row r="4504" spans="1:21" x14ac:dyDescent="0.25">
      <c r="A4504" s="33">
        <v>4525</v>
      </c>
      <c r="B4504" s="24">
        <v>44284</v>
      </c>
      <c r="C4504" t="s">
        <v>39</v>
      </c>
      <c r="D4504" t="s">
        <v>41</v>
      </c>
      <c r="E4504">
        <v>2000721405</v>
      </c>
      <c r="F4504">
        <v>500</v>
      </c>
      <c r="G4504">
        <v>60</v>
      </c>
      <c r="H4504">
        <v>0</v>
      </c>
      <c r="I4504" t="s">
        <v>706</v>
      </c>
      <c r="J4504" t="s">
        <v>203</v>
      </c>
      <c r="K4504" t="s">
        <v>639</v>
      </c>
      <c r="O4504">
        <v>0</v>
      </c>
      <c r="U4504" t="s">
        <v>81</v>
      </c>
    </row>
    <row r="4505" spans="1:21" x14ac:dyDescent="0.25">
      <c r="A4505" s="33">
        <v>4526</v>
      </c>
      <c r="B4505" s="24">
        <v>44284</v>
      </c>
      <c r="C4505" t="s">
        <v>39</v>
      </c>
      <c r="D4505" t="s">
        <v>41</v>
      </c>
      <c r="E4505">
        <v>2000721482</v>
      </c>
      <c r="F4505">
        <v>400</v>
      </c>
      <c r="G4505">
        <v>130</v>
      </c>
      <c r="H4505">
        <v>0</v>
      </c>
      <c r="I4505" t="s">
        <v>706</v>
      </c>
      <c r="J4505" t="s">
        <v>203</v>
      </c>
      <c r="K4505" t="s">
        <v>891</v>
      </c>
      <c r="O4505">
        <v>0</v>
      </c>
      <c r="U4505" t="s">
        <v>81</v>
      </c>
    </row>
    <row r="4506" spans="1:21" x14ac:dyDescent="0.25">
      <c r="A4506" s="33">
        <v>4527</v>
      </c>
      <c r="B4506" s="24">
        <v>44284</v>
      </c>
      <c r="C4506" t="s">
        <v>39</v>
      </c>
      <c r="D4506" t="s">
        <v>41</v>
      </c>
      <c r="E4506">
        <v>2000721302</v>
      </c>
      <c r="F4506">
        <v>800</v>
      </c>
      <c r="G4506">
        <v>150</v>
      </c>
      <c r="H4506">
        <v>0</v>
      </c>
      <c r="I4506" t="s">
        <v>706</v>
      </c>
      <c r="J4506" t="s">
        <v>203</v>
      </c>
      <c r="K4506" t="s">
        <v>785</v>
      </c>
      <c r="O4506">
        <v>0</v>
      </c>
      <c r="U4506" t="s">
        <v>81</v>
      </c>
    </row>
    <row r="4507" spans="1:21" x14ac:dyDescent="0.25">
      <c r="A4507" s="33">
        <v>4528</v>
      </c>
      <c r="B4507" s="24">
        <v>44284</v>
      </c>
      <c r="C4507" t="s">
        <v>39</v>
      </c>
      <c r="D4507" t="s">
        <v>41</v>
      </c>
      <c r="E4507">
        <v>2000721483</v>
      </c>
      <c r="F4507">
        <v>600</v>
      </c>
      <c r="G4507">
        <v>60</v>
      </c>
      <c r="H4507">
        <v>0</v>
      </c>
      <c r="I4507" t="s">
        <v>706</v>
      </c>
      <c r="J4507" t="s">
        <v>203</v>
      </c>
      <c r="K4507" t="s">
        <v>891</v>
      </c>
      <c r="O4507">
        <v>0</v>
      </c>
      <c r="U4507" t="s">
        <v>81</v>
      </c>
    </row>
    <row r="4508" spans="1:21" x14ac:dyDescent="0.25">
      <c r="A4508" s="33">
        <v>4529</v>
      </c>
      <c r="B4508" s="24">
        <v>44284</v>
      </c>
      <c r="C4508" t="s">
        <v>39</v>
      </c>
      <c r="D4508" t="s">
        <v>41</v>
      </c>
      <c r="E4508">
        <v>2000720683</v>
      </c>
      <c r="F4508">
        <v>1500</v>
      </c>
      <c r="G4508">
        <v>200</v>
      </c>
      <c r="H4508">
        <v>0</v>
      </c>
      <c r="I4508" t="s">
        <v>198</v>
      </c>
      <c r="J4508" t="s">
        <v>645</v>
      </c>
      <c r="K4508" t="s">
        <v>756</v>
      </c>
      <c r="O4508">
        <v>0</v>
      </c>
      <c r="U4508" t="s">
        <v>81</v>
      </c>
    </row>
    <row r="4509" spans="1:21" x14ac:dyDescent="0.25">
      <c r="A4509" s="33">
        <v>4530</v>
      </c>
      <c r="B4509" s="24">
        <v>44284</v>
      </c>
      <c r="C4509" t="s">
        <v>39</v>
      </c>
      <c r="D4509" t="s">
        <v>41</v>
      </c>
      <c r="E4509">
        <v>2000721376</v>
      </c>
      <c r="F4509">
        <v>4220</v>
      </c>
      <c r="G4509">
        <v>240</v>
      </c>
      <c r="H4509">
        <v>0</v>
      </c>
      <c r="I4509" t="s">
        <v>198</v>
      </c>
      <c r="J4509" t="s">
        <v>199</v>
      </c>
      <c r="K4509" t="s">
        <v>660</v>
      </c>
      <c r="O4509">
        <v>0</v>
      </c>
      <c r="U4509" t="s">
        <v>81</v>
      </c>
    </row>
    <row r="4510" spans="1:21" x14ac:dyDescent="0.25">
      <c r="A4510" s="33">
        <v>4531</v>
      </c>
      <c r="B4510" s="24">
        <v>44284</v>
      </c>
      <c r="C4510" t="s">
        <v>39</v>
      </c>
      <c r="D4510" t="s">
        <v>41</v>
      </c>
      <c r="E4510">
        <v>2000721740</v>
      </c>
      <c r="F4510">
        <v>130</v>
      </c>
      <c r="G4510">
        <v>20</v>
      </c>
      <c r="H4510">
        <v>0</v>
      </c>
      <c r="I4510" t="s">
        <v>198</v>
      </c>
      <c r="J4510" t="s">
        <v>202</v>
      </c>
      <c r="K4510" t="s">
        <v>832</v>
      </c>
      <c r="O4510">
        <v>0</v>
      </c>
      <c r="U4510" t="s">
        <v>81</v>
      </c>
    </row>
    <row r="4511" spans="1:21" x14ac:dyDescent="0.25">
      <c r="A4511" s="33">
        <v>4532</v>
      </c>
      <c r="B4511" s="24">
        <v>44284</v>
      </c>
      <c r="C4511" t="s">
        <v>39</v>
      </c>
      <c r="D4511" t="s">
        <v>41</v>
      </c>
      <c r="E4511">
        <v>2000720945</v>
      </c>
      <c r="F4511">
        <v>3216</v>
      </c>
      <c r="G4511">
        <v>415</v>
      </c>
      <c r="H4511">
        <v>0</v>
      </c>
      <c r="I4511" t="s">
        <v>198</v>
      </c>
      <c r="J4511" t="s">
        <v>203</v>
      </c>
      <c r="K4511" t="s">
        <v>788</v>
      </c>
      <c r="O4511">
        <v>0</v>
      </c>
      <c r="U4511" t="s">
        <v>81</v>
      </c>
    </row>
    <row r="4512" spans="1:21" x14ac:dyDescent="0.25">
      <c r="A4512" s="33">
        <v>4533</v>
      </c>
      <c r="B4512" s="24">
        <v>44284</v>
      </c>
      <c r="C4512" t="s">
        <v>39</v>
      </c>
      <c r="D4512" t="s">
        <v>41</v>
      </c>
      <c r="E4512">
        <v>2000721519</v>
      </c>
      <c r="F4512">
        <v>1808</v>
      </c>
      <c r="G4512">
        <v>1407</v>
      </c>
      <c r="H4512">
        <v>0</v>
      </c>
      <c r="I4512" t="s">
        <v>198</v>
      </c>
      <c r="J4512" t="s">
        <v>203</v>
      </c>
      <c r="K4512" t="s">
        <v>788</v>
      </c>
      <c r="O4512">
        <v>0</v>
      </c>
      <c r="T4512" s="62"/>
      <c r="U4512" t="s">
        <v>81</v>
      </c>
    </row>
    <row r="4513" spans="1:21" x14ac:dyDescent="0.25">
      <c r="A4513" s="33">
        <v>4534</v>
      </c>
      <c r="B4513" s="24">
        <v>44284</v>
      </c>
      <c r="C4513" t="s">
        <v>39</v>
      </c>
      <c r="D4513" t="s">
        <v>41</v>
      </c>
      <c r="E4513">
        <v>2000720897</v>
      </c>
      <c r="F4513">
        <v>1610</v>
      </c>
      <c r="G4513">
        <v>200</v>
      </c>
      <c r="H4513">
        <v>0</v>
      </c>
      <c r="I4513" t="s">
        <v>198</v>
      </c>
      <c r="J4513" t="s">
        <v>172</v>
      </c>
      <c r="K4513" t="s">
        <v>725</v>
      </c>
      <c r="O4513">
        <v>0</v>
      </c>
      <c r="U4513" t="s">
        <v>81</v>
      </c>
    </row>
    <row r="4514" spans="1:21" x14ac:dyDescent="0.25">
      <c r="A4514" s="33">
        <v>4535</v>
      </c>
      <c r="B4514" s="24">
        <v>44284</v>
      </c>
      <c r="C4514" t="s">
        <v>39</v>
      </c>
      <c r="D4514" t="s">
        <v>41</v>
      </c>
      <c r="E4514">
        <v>2000721495</v>
      </c>
      <c r="F4514">
        <v>1000</v>
      </c>
      <c r="G4514">
        <v>200</v>
      </c>
      <c r="H4514">
        <v>0</v>
      </c>
      <c r="I4514" t="s">
        <v>198</v>
      </c>
      <c r="J4514" t="s">
        <v>196</v>
      </c>
      <c r="K4514" t="s">
        <v>682</v>
      </c>
      <c r="O4514">
        <v>0</v>
      </c>
      <c r="U4514" t="s">
        <v>81</v>
      </c>
    </row>
    <row r="4515" spans="1:21" x14ac:dyDescent="0.25">
      <c r="A4515" s="33">
        <v>4536</v>
      </c>
      <c r="B4515" s="24">
        <v>44284</v>
      </c>
      <c r="C4515" t="s">
        <v>39</v>
      </c>
      <c r="D4515" t="s">
        <v>41</v>
      </c>
      <c r="E4515">
        <v>2000721494</v>
      </c>
      <c r="F4515">
        <v>1000</v>
      </c>
      <c r="G4515">
        <v>200</v>
      </c>
      <c r="H4515">
        <v>0</v>
      </c>
      <c r="I4515" t="s">
        <v>198</v>
      </c>
      <c r="J4515" t="s">
        <v>196</v>
      </c>
      <c r="K4515" t="s">
        <v>684</v>
      </c>
      <c r="O4515">
        <v>0</v>
      </c>
      <c r="U4515" t="s">
        <v>81</v>
      </c>
    </row>
    <row r="4516" spans="1:21" x14ac:dyDescent="0.25">
      <c r="A4516" s="33">
        <v>4537</v>
      </c>
      <c r="B4516" s="24">
        <v>44284</v>
      </c>
      <c r="C4516" t="s">
        <v>39</v>
      </c>
      <c r="D4516" t="s">
        <v>41</v>
      </c>
      <c r="E4516">
        <v>2000721615</v>
      </c>
      <c r="F4516">
        <v>300</v>
      </c>
      <c r="G4516">
        <v>90</v>
      </c>
      <c r="H4516">
        <v>0</v>
      </c>
      <c r="I4516" t="s">
        <v>184</v>
      </c>
      <c r="J4516" t="s">
        <v>170</v>
      </c>
      <c r="K4516" t="s">
        <v>171</v>
      </c>
      <c r="O4516">
        <v>0</v>
      </c>
      <c r="U4516" t="s">
        <v>81</v>
      </c>
    </row>
    <row r="4517" spans="1:21" x14ac:dyDescent="0.25">
      <c r="A4517" s="33">
        <v>4538</v>
      </c>
      <c r="B4517" s="24">
        <v>44284</v>
      </c>
      <c r="C4517" t="s">
        <v>39</v>
      </c>
      <c r="D4517" t="s">
        <v>41</v>
      </c>
      <c r="E4517">
        <v>2000721405</v>
      </c>
      <c r="F4517">
        <v>500</v>
      </c>
      <c r="G4517">
        <v>102</v>
      </c>
      <c r="H4517">
        <v>0</v>
      </c>
      <c r="I4517" t="s">
        <v>184</v>
      </c>
      <c r="J4517" t="s">
        <v>203</v>
      </c>
      <c r="K4517" t="s">
        <v>639</v>
      </c>
      <c r="O4517">
        <v>0</v>
      </c>
      <c r="U4517" t="s">
        <v>81</v>
      </c>
    </row>
    <row r="4518" spans="1:21" x14ac:dyDescent="0.25">
      <c r="A4518" s="33">
        <v>4539</v>
      </c>
      <c r="B4518" s="24">
        <v>44284</v>
      </c>
      <c r="C4518" t="s">
        <v>39</v>
      </c>
      <c r="D4518" t="s">
        <v>41</v>
      </c>
      <c r="E4518">
        <v>2000721325</v>
      </c>
      <c r="F4518">
        <v>350</v>
      </c>
      <c r="G4518">
        <v>40</v>
      </c>
      <c r="H4518">
        <v>0</v>
      </c>
      <c r="I4518" t="s">
        <v>184</v>
      </c>
      <c r="J4518" t="s">
        <v>745</v>
      </c>
      <c r="K4518" t="s">
        <v>836</v>
      </c>
      <c r="O4518">
        <v>0</v>
      </c>
      <c r="U4518" t="s">
        <v>81</v>
      </c>
    </row>
    <row r="4519" spans="1:21" x14ac:dyDescent="0.25">
      <c r="A4519" s="33">
        <v>4540</v>
      </c>
      <c r="B4519" s="24">
        <v>44284</v>
      </c>
      <c r="C4519" t="s">
        <v>39</v>
      </c>
      <c r="D4519" t="s">
        <v>41</v>
      </c>
      <c r="E4519">
        <v>2000721482</v>
      </c>
      <c r="F4519">
        <v>400</v>
      </c>
      <c r="G4519">
        <v>150</v>
      </c>
      <c r="H4519">
        <v>0</v>
      </c>
      <c r="I4519" t="s">
        <v>184</v>
      </c>
      <c r="J4519" t="s">
        <v>203</v>
      </c>
      <c r="K4519" t="s">
        <v>891</v>
      </c>
      <c r="O4519">
        <v>0</v>
      </c>
      <c r="U4519" t="s">
        <v>81</v>
      </c>
    </row>
    <row r="4520" spans="1:21" x14ac:dyDescent="0.25">
      <c r="A4520" s="33">
        <v>4541</v>
      </c>
      <c r="B4520" s="24">
        <v>44284</v>
      </c>
      <c r="C4520" t="s">
        <v>39</v>
      </c>
      <c r="D4520" t="s">
        <v>41</v>
      </c>
      <c r="E4520">
        <v>2000721615</v>
      </c>
      <c r="F4520">
        <v>300</v>
      </c>
      <c r="G4520">
        <v>45</v>
      </c>
      <c r="H4520">
        <v>0</v>
      </c>
      <c r="I4520" t="s">
        <v>696</v>
      </c>
      <c r="J4520" t="s">
        <v>170</v>
      </c>
      <c r="K4520" t="s">
        <v>171</v>
      </c>
      <c r="O4520">
        <v>0</v>
      </c>
      <c r="U4520" t="s">
        <v>81</v>
      </c>
    </row>
    <row r="4521" spans="1:21" x14ac:dyDescent="0.25">
      <c r="A4521" s="33">
        <v>4542</v>
      </c>
      <c r="B4521" s="24">
        <v>44284</v>
      </c>
      <c r="C4521" t="s">
        <v>39</v>
      </c>
      <c r="D4521" t="s">
        <v>41</v>
      </c>
      <c r="E4521">
        <v>2000721591</v>
      </c>
      <c r="F4521">
        <v>360</v>
      </c>
      <c r="G4521">
        <v>270</v>
      </c>
      <c r="H4521">
        <v>0</v>
      </c>
      <c r="I4521" t="s">
        <v>696</v>
      </c>
      <c r="J4521" t="s">
        <v>698</v>
      </c>
      <c r="K4521" t="s">
        <v>699</v>
      </c>
      <c r="O4521">
        <v>0</v>
      </c>
      <c r="U4521" t="s">
        <v>81</v>
      </c>
    </row>
    <row r="4522" spans="1:21" x14ac:dyDescent="0.25">
      <c r="A4522" s="33">
        <v>4543</v>
      </c>
      <c r="B4522" s="24">
        <v>44284</v>
      </c>
      <c r="C4522" t="s">
        <v>39</v>
      </c>
      <c r="D4522" t="s">
        <v>41</v>
      </c>
      <c r="E4522">
        <v>2000721732</v>
      </c>
      <c r="F4522">
        <v>600</v>
      </c>
      <c r="G4522">
        <v>160</v>
      </c>
      <c r="H4522">
        <v>0</v>
      </c>
      <c r="I4522" t="s">
        <v>696</v>
      </c>
      <c r="J4522" t="s">
        <v>174</v>
      </c>
      <c r="K4522" t="s">
        <v>188</v>
      </c>
      <c r="O4522">
        <v>0</v>
      </c>
      <c r="U4522" t="s">
        <v>81</v>
      </c>
    </row>
    <row r="4523" spans="1:21" x14ac:dyDescent="0.25">
      <c r="A4523" s="33">
        <v>4544</v>
      </c>
      <c r="B4523" s="24">
        <v>44284</v>
      </c>
      <c r="C4523" t="s">
        <v>39</v>
      </c>
      <c r="D4523" t="s">
        <v>41</v>
      </c>
      <c r="E4523">
        <v>2000721615</v>
      </c>
      <c r="F4523">
        <v>300</v>
      </c>
      <c r="G4523">
        <v>90</v>
      </c>
      <c r="H4523">
        <v>0</v>
      </c>
      <c r="I4523" t="s">
        <v>183</v>
      </c>
      <c r="J4523" t="s">
        <v>170</v>
      </c>
      <c r="K4523" t="s">
        <v>171</v>
      </c>
      <c r="O4523">
        <v>0</v>
      </c>
      <c r="U4523" t="s">
        <v>81</v>
      </c>
    </row>
    <row r="4524" spans="1:21" x14ac:dyDescent="0.25">
      <c r="A4524" s="33">
        <v>4545</v>
      </c>
      <c r="B4524" s="24">
        <v>44284</v>
      </c>
      <c r="C4524" t="s">
        <v>39</v>
      </c>
      <c r="D4524" t="s">
        <v>41</v>
      </c>
      <c r="E4524">
        <v>2000718323</v>
      </c>
      <c r="F4524">
        <v>680</v>
      </c>
      <c r="G4524">
        <v>1</v>
      </c>
      <c r="H4524">
        <v>0</v>
      </c>
      <c r="I4524" t="s">
        <v>183</v>
      </c>
      <c r="J4524" t="s">
        <v>174</v>
      </c>
      <c r="K4524" t="s">
        <v>186</v>
      </c>
      <c r="O4524">
        <v>0</v>
      </c>
      <c r="U4524" t="s">
        <v>81</v>
      </c>
    </row>
    <row r="4525" spans="1:21" x14ac:dyDescent="0.25">
      <c r="A4525" s="33">
        <v>4546</v>
      </c>
      <c r="B4525" s="24">
        <v>44284</v>
      </c>
      <c r="C4525" t="s">
        <v>39</v>
      </c>
      <c r="D4525" t="s">
        <v>41</v>
      </c>
      <c r="E4525">
        <v>2000721545</v>
      </c>
      <c r="F4525">
        <v>760</v>
      </c>
      <c r="G4525">
        <v>40</v>
      </c>
      <c r="H4525">
        <v>0</v>
      </c>
      <c r="I4525" t="s">
        <v>183</v>
      </c>
      <c r="J4525" t="s">
        <v>174</v>
      </c>
      <c r="K4525" t="s">
        <v>186</v>
      </c>
      <c r="O4525">
        <v>0</v>
      </c>
      <c r="U4525" t="s">
        <v>81</v>
      </c>
    </row>
    <row r="4526" spans="1:21" x14ac:dyDescent="0.25">
      <c r="A4526" s="33">
        <v>4547</v>
      </c>
      <c r="B4526" s="24">
        <v>44284</v>
      </c>
      <c r="C4526" t="s">
        <v>39</v>
      </c>
      <c r="D4526" t="s">
        <v>41</v>
      </c>
      <c r="E4526">
        <v>2000721372</v>
      </c>
      <c r="F4526">
        <v>2450</v>
      </c>
      <c r="G4526">
        <v>480</v>
      </c>
      <c r="H4526">
        <v>0</v>
      </c>
      <c r="I4526" t="s">
        <v>183</v>
      </c>
      <c r="J4526" t="s">
        <v>203</v>
      </c>
      <c r="K4526" t="s">
        <v>640</v>
      </c>
      <c r="O4526">
        <v>0</v>
      </c>
      <c r="U4526" t="s">
        <v>81</v>
      </c>
    </row>
    <row r="4527" spans="1:21" x14ac:dyDescent="0.25">
      <c r="A4527" s="33">
        <v>4548</v>
      </c>
      <c r="B4527" s="24">
        <v>44284</v>
      </c>
      <c r="C4527" t="s">
        <v>39</v>
      </c>
      <c r="D4527" t="s">
        <v>41</v>
      </c>
      <c r="E4527">
        <v>2000721734</v>
      </c>
      <c r="F4527">
        <v>320</v>
      </c>
      <c r="G4527">
        <v>80</v>
      </c>
      <c r="H4527">
        <v>0</v>
      </c>
      <c r="I4527" t="s">
        <v>183</v>
      </c>
      <c r="J4527" t="s">
        <v>174</v>
      </c>
      <c r="K4527" t="s">
        <v>877</v>
      </c>
      <c r="O4527">
        <v>0</v>
      </c>
      <c r="U4527" t="s">
        <v>81</v>
      </c>
    </row>
    <row r="4528" spans="1:21" x14ac:dyDescent="0.25">
      <c r="A4528" s="33">
        <v>4549</v>
      </c>
      <c r="B4528" s="24">
        <v>44284</v>
      </c>
      <c r="C4528" t="s">
        <v>39</v>
      </c>
      <c r="D4528" t="s">
        <v>41</v>
      </c>
      <c r="E4528">
        <v>2000721405</v>
      </c>
      <c r="F4528">
        <v>500</v>
      </c>
      <c r="G4528">
        <v>120</v>
      </c>
      <c r="H4528">
        <v>0</v>
      </c>
      <c r="I4528" t="s">
        <v>183</v>
      </c>
      <c r="J4528" t="s">
        <v>203</v>
      </c>
      <c r="K4528" t="s">
        <v>639</v>
      </c>
      <c r="O4528">
        <v>0</v>
      </c>
      <c r="U4528" t="s">
        <v>81</v>
      </c>
    </row>
    <row r="4529" spans="1:21" x14ac:dyDescent="0.25">
      <c r="A4529" s="33">
        <v>4550</v>
      </c>
      <c r="B4529" s="24">
        <v>44284</v>
      </c>
      <c r="C4529" t="s">
        <v>39</v>
      </c>
      <c r="D4529" t="s">
        <v>41</v>
      </c>
      <c r="E4529">
        <v>2000721302</v>
      </c>
      <c r="F4529">
        <v>800</v>
      </c>
      <c r="G4529">
        <v>150</v>
      </c>
      <c r="H4529">
        <v>0</v>
      </c>
      <c r="I4529" t="s">
        <v>183</v>
      </c>
      <c r="J4529" t="s">
        <v>203</v>
      </c>
      <c r="K4529" t="s">
        <v>785</v>
      </c>
      <c r="O4529">
        <v>0</v>
      </c>
      <c r="U4529" t="s">
        <v>81</v>
      </c>
    </row>
    <row r="4530" spans="1:21" x14ac:dyDescent="0.25">
      <c r="A4530" s="33">
        <v>4551</v>
      </c>
      <c r="B4530" s="24">
        <v>44284</v>
      </c>
      <c r="C4530" t="s">
        <v>39</v>
      </c>
      <c r="D4530" t="s">
        <v>41</v>
      </c>
      <c r="E4530">
        <v>2000721482</v>
      </c>
      <c r="F4530">
        <v>400</v>
      </c>
      <c r="G4530">
        <v>120</v>
      </c>
      <c r="H4530">
        <v>0</v>
      </c>
      <c r="I4530" t="s">
        <v>183</v>
      </c>
      <c r="J4530" t="s">
        <v>203</v>
      </c>
      <c r="K4530" t="s">
        <v>891</v>
      </c>
      <c r="O4530">
        <v>0</v>
      </c>
      <c r="U4530" t="s">
        <v>81</v>
      </c>
    </row>
    <row r="4531" spans="1:21" x14ac:dyDescent="0.25">
      <c r="A4531" s="33">
        <v>4552</v>
      </c>
      <c r="B4531" s="24">
        <v>44284</v>
      </c>
      <c r="C4531" t="s">
        <v>39</v>
      </c>
      <c r="D4531" t="s">
        <v>51</v>
      </c>
      <c r="E4531">
        <v>2000721071</v>
      </c>
      <c r="F4531">
        <v>620</v>
      </c>
      <c r="G4531">
        <v>2</v>
      </c>
      <c r="H4531">
        <v>0</v>
      </c>
      <c r="I4531" t="s">
        <v>706</v>
      </c>
      <c r="J4531" t="s">
        <v>676</v>
      </c>
      <c r="K4531" t="s">
        <v>677</v>
      </c>
      <c r="O4531">
        <v>0</v>
      </c>
      <c r="U4531" t="s">
        <v>81</v>
      </c>
    </row>
    <row r="4532" spans="1:21" ht="30" x14ac:dyDescent="0.25">
      <c r="A4532" s="33">
        <v>4553</v>
      </c>
      <c r="B4532" s="24">
        <v>44284</v>
      </c>
      <c r="C4532" t="s">
        <v>39</v>
      </c>
      <c r="D4532" t="s">
        <v>51</v>
      </c>
      <c r="E4532">
        <v>2000721457</v>
      </c>
      <c r="F4532">
        <v>185</v>
      </c>
      <c r="G4532">
        <v>10</v>
      </c>
      <c r="H4532">
        <v>0</v>
      </c>
      <c r="I4532" t="s">
        <v>706</v>
      </c>
      <c r="J4532" t="s">
        <v>669</v>
      </c>
      <c r="K4532" t="s">
        <v>810</v>
      </c>
      <c r="O4532">
        <v>0</v>
      </c>
      <c r="T4532" s="62" t="s">
        <v>723</v>
      </c>
      <c r="U4532" t="s">
        <v>81</v>
      </c>
    </row>
    <row r="4533" spans="1:21" ht="30" x14ac:dyDescent="0.25">
      <c r="A4533" s="33">
        <v>4554</v>
      </c>
      <c r="B4533" s="24">
        <v>44284</v>
      </c>
      <c r="C4533" t="s">
        <v>39</v>
      </c>
      <c r="D4533" t="s">
        <v>51</v>
      </c>
      <c r="E4533">
        <v>2000721454</v>
      </c>
      <c r="F4533">
        <v>95</v>
      </c>
      <c r="G4533">
        <v>95</v>
      </c>
      <c r="H4533">
        <v>0</v>
      </c>
      <c r="I4533" t="s">
        <v>706</v>
      </c>
      <c r="J4533" t="s">
        <v>669</v>
      </c>
      <c r="K4533" t="s">
        <v>670</v>
      </c>
      <c r="O4533">
        <v>0</v>
      </c>
      <c r="T4533" s="62" t="s">
        <v>723</v>
      </c>
      <c r="U4533" t="s">
        <v>81</v>
      </c>
    </row>
    <row r="4534" spans="1:21" x14ac:dyDescent="0.25">
      <c r="A4534" s="33">
        <v>4555</v>
      </c>
      <c r="B4534" s="24">
        <v>44284</v>
      </c>
      <c r="C4534" t="s">
        <v>39</v>
      </c>
      <c r="D4534" t="s">
        <v>51</v>
      </c>
      <c r="E4534">
        <v>2000721078</v>
      </c>
      <c r="F4534">
        <v>620</v>
      </c>
      <c r="G4534">
        <v>2</v>
      </c>
      <c r="H4534">
        <v>0</v>
      </c>
      <c r="I4534" t="s">
        <v>706</v>
      </c>
      <c r="J4534" t="s">
        <v>678</v>
      </c>
      <c r="K4534" t="s">
        <v>679</v>
      </c>
      <c r="O4534">
        <v>0</v>
      </c>
      <c r="U4534" t="s">
        <v>81</v>
      </c>
    </row>
    <row r="4535" spans="1:21" x14ac:dyDescent="0.25">
      <c r="A4535" s="33">
        <v>4556</v>
      </c>
      <c r="B4535" s="24">
        <v>44284</v>
      </c>
      <c r="C4535" t="s">
        <v>39</v>
      </c>
      <c r="D4535" t="s">
        <v>51</v>
      </c>
      <c r="E4535">
        <v>2000720166</v>
      </c>
      <c r="F4535">
        <v>620</v>
      </c>
      <c r="G4535">
        <v>2</v>
      </c>
      <c r="H4535">
        <v>0</v>
      </c>
      <c r="I4535" t="s">
        <v>706</v>
      </c>
      <c r="J4535" t="s">
        <v>676</v>
      </c>
      <c r="K4535" t="s">
        <v>874</v>
      </c>
      <c r="O4535">
        <v>0</v>
      </c>
      <c r="U4535" t="s">
        <v>81</v>
      </c>
    </row>
    <row r="4536" spans="1:21" x14ac:dyDescent="0.25">
      <c r="A4536" s="33">
        <v>4557</v>
      </c>
      <c r="B4536" s="24">
        <v>44284</v>
      </c>
      <c r="C4536" t="s">
        <v>39</v>
      </c>
      <c r="D4536" t="s">
        <v>51</v>
      </c>
      <c r="E4536">
        <v>2000718987</v>
      </c>
      <c r="F4536">
        <v>185</v>
      </c>
      <c r="G4536">
        <v>2</v>
      </c>
      <c r="H4536">
        <v>0</v>
      </c>
      <c r="I4536" t="s">
        <v>706</v>
      </c>
      <c r="J4536" t="s">
        <v>669</v>
      </c>
      <c r="K4536" t="s">
        <v>755</v>
      </c>
      <c r="O4536">
        <v>0</v>
      </c>
      <c r="U4536" t="s">
        <v>81</v>
      </c>
    </row>
    <row r="4537" spans="1:21" x14ac:dyDescent="0.25">
      <c r="A4537" s="33">
        <v>4558</v>
      </c>
      <c r="B4537" s="24">
        <v>44284</v>
      </c>
      <c r="C4537" t="s">
        <v>39</v>
      </c>
      <c r="D4537" t="s">
        <v>51</v>
      </c>
      <c r="E4537">
        <v>2000721477</v>
      </c>
      <c r="F4537">
        <v>480</v>
      </c>
      <c r="G4537">
        <v>96</v>
      </c>
      <c r="H4537">
        <v>0</v>
      </c>
      <c r="I4537" t="s">
        <v>706</v>
      </c>
      <c r="J4537" t="s">
        <v>709</v>
      </c>
      <c r="K4537" t="s">
        <v>710</v>
      </c>
      <c r="O4537">
        <v>0</v>
      </c>
      <c r="U4537" t="s">
        <v>81</v>
      </c>
    </row>
    <row r="4538" spans="1:21" x14ac:dyDescent="0.25">
      <c r="A4538" s="33">
        <v>4559</v>
      </c>
      <c r="B4538" s="24">
        <v>44284</v>
      </c>
      <c r="C4538" t="s">
        <v>39</v>
      </c>
      <c r="D4538" t="s">
        <v>51</v>
      </c>
      <c r="E4538">
        <v>2000717693</v>
      </c>
      <c r="F4538">
        <v>130</v>
      </c>
      <c r="G4538">
        <v>1</v>
      </c>
      <c r="H4538">
        <v>0</v>
      </c>
      <c r="I4538" t="s">
        <v>706</v>
      </c>
      <c r="J4538" t="s">
        <v>669</v>
      </c>
      <c r="K4538" t="s">
        <v>903</v>
      </c>
      <c r="O4538">
        <v>0</v>
      </c>
      <c r="U4538" t="s">
        <v>81</v>
      </c>
    </row>
    <row r="4539" spans="1:21" x14ac:dyDescent="0.25">
      <c r="A4539" s="33">
        <v>4560</v>
      </c>
      <c r="B4539" s="24">
        <v>44284</v>
      </c>
      <c r="C4539" t="s">
        <v>39</v>
      </c>
      <c r="D4539" t="s">
        <v>51</v>
      </c>
      <c r="E4539">
        <v>2000713483</v>
      </c>
      <c r="F4539">
        <v>270</v>
      </c>
      <c r="G4539">
        <v>1</v>
      </c>
      <c r="H4539">
        <v>0</v>
      </c>
      <c r="I4539" t="s">
        <v>706</v>
      </c>
      <c r="J4539" t="s">
        <v>669</v>
      </c>
      <c r="K4539" t="s">
        <v>801</v>
      </c>
      <c r="O4539">
        <v>0</v>
      </c>
      <c r="U4539" t="s">
        <v>81</v>
      </c>
    </row>
    <row r="4540" spans="1:21" x14ac:dyDescent="0.25">
      <c r="A4540" s="33">
        <v>4561</v>
      </c>
      <c r="B4540" s="24">
        <v>44284</v>
      </c>
      <c r="C4540" t="s">
        <v>39</v>
      </c>
      <c r="D4540" t="s">
        <v>51</v>
      </c>
      <c r="E4540">
        <v>2000718017</v>
      </c>
      <c r="F4540">
        <v>160</v>
      </c>
      <c r="G4540">
        <v>55</v>
      </c>
      <c r="H4540">
        <v>0</v>
      </c>
      <c r="I4540" t="s">
        <v>706</v>
      </c>
      <c r="J4540" t="s">
        <v>669</v>
      </c>
      <c r="K4540" t="s">
        <v>801</v>
      </c>
      <c r="O4540">
        <v>0</v>
      </c>
      <c r="U4540" t="s">
        <v>81</v>
      </c>
    </row>
    <row r="4541" spans="1:21" x14ac:dyDescent="0.25">
      <c r="A4541" s="33">
        <v>4562</v>
      </c>
      <c r="B4541" s="24">
        <v>44284</v>
      </c>
      <c r="C4541" t="s">
        <v>39</v>
      </c>
      <c r="D4541" t="s">
        <v>51</v>
      </c>
      <c r="E4541">
        <v>2000721459</v>
      </c>
      <c r="F4541">
        <v>60</v>
      </c>
      <c r="G4541">
        <v>30</v>
      </c>
      <c r="H4541">
        <v>0</v>
      </c>
      <c r="I4541" t="s">
        <v>706</v>
      </c>
      <c r="J4541" t="s">
        <v>667</v>
      </c>
      <c r="K4541" t="s">
        <v>827</v>
      </c>
      <c r="O4541">
        <v>0</v>
      </c>
      <c r="U4541" t="s">
        <v>81</v>
      </c>
    </row>
    <row r="4542" spans="1:21" x14ac:dyDescent="0.25">
      <c r="A4542" s="33">
        <v>4563</v>
      </c>
      <c r="B4542" s="24">
        <v>44284</v>
      </c>
      <c r="C4542" t="s">
        <v>181</v>
      </c>
      <c r="D4542" t="s">
        <v>41</v>
      </c>
      <c r="E4542">
        <v>2000721496</v>
      </c>
      <c r="F4542">
        <v>1000</v>
      </c>
      <c r="G4542">
        <v>150</v>
      </c>
      <c r="H4542">
        <v>0</v>
      </c>
      <c r="I4542" t="s">
        <v>1019</v>
      </c>
      <c r="J4542" t="s">
        <v>196</v>
      </c>
      <c r="K4542" t="s">
        <v>685</v>
      </c>
      <c r="O4542">
        <v>0</v>
      </c>
      <c r="U4542" t="s">
        <v>81</v>
      </c>
    </row>
    <row r="4543" spans="1:21" x14ac:dyDescent="0.25">
      <c r="A4543" s="33">
        <v>4564</v>
      </c>
      <c r="B4543" s="24">
        <v>44284</v>
      </c>
      <c r="C4543" t="s">
        <v>181</v>
      </c>
      <c r="D4543" t="s">
        <v>41</v>
      </c>
      <c r="E4543">
        <v>2000721372</v>
      </c>
      <c r="F4543">
        <v>2450</v>
      </c>
      <c r="G4543">
        <v>240</v>
      </c>
      <c r="H4543">
        <v>0</v>
      </c>
      <c r="I4543" t="s">
        <v>1019</v>
      </c>
      <c r="J4543" t="s">
        <v>990</v>
      </c>
      <c r="K4543" t="s">
        <v>640</v>
      </c>
      <c r="O4543">
        <v>0</v>
      </c>
      <c r="U4543" t="s">
        <v>81</v>
      </c>
    </row>
    <row r="4544" spans="1:21" x14ac:dyDescent="0.25">
      <c r="A4544" s="33">
        <v>4565</v>
      </c>
      <c r="B4544" s="24">
        <v>44284</v>
      </c>
      <c r="C4544" t="s">
        <v>181</v>
      </c>
      <c r="D4544" t="s">
        <v>41</v>
      </c>
      <c r="E4544">
        <v>2000721347</v>
      </c>
      <c r="F4544">
        <v>200</v>
      </c>
      <c r="G4544">
        <v>200</v>
      </c>
      <c r="H4544">
        <v>0</v>
      </c>
      <c r="I4544" t="s">
        <v>1151</v>
      </c>
      <c r="J4544" t="s">
        <v>195</v>
      </c>
      <c r="K4544" t="s">
        <v>818</v>
      </c>
      <c r="O4544">
        <v>0</v>
      </c>
      <c r="U4544" t="s">
        <v>81</v>
      </c>
    </row>
    <row r="4545" spans="1:21" x14ac:dyDescent="0.25">
      <c r="A4545" s="33">
        <v>4566</v>
      </c>
      <c r="B4545" s="24">
        <v>44284</v>
      </c>
      <c r="C4545" t="s">
        <v>181</v>
      </c>
      <c r="D4545" t="s">
        <v>41</v>
      </c>
      <c r="E4545">
        <v>2000721483</v>
      </c>
      <c r="F4545">
        <v>600</v>
      </c>
      <c r="G4545">
        <v>360</v>
      </c>
      <c r="H4545">
        <v>0</v>
      </c>
      <c r="I4545" t="s">
        <v>168</v>
      </c>
      <c r="J4545" t="s">
        <v>203</v>
      </c>
      <c r="K4545" t="s">
        <v>891</v>
      </c>
      <c r="O4545">
        <v>0</v>
      </c>
      <c r="U4545" t="s">
        <v>81</v>
      </c>
    </row>
    <row r="4546" spans="1:21" x14ac:dyDescent="0.25">
      <c r="A4546" s="33">
        <v>4567</v>
      </c>
      <c r="B4546" s="24">
        <v>44284</v>
      </c>
      <c r="C4546" t="s">
        <v>181</v>
      </c>
      <c r="D4546" t="s">
        <v>41</v>
      </c>
      <c r="E4546">
        <v>2000721302</v>
      </c>
      <c r="F4546">
        <v>800</v>
      </c>
      <c r="G4546">
        <v>60</v>
      </c>
      <c r="H4546">
        <v>0</v>
      </c>
      <c r="I4546" t="s">
        <v>168</v>
      </c>
      <c r="J4546" t="s">
        <v>203</v>
      </c>
      <c r="K4546" t="s">
        <v>785</v>
      </c>
      <c r="O4546">
        <v>0</v>
      </c>
      <c r="U4546" t="s">
        <v>81</v>
      </c>
    </row>
    <row r="4547" spans="1:21" x14ac:dyDescent="0.25">
      <c r="A4547" s="33">
        <v>4568</v>
      </c>
      <c r="B4547" s="24">
        <v>44284</v>
      </c>
      <c r="C4547" t="s">
        <v>181</v>
      </c>
      <c r="D4547" t="s">
        <v>41</v>
      </c>
      <c r="E4547">
        <v>2000720618</v>
      </c>
      <c r="F4547">
        <v>720</v>
      </c>
      <c r="G4547">
        <v>5</v>
      </c>
      <c r="H4547">
        <v>0</v>
      </c>
      <c r="I4547" t="s">
        <v>168</v>
      </c>
      <c r="J4547" t="s">
        <v>203</v>
      </c>
      <c r="K4547" t="s">
        <v>639</v>
      </c>
      <c r="O4547">
        <v>0</v>
      </c>
      <c r="U4547" t="s">
        <v>81</v>
      </c>
    </row>
    <row r="4548" spans="1:21" x14ac:dyDescent="0.25">
      <c r="A4548" s="33">
        <v>4569</v>
      </c>
      <c r="B4548" s="24">
        <v>44284</v>
      </c>
      <c r="C4548" t="s">
        <v>181</v>
      </c>
      <c r="D4548" t="s">
        <v>41</v>
      </c>
      <c r="E4548">
        <v>2000721406</v>
      </c>
      <c r="F4548">
        <v>310</v>
      </c>
      <c r="G4548">
        <v>240</v>
      </c>
      <c r="H4548">
        <v>0</v>
      </c>
      <c r="I4548" t="s">
        <v>168</v>
      </c>
      <c r="J4548" t="s">
        <v>203</v>
      </c>
      <c r="K4548" t="s">
        <v>793</v>
      </c>
      <c r="O4548">
        <v>0</v>
      </c>
      <c r="U4548" t="s">
        <v>81</v>
      </c>
    </row>
    <row r="4549" spans="1:21" x14ac:dyDescent="0.25">
      <c r="A4549" s="33">
        <v>4570</v>
      </c>
      <c r="B4549" s="24">
        <v>44284</v>
      </c>
      <c r="C4549" t="s">
        <v>181</v>
      </c>
      <c r="D4549" t="s">
        <v>41</v>
      </c>
      <c r="E4549">
        <v>2000721735</v>
      </c>
      <c r="F4549">
        <v>160</v>
      </c>
      <c r="G4549">
        <v>29</v>
      </c>
      <c r="H4549">
        <v>0</v>
      </c>
      <c r="I4549" t="s">
        <v>178</v>
      </c>
      <c r="J4549" t="s">
        <v>174</v>
      </c>
      <c r="K4549" t="s">
        <v>893</v>
      </c>
      <c r="O4549">
        <v>0</v>
      </c>
      <c r="U4549" t="s">
        <v>81</v>
      </c>
    </row>
    <row r="4550" spans="1:21" x14ac:dyDescent="0.25">
      <c r="A4550" s="33">
        <v>4571</v>
      </c>
      <c r="B4550" s="24">
        <v>44284</v>
      </c>
      <c r="C4550" t="s">
        <v>181</v>
      </c>
      <c r="D4550" t="s">
        <v>41</v>
      </c>
      <c r="E4550">
        <v>2000721732</v>
      </c>
      <c r="F4550">
        <v>600</v>
      </c>
      <c r="G4550">
        <v>80</v>
      </c>
      <c r="H4550">
        <v>0</v>
      </c>
      <c r="I4550" t="s">
        <v>178</v>
      </c>
      <c r="J4550" t="s">
        <v>174</v>
      </c>
      <c r="K4550" t="s">
        <v>188</v>
      </c>
      <c r="O4550">
        <v>0</v>
      </c>
      <c r="U4550" t="s">
        <v>81</v>
      </c>
    </row>
    <row r="4551" spans="1:21" x14ac:dyDescent="0.25">
      <c r="A4551" s="33">
        <v>4572</v>
      </c>
      <c r="B4551" s="24">
        <v>44284</v>
      </c>
      <c r="C4551" t="s">
        <v>181</v>
      </c>
      <c r="D4551" t="s">
        <v>41</v>
      </c>
      <c r="E4551">
        <v>2000721733</v>
      </c>
      <c r="F4551">
        <v>440</v>
      </c>
      <c r="G4551">
        <v>1</v>
      </c>
      <c r="H4551">
        <v>0</v>
      </c>
      <c r="I4551" t="s">
        <v>178</v>
      </c>
      <c r="J4551" t="s">
        <v>174</v>
      </c>
      <c r="K4551" t="s">
        <v>735</v>
      </c>
      <c r="O4551">
        <v>0</v>
      </c>
      <c r="U4551" t="s">
        <v>81</v>
      </c>
    </row>
    <row r="4552" spans="1:21" x14ac:dyDescent="0.25">
      <c r="A4552" s="33">
        <v>4573</v>
      </c>
      <c r="B4552" s="24">
        <v>44284</v>
      </c>
      <c r="C4552" t="s">
        <v>181</v>
      </c>
      <c r="D4552" t="s">
        <v>41</v>
      </c>
      <c r="E4552">
        <v>2000720859</v>
      </c>
      <c r="F4552">
        <v>640</v>
      </c>
      <c r="G4552">
        <v>4</v>
      </c>
      <c r="H4552">
        <v>0</v>
      </c>
      <c r="I4552" t="s">
        <v>178</v>
      </c>
      <c r="J4552" t="s">
        <v>174</v>
      </c>
      <c r="K4552" t="s">
        <v>805</v>
      </c>
      <c r="O4552">
        <v>0</v>
      </c>
      <c r="U4552" t="s">
        <v>81</v>
      </c>
    </row>
    <row r="4553" spans="1:21" x14ac:dyDescent="0.25">
      <c r="A4553" s="33">
        <v>4574</v>
      </c>
      <c r="B4553" s="24">
        <v>44284</v>
      </c>
      <c r="C4553" t="s">
        <v>181</v>
      </c>
      <c r="D4553" t="s">
        <v>41</v>
      </c>
      <c r="E4553">
        <v>2000720852</v>
      </c>
      <c r="F4553">
        <v>1000</v>
      </c>
      <c r="G4553">
        <v>3</v>
      </c>
      <c r="H4553">
        <v>0</v>
      </c>
      <c r="I4553" t="s">
        <v>178</v>
      </c>
      <c r="J4553" t="s">
        <v>174</v>
      </c>
      <c r="K4553" t="s">
        <v>205</v>
      </c>
      <c r="O4553">
        <v>0</v>
      </c>
      <c r="U4553" t="s">
        <v>81</v>
      </c>
    </row>
    <row r="4554" spans="1:21" x14ac:dyDescent="0.25">
      <c r="A4554" s="33">
        <v>4575</v>
      </c>
      <c r="B4554" s="24">
        <v>44284</v>
      </c>
      <c r="C4554" t="s">
        <v>181</v>
      </c>
      <c r="D4554" t="s">
        <v>41</v>
      </c>
      <c r="E4554">
        <v>2000721726</v>
      </c>
      <c r="F4554">
        <v>470</v>
      </c>
      <c r="G4554">
        <v>2</v>
      </c>
      <c r="H4554">
        <v>0</v>
      </c>
      <c r="I4554" t="s">
        <v>178</v>
      </c>
      <c r="J4554" t="s">
        <v>174</v>
      </c>
      <c r="K4554" t="s">
        <v>662</v>
      </c>
      <c r="O4554">
        <v>0</v>
      </c>
      <c r="U4554" t="s">
        <v>81</v>
      </c>
    </row>
    <row r="4555" spans="1:21" x14ac:dyDescent="0.25">
      <c r="A4555" s="33">
        <v>4576</v>
      </c>
      <c r="B4555" s="24">
        <v>44284</v>
      </c>
      <c r="C4555" t="s">
        <v>181</v>
      </c>
      <c r="D4555" t="s">
        <v>41</v>
      </c>
      <c r="E4555">
        <v>2000720860</v>
      </c>
      <c r="F4555">
        <v>1260</v>
      </c>
      <c r="G4555">
        <v>2</v>
      </c>
      <c r="H4555">
        <v>0</v>
      </c>
      <c r="I4555" t="s">
        <v>178</v>
      </c>
      <c r="J4555" t="s">
        <v>174</v>
      </c>
      <c r="K4555" t="s">
        <v>177</v>
      </c>
      <c r="O4555">
        <v>0</v>
      </c>
      <c r="U4555" t="s">
        <v>81</v>
      </c>
    </row>
    <row r="4556" spans="1:21" x14ac:dyDescent="0.25">
      <c r="A4556" s="33">
        <v>4577</v>
      </c>
      <c r="B4556" s="24">
        <v>44284</v>
      </c>
      <c r="C4556" t="s">
        <v>181</v>
      </c>
      <c r="D4556" t="s">
        <v>41</v>
      </c>
      <c r="E4556">
        <v>2000715224</v>
      </c>
      <c r="F4556">
        <v>2460</v>
      </c>
      <c r="G4556">
        <v>6</v>
      </c>
      <c r="H4556">
        <v>0</v>
      </c>
      <c r="I4556" t="s">
        <v>178</v>
      </c>
      <c r="J4556" t="s">
        <v>170</v>
      </c>
      <c r="K4556" t="s">
        <v>899</v>
      </c>
      <c r="O4556">
        <v>0</v>
      </c>
      <c r="U4556" t="s">
        <v>81</v>
      </c>
    </row>
    <row r="4557" spans="1:21" x14ac:dyDescent="0.25">
      <c r="A4557" s="33">
        <v>4578</v>
      </c>
      <c r="B4557" s="24">
        <v>44284</v>
      </c>
      <c r="C4557" t="s">
        <v>181</v>
      </c>
      <c r="D4557" t="s">
        <v>41</v>
      </c>
      <c r="E4557">
        <v>2000713386</v>
      </c>
      <c r="F4557">
        <v>952</v>
      </c>
      <c r="G4557">
        <v>4</v>
      </c>
      <c r="H4557">
        <v>0</v>
      </c>
      <c r="I4557" t="s">
        <v>178</v>
      </c>
      <c r="J4557" t="s">
        <v>170</v>
      </c>
      <c r="K4557" t="s">
        <v>182</v>
      </c>
      <c r="O4557">
        <v>0</v>
      </c>
      <c r="U4557" t="s">
        <v>81</v>
      </c>
    </row>
    <row r="4558" spans="1:21" x14ac:dyDescent="0.25">
      <c r="A4558" s="33">
        <v>4579</v>
      </c>
      <c r="B4558" s="24">
        <v>44284</v>
      </c>
      <c r="C4558" t="s">
        <v>181</v>
      </c>
      <c r="D4558" t="s">
        <v>41</v>
      </c>
      <c r="E4558">
        <v>2000721451</v>
      </c>
      <c r="F4558">
        <v>380</v>
      </c>
      <c r="G4558">
        <v>20</v>
      </c>
      <c r="H4558">
        <v>0</v>
      </c>
      <c r="I4558" t="s">
        <v>178</v>
      </c>
      <c r="J4558" t="s">
        <v>169</v>
      </c>
      <c r="K4558" t="s">
        <v>663</v>
      </c>
      <c r="O4558">
        <v>0</v>
      </c>
      <c r="U4558" t="s">
        <v>81</v>
      </c>
    </row>
    <row r="4559" spans="1:21" x14ac:dyDescent="0.25">
      <c r="A4559" s="33">
        <v>4580</v>
      </c>
      <c r="B4559" s="24">
        <v>44284</v>
      </c>
      <c r="C4559" t="s">
        <v>181</v>
      </c>
      <c r="D4559" t="s">
        <v>41</v>
      </c>
      <c r="E4559">
        <v>2000721453</v>
      </c>
      <c r="F4559">
        <v>150</v>
      </c>
      <c r="G4559">
        <v>150</v>
      </c>
      <c r="H4559">
        <v>0</v>
      </c>
      <c r="I4559" t="s">
        <v>178</v>
      </c>
      <c r="J4559" t="s">
        <v>169</v>
      </c>
      <c r="K4559" t="s">
        <v>852</v>
      </c>
      <c r="O4559">
        <v>0</v>
      </c>
      <c r="U4559" t="s">
        <v>81</v>
      </c>
    </row>
    <row r="4560" spans="1:21" x14ac:dyDescent="0.25">
      <c r="A4560" s="33">
        <v>4581</v>
      </c>
      <c r="B4560" s="24">
        <v>44284</v>
      </c>
      <c r="C4560" t="s">
        <v>181</v>
      </c>
      <c r="D4560" t="s">
        <v>41</v>
      </c>
      <c r="E4560">
        <v>2000721569</v>
      </c>
      <c r="F4560">
        <v>950</v>
      </c>
      <c r="G4560">
        <v>60</v>
      </c>
      <c r="H4560">
        <v>0</v>
      </c>
      <c r="I4560" t="s">
        <v>178</v>
      </c>
      <c r="J4560" t="s">
        <v>169</v>
      </c>
      <c r="K4560" t="s">
        <v>664</v>
      </c>
      <c r="O4560">
        <v>0</v>
      </c>
      <c r="U4560" t="s">
        <v>81</v>
      </c>
    </row>
    <row r="4561" spans="1:21" x14ac:dyDescent="0.25">
      <c r="A4561" s="33">
        <v>4582</v>
      </c>
      <c r="B4561" s="24">
        <v>44284</v>
      </c>
      <c r="C4561" t="s">
        <v>181</v>
      </c>
      <c r="D4561" t="s">
        <v>41</v>
      </c>
      <c r="E4561">
        <v>2000721743</v>
      </c>
      <c r="F4561">
        <v>560</v>
      </c>
      <c r="G4561">
        <v>200</v>
      </c>
      <c r="H4561">
        <v>0</v>
      </c>
      <c r="I4561" t="s">
        <v>178</v>
      </c>
      <c r="J4561" t="s">
        <v>169</v>
      </c>
      <c r="K4561" t="s">
        <v>892</v>
      </c>
      <c r="O4561">
        <v>0</v>
      </c>
      <c r="U4561" t="s">
        <v>81</v>
      </c>
    </row>
    <row r="4562" spans="1:21" x14ac:dyDescent="0.25">
      <c r="A4562" s="33">
        <v>4583</v>
      </c>
      <c r="B4562" s="24">
        <v>44284</v>
      </c>
      <c r="C4562" t="s">
        <v>181</v>
      </c>
      <c r="D4562" t="s">
        <v>41</v>
      </c>
      <c r="E4562">
        <v>2000720661</v>
      </c>
      <c r="F4562">
        <v>640</v>
      </c>
      <c r="G4562">
        <v>1</v>
      </c>
      <c r="H4562">
        <v>0</v>
      </c>
      <c r="I4562" t="s">
        <v>178</v>
      </c>
      <c r="J4562" t="s">
        <v>174</v>
      </c>
      <c r="K4562" t="s">
        <v>187</v>
      </c>
      <c r="O4562">
        <v>0</v>
      </c>
      <c r="U4562" t="s">
        <v>81</v>
      </c>
    </row>
    <row r="4563" spans="1:21" x14ac:dyDescent="0.25">
      <c r="A4563" s="33">
        <v>4584</v>
      </c>
      <c r="B4563" s="24">
        <v>44284</v>
      </c>
      <c r="C4563" t="s">
        <v>181</v>
      </c>
      <c r="D4563" t="s">
        <v>41</v>
      </c>
      <c r="E4563">
        <v>2000721406</v>
      </c>
      <c r="F4563">
        <v>310</v>
      </c>
      <c r="G4563">
        <v>46</v>
      </c>
      <c r="H4563">
        <v>0</v>
      </c>
      <c r="I4563" t="s">
        <v>178</v>
      </c>
      <c r="J4563" t="s">
        <v>203</v>
      </c>
      <c r="K4563" t="s">
        <v>793</v>
      </c>
      <c r="O4563">
        <v>0</v>
      </c>
      <c r="U4563" t="s">
        <v>81</v>
      </c>
    </row>
    <row r="4564" spans="1:21" x14ac:dyDescent="0.25">
      <c r="A4564" s="33">
        <v>4585</v>
      </c>
      <c r="B4564" s="24">
        <v>44284</v>
      </c>
      <c r="C4564" t="s">
        <v>181</v>
      </c>
      <c r="D4564" t="s">
        <v>41</v>
      </c>
      <c r="E4564">
        <v>2000721732</v>
      </c>
      <c r="F4564">
        <v>600</v>
      </c>
      <c r="G4564">
        <v>80</v>
      </c>
      <c r="H4564">
        <v>0</v>
      </c>
      <c r="I4564" t="s">
        <v>1152</v>
      </c>
      <c r="J4564" t="s">
        <v>1153</v>
      </c>
      <c r="K4564" t="s">
        <v>188</v>
      </c>
      <c r="O4564">
        <v>0</v>
      </c>
      <c r="U4564" t="s">
        <v>81</v>
      </c>
    </row>
    <row r="4565" spans="1:21" x14ac:dyDescent="0.25">
      <c r="A4565" s="33">
        <v>4586</v>
      </c>
      <c r="B4565" s="24">
        <v>44284</v>
      </c>
      <c r="C4565" t="s">
        <v>181</v>
      </c>
      <c r="D4565" t="s">
        <v>41</v>
      </c>
      <c r="E4565">
        <v>2000720852</v>
      </c>
      <c r="F4565">
        <v>1000</v>
      </c>
      <c r="G4565">
        <v>7</v>
      </c>
      <c r="H4565">
        <v>0</v>
      </c>
      <c r="I4565" t="s">
        <v>1152</v>
      </c>
      <c r="J4565" t="s">
        <v>174</v>
      </c>
      <c r="K4565" t="s">
        <v>205</v>
      </c>
      <c r="O4565">
        <v>0</v>
      </c>
      <c r="U4565" t="s">
        <v>81</v>
      </c>
    </row>
    <row r="4566" spans="1:21" x14ac:dyDescent="0.25">
      <c r="A4566" s="33">
        <v>4587</v>
      </c>
      <c r="B4566" s="24">
        <v>44284</v>
      </c>
      <c r="C4566" t="s">
        <v>181</v>
      </c>
      <c r="D4566" t="s">
        <v>41</v>
      </c>
      <c r="E4566">
        <v>2000721591</v>
      </c>
      <c r="F4566">
        <v>360</v>
      </c>
      <c r="G4566">
        <v>91</v>
      </c>
      <c r="H4566">
        <v>0</v>
      </c>
      <c r="I4566" t="s">
        <v>1152</v>
      </c>
      <c r="J4566" t="s">
        <v>698</v>
      </c>
      <c r="K4566" t="s">
        <v>699</v>
      </c>
      <c r="O4566">
        <v>0</v>
      </c>
      <c r="U4566" t="s">
        <v>81</v>
      </c>
    </row>
    <row r="4567" spans="1:21" x14ac:dyDescent="0.25">
      <c r="A4567" s="33">
        <v>4588</v>
      </c>
      <c r="B4567" s="24">
        <v>44284</v>
      </c>
      <c r="C4567" t="s">
        <v>181</v>
      </c>
      <c r="D4567" t="s">
        <v>41</v>
      </c>
      <c r="E4567">
        <v>2000719270</v>
      </c>
      <c r="F4567">
        <v>450</v>
      </c>
      <c r="G4567">
        <v>6</v>
      </c>
      <c r="H4567">
        <v>0</v>
      </c>
      <c r="I4567" t="s">
        <v>1152</v>
      </c>
      <c r="J4567" t="s">
        <v>1154</v>
      </c>
      <c r="K4567" t="s">
        <v>700</v>
      </c>
      <c r="O4567">
        <v>0</v>
      </c>
      <c r="U4567" t="s">
        <v>81</v>
      </c>
    </row>
    <row r="4568" spans="1:21" x14ac:dyDescent="0.25">
      <c r="A4568" s="33">
        <v>4589</v>
      </c>
      <c r="B4568" s="24">
        <v>44284</v>
      </c>
      <c r="C4568" t="s">
        <v>181</v>
      </c>
      <c r="D4568" t="s">
        <v>41</v>
      </c>
      <c r="E4568">
        <v>2000718464</v>
      </c>
      <c r="F4568">
        <v>2000</v>
      </c>
      <c r="G4568">
        <v>12</v>
      </c>
      <c r="H4568">
        <v>0</v>
      </c>
      <c r="I4568" t="s">
        <v>1152</v>
      </c>
      <c r="J4568" t="s">
        <v>170</v>
      </c>
      <c r="K4568" t="s">
        <v>732</v>
      </c>
      <c r="O4568">
        <v>0</v>
      </c>
      <c r="U4568" t="s">
        <v>81</v>
      </c>
    </row>
    <row r="4569" spans="1:21" x14ac:dyDescent="0.25">
      <c r="A4569" s="33">
        <v>4590</v>
      </c>
      <c r="B4569" s="24">
        <v>44284</v>
      </c>
      <c r="C4569" t="s">
        <v>181</v>
      </c>
      <c r="D4569" t="s">
        <v>41</v>
      </c>
      <c r="E4569">
        <v>2000721569</v>
      </c>
      <c r="F4569">
        <v>950</v>
      </c>
      <c r="G4569">
        <v>30</v>
      </c>
      <c r="H4569">
        <v>0</v>
      </c>
      <c r="I4569" t="s">
        <v>1152</v>
      </c>
      <c r="J4569" t="s">
        <v>169</v>
      </c>
      <c r="K4569" t="s">
        <v>664</v>
      </c>
      <c r="O4569">
        <v>0</v>
      </c>
      <c r="U4569" t="s">
        <v>81</v>
      </c>
    </row>
    <row r="4570" spans="1:21" x14ac:dyDescent="0.25">
      <c r="A4570" s="33">
        <v>4591</v>
      </c>
      <c r="B4570" s="24">
        <v>44284</v>
      </c>
      <c r="C4570" t="s">
        <v>181</v>
      </c>
      <c r="D4570" t="s">
        <v>41</v>
      </c>
      <c r="E4570">
        <v>2000721510</v>
      </c>
      <c r="F4570">
        <v>1260</v>
      </c>
      <c r="G4570">
        <v>130</v>
      </c>
      <c r="H4570">
        <v>0</v>
      </c>
      <c r="I4570" t="s">
        <v>642</v>
      </c>
      <c r="J4570" t="s">
        <v>172</v>
      </c>
      <c r="K4570" t="s">
        <v>854</v>
      </c>
      <c r="O4570">
        <v>0</v>
      </c>
      <c r="U4570" t="s">
        <v>81</v>
      </c>
    </row>
    <row r="4571" spans="1:21" x14ac:dyDescent="0.25">
      <c r="A4571" s="33">
        <v>4592</v>
      </c>
      <c r="B4571" s="24">
        <v>44284</v>
      </c>
      <c r="C4571" t="s">
        <v>181</v>
      </c>
      <c r="D4571" t="s">
        <v>41</v>
      </c>
      <c r="E4571">
        <v>2000721363</v>
      </c>
      <c r="F4571">
        <v>2000</v>
      </c>
      <c r="G4571">
        <v>120</v>
      </c>
      <c r="H4571">
        <v>0</v>
      </c>
      <c r="I4571" t="s">
        <v>642</v>
      </c>
      <c r="J4571" t="s">
        <v>992</v>
      </c>
      <c r="K4571" t="s">
        <v>721</v>
      </c>
      <c r="O4571">
        <v>0</v>
      </c>
      <c r="U4571" t="s">
        <v>81</v>
      </c>
    </row>
    <row r="4572" spans="1:21" x14ac:dyDescent="0.25">
      <c r="A4572" s="33">
        <v>4593</v>
      </c>
      <c r="B4572" s="24">
        <v>44284</v>
      </c>
      <c r="C4572" t="s">
        <v>181</v>
      </c>
      <c r="D4572" t="s">
        <v>41</v>
      </c>
      <c r="E4572">
        <v>2000721744</v>
      </c>
      <c r="F4572">
        <v>1020</v>
      </c>
      <c r="G4572">
        <v>140</v>
      </c>
      <c r="H4572">
        <v>0</v>
      </c>
      <c r="I4572" t="s">
        <v>642</v>
      </c>
      <c r="J4572" t="s">
        <v>172</v>
      </c>
      <c r="K4572" t="s">
        <v>724</v>
      </c>
      <c r="O4572">
        <v>0</v>
      </c>
      <c r="U4572" t="s">
        <v>81</v>
      </c>
    </row>
    <row r="4573" spans="1:21" x14ac:dyDescent="0.25">
      <c r="A4573" s="33">
        <v>4594</v>
      </c>
      <c r="B4573" s="24">
        <v>44284</v>
      </c>
      <c r="C4573" t="s">
        <v>181</v>
      </c>
      <c r="D4573" t="s">
        <v>41</v>
      </c>
      <c r="E4573">
        <v>2000721566</v>
      </c>
      <c r="F4573">
        <v>300</v>
      </c>
      <c r="G4573">
        <v>80</v>
      </c>
      <c r="H4573">
        <v>0</v>
      </c>
      <c r="I4573" t="s">
        <v>642</v>
      </c>
      <c r="J4573" t="s">
        <v>193</v>
      </c>
      <c r="K4573" t="s">
        <v>647</v>
      </c>
      <c r="O4573">
        <v>0</v>
      </c>
      <c r="U4573" t="s">
        <v>81</v>
      </c>
    </row>
    <row r="4574" spans="1:21" x14ac:dyDescent="0.25">
      <c r="A4574" s="33">
        <v>4595</v>
      </c>
      <c r="B4574" s="24">
        <v>44284</v>
      </c>
      <c r="C4574" t="s">
        <v>181</v>
      </c>
      <c r="D4574" t="s">
        <v>41</v>
      </c>
      <c r="E4574">
        <v>2000721348</v>
      </c>
      <c r="F4574">
        <v>200</v>
      </c>
      <c r="G4574">
        <v>50</v>
      </c>
      <c r="H4574">
        <v>0</v>
      </c>
      <c r="I4574" t="s">
        <v>642</v>
      </c>
      <c r="J4574" t="s">
        <v>195</v>
      </c>
      <c r="K4574" t="s">
        <v>819</v>
      </c>
      <c r="O4574">
        <v>0</v>
      </c>
      <c r="U4574" t="s">
        <v>81</v>
      </c>
    </row>
    <row r="4575" spans="1:21" x14ac:dyDescent="0.25">
      <c r="A4575" s="33">
        <v>4596</v>
      </c>
      <c r="B4575" s="24">
        <v>44284</v>
      </c>
      <c r="C4575" t="s">
        <v>181</v>
      </c>
      <c r="D4575" t="s">
        <v>41</v>
      </c>
      <c r="E4575">
        <v>2000721743</v>
      </c>
      <c r="F4575">
        <v>560</v>
      </c>
      <c r="G4575">
        <v>120</v>
      </c>
      <c r="H4575">
        <v>0</v>
      </c>
      <c r="I4575" t="s">
        <v>180</v>
      </c>
      <c r="J4575" t="s">
        <v>169</v>
      </c>
      <c r="K4575" t="s">
        <v>892</v>
      </c>
      <c r="O4575">
        <v>0</v>
      </c>
      <c r="U4575" t="s">
        <v>81</v>
      </c>
    </row>
    <row r="4576" spans="1:21" x14ac:dyDescent="0.25">
      <c r="A4576" s="33">
        <v>4597</v>
      </c>
      <c r="B4576" s="24">
        <v>44284</v>
      </c>
      <c r="C4576" t="s">
        <v>181</v>
      </c>
      <c r="D4576" t="s">
        <v>41</v>
      </c>
      <c r="E4576">
        <v>2000721406</v>
      </c>
      <c r="F4576">
        <v>310</v>
      </c>
      <c r="G4576">
        <v>30</v>
      </c>
      <c r="H4576">
        <v>0</v>
      </c>
      <c r="I4576" t="s">
        <v>180</v>
      </c>
      <c r="J4576" t="s">
        <v>203</v>
      </c>
      <c r="K4576" t="s">
        <v>793</v>
      </c>
      <c r="O4576">
        <v>0</v>
      </c>
      <c r="U4576" t="s">
        <v>81</v>
      </c>
    </row>
    <row r="4577" spans="1:21" x14ac:dyDescent="0.25">
      <c r="A4577" s="33">
        <v>4598</v>
      </c>
      <c r="B4577" s="24">
        <v>44284</v>
      </c>
      <c r="C4577" t="s">
        <v>181</v>
      </c>
      <c r="D4577" t="s">
        <v>41</v>
      </c>
      <c r="E4577">
        <v>2000721519</v>
      </c>
      <c r="F4577">
        <v>1808</v>
      </c>
      <c r="G4577">
        <v>400</v>
      </c>
      <c r="H4577">
        <v>0</v>
      </c>
      <c r="I4577" t="s">
        <v>201</v>
      </c>
      <c r="J4577" t="s">
        <v>990</v>
      </c>
      <c r="K4577" t="s">
        <v>788</v>
      </c>
      <c r="O4577">
        <v>0</v>
      </c>
      <c r="U4577" t="s">
        <v>81</v>
      </c>
    </row>
    <row r="4578" spans="1:21" x14ac:dyDescent="0.25">
      <c r="A4578" s="33">
        <v>4599</v>
      </c>
      <c r="B4578" s="24">
        <v>44284</v>
      </c>
      <c r="C4578" t="s">
        <v>181</v>
      </c>
      <c r="D4578" t="s">
        <v>41</v>
      </c>
      <c r="E4578">
        <v>2000721606</v>
      </c>
      <c r="F4578">
        <v>2001</v>
      </c>
      <c r="G4578">
        <v>120</v>
      </c>
      <c r="H4578">
        <v>0</v>
      </c>
      <c r="I4578" t="s">
        <v>201</v>
      </c>
      <c r="J4578" t="s">
        <v>447</v>
      </c>
      <c r="K4578" t="s">
        <v>688</v>
      </c>
      <c r="O4578">
        <v>0</v>
      </c>
      <c r="U4578" t="s">
        <v>81</v>
      </c>
    </row>
    <row r="4579" spans="1:21" x14ac:dyDescent="0.25">
      <c r="A4579" s="33">
        <v>4600</v>
      </c>
      <c r="B4579" s="24">
        <v>44284</v>
      </c>
      <c r="C4579" t="s">
        <v>181</v>
      </c>
      <c r="D4579" t="s">
        <v>41</v>
      </c>
      <c r="E4579">
        <v>2000720185</v>
      </c>
      <c r="F4579">
        <v>600</v>
      </c>
      <c r="G4579">
        <v>134</v>
      </c>
      <c r="H4579">
        <v>0</v>
      </c>
      <c r="I4579" t="s">
        <v>201</v>
      </c>
      <c r="J4579" t="s">
        <v>651</v>
      </c>
      <c r="K4579" t="s">
        <v>847</v>
      </c>
      <c r="O4579">
        <v>0</v>
      </c>
      <c r="U4579" t="s">
        <v>81</v>
      </c>
    </row>
    <row r="4580" spans="1:21" x14ac:dyDescent="0.25">
      <c r="A4580" s="33">
        <v>4601</v>
      </c>
      <c r="B4580" s="24">
        <v>44284</v>
      </c>
      <c r="C4580" t="s">
        <v>181</v>
      </c>
      <c r="D4580" t="s">
        <v>41</v>
      </c>
      <c r="E4580">
        <v>2000721346</v>
      </c>
      <c r="F4580">
        <v>200</v>
      </c>
      <c r="G4580">
        <v>100</v>
      </c>
      <c r="H4580">
        <v>0</v>
      </c>
      <c r="I4580" t="s">
        <v>201</v>
      </c>
      <c r="J4580" t="s">
        <v>195</v>
      </c>
      <c r="K4580" t="s">
        <v>820</v>
      </c>
      <c r="O4580">
        <v>0</v>
      </c>
      <c r="U4580" t="s">
        <v>81</v>
      </c>
    </row>
    <row r="4581" spans="1:21" x14ac:dyDescent="0.25">
      <c r="A4581" s="33">
        <v>4602</v>
      </c>
      <c r="B4581" s="24">
        <v>44284</v>
      </c>
      <c r="C4581" t="s">
        <v>181</v>
      </c>
      <c r="D4581" t="s">
        <v>41</v>
      </c>
      <c r="E4581">
        <v>2000721341</v>
      </c>
      <c r="F4581">
        <v>1200</v>
      </c>
      <c r="G4581">
        <v>100</v>
      </c>
      <c r="H4581">
        <v>0</v>
      </c>
      <c r="I4581" t="s">
        <v>201</v>
      </c>
      <c r="J4581" t="s">
        <v>1007</v>
      </c>
      <c r="K4581" t="s">
        <v>756</v>
      </c>
      <c r="O4581">
        <v>0</v>
      </c>
      <c r="U4581" t="s">
        <v>81</v>
      </c>
    </row>
    <row r="4582" spans="1:21" x14ac:dyDescent="0.25">
      <c r="A4582" s="33">
        <v>4603</v>
      </c>
      <c r="B4582" s="24">
        <v>44284</v>
      </c>
      <c r="C4582" t="s">
        <v>181</v>
      </c>
      <c r="D4582" t="s">
        <v>41</v>
      </c>
      <c r="E4582">
        <v>2000721343</v>
      </c>
      <c r="F4582">
        <v>1200</v>
      </c>
      <c r="G4582">
        <v>150</v>
      </c>
      <c r="H4582">
        <v>0</v>
      </c>
      <c r="I4582" t="s">
        <v>201</v>
      </c>
      <c r="J4582" t="s">
        <v>1007</v>
      </c>
      <c r="K4582" t="s">
        <v>658</v>
      </c>
      <c r="O4582">
        <v>0</v>
      </c>
      <c r="U4582" t="s">
        <v>81</v>
      </c>
    </row>
    <row r="4583" spans="1:21" x14ac:dyDescent="0.25">
      <c r="A4583" s="33">
        <v>4604</v>
      </c>
      <c r="B4583" s="24">
        <v>44284</v>
      </c>
      <c r="C4583" t="s">
        <v>181</v>
      </c>
      <c r="D4583" t="s">
        <v>41</v>
      </c>
      <c r="E4583">
        <v>2000721361</v>
      </c>
      <c r="F4583">
        <v>1000</v>
      </c>
      <c r="G4583">
        <v>120</v>
      </c>
      <c r="H4583">
        <v>0</v>
      </c>
      <c r="I4583" t="s">
        <v>201</v>
      </c>
      <c r="J4583" t="s">
        <v>193</v>
      </c>
      <c r="K4583" t="s">
        <v>650</v>
      </c>
      <c r="O4583">
        <v>0</v>
      </c>
      <c r="U4583" t="s">
        <v>81</v>
      </c>
    </row>
    <row r="4584" spans="1:21" x14ac:dyDescent="0.25">
      <c r="A4584" s="33">
        <v>4605</v>
      </c>
      <c r="B4584" s="24">
        <v>44284</v>
      </c>
      <c r="C4584" t="s">
        <v>181</v>
      </c>
      <c r="D4584" t="s">
        <v>41</v>
      </c>
      <c r="E4584">
        <v>2000721507</v>
      </c>
      <c r="F4584">
        <v>1800</v>
      </c>
      <c r="G4584">
        <v>200</v>
      </c>
      <c r="H4584">
        <v>0</v>
      </c>
      <c r="I4584" t="s">
        <v>201</v>
      </c>
      <c r="J4584" t="s">
        <v>1022</v>
      </c>
      <c r="K4584" t="s">
        <v>725</v>
      </c>
      <c r="O4584">
        <v>0</v>
      </c>
      <c r="U4584" t="s">
        <v>81</v>
      </c>
    </row>
    <row r="4585" spans="1:21" x14ac:dyDescent="0.25">
      <c r="A4585" s="33">
        <v>4606</v>
      </c>
      <c r="B4585" s="24">
        <v>44284</v>
      </c>
      <c r="C4585" t="s">
        <v>181</v>
      </c>
      <c r="D4585" t="s">
        <v>41</v>
      </c>
      <c r="E4585">
        <v>2000721362</v>
      </c>
      <c r="F4585">
        <v>1000</v>
      </c>
      <c r="G4585">
        <v>120</v>
      </c>
      <c r="H4585">
        <v>0</v>
      </c>
      <c r="I4585" t="s">
        <v>201</v>
      </c>
      <c r="J4585" t="s">
        <v>193</v>
      </c>
      <c r="K4585" t="s">
        <v>686</v>
      </c>
      <c r="O4585">
        <v>0</v>
      </c>
      <c r="U4585" t="s">
        <v>81</v>
      </c>
    </row>
    <row r="4586" spans="1:21" x14ac:dyDescent="0.25">
      <c r="A4586" s="33">
        <v>4607</v>
      </c>
      <c r="B4586" s="24">
        <v>44284</v>
      </c>
      <c r="C4586" t="s">
        <v>181</v>
      </c>
      <c r="D4586" t="s">
        <v>41</v>
      </c>
      <c r="E4586">
        <v>2000721342</v>
      </c>
      <c r="F4586">
        <v>1200</v>
      </c>
      <c r="G4586">
        <v>100</v>
      </c>
      <c r="H4586">
        <v>0</v>
      </c>
      <c r="I4586" t="s">
        <v>201</v>
      </c>
      <c r="J4586" t="s">
        <v>1007</v>
      </c>
      <c r="K4586" t="s">
        <v>739</v>
      </c>
      <c r="O4586">
        <v>0</v>
      </c>
      <c r="U4586" t="s">
        <v>81</v>
      </c>
    </row>
    <row r="4587" spans="1:21" x14ac:dyDescent="0.25">
      <c r="A4587" s="33">
        <v>4608</v>
      </c>
      <c r="B4587" s="24">
        <v>44284</v>
      </c>
      <c r="C4587" t="s">
        <v>181</v>
      </c>
      <c r="D4587" t="s">
        <v>41</v>
      </c>
      <c r="E4587">
        <v>2000721372</v>
      </c>
      <c r="F4587">
        <v>2450</v>
      </c>
      <c r="G4587">
        <v>480</v>
      </c>
      <c r="H4587">
        <v>0</v>
      </c>
      <c r="I4587" t="s">
        <v>201</v>
      </c>
      <c r="J4587" t="s">
        <v>990</v>
      </c>
      <c r="K4587" t="s">
        <v>640</v>
      </c>
      <c r="O4587">
        <v>0</v>
      </c>
      <c r="U4587" t="s">
        <v>81</v>
      </c>
    </row>
    <row r="4588" spans="1:21" x14ac:dyDescent="0.25">
      <c r="A4588" s="33">
        <v>4609</v>
      </c>
      <c r="B4588" s="24">
        <v>44284</v>
      </c>
      <c r="C4588" t="s">
        <v>181</v>
      </c>
      <c r="D4588" t="s">
        <v>41</v>
      </c>
      <c r="E4588">
        <v>2000715913</v>
      </c>
      <c r="F4588">
        <v>300</v>
      </c>
      <c r="G4588">
        <v>127</v>
      </c>
      <c r="H4588">
        <v>0</v>
      </c>
      <c r="I4588" t="s">
        <v>201</v>
      </c>
      <c r="J4588" t="s">
        <v>651</v>
      </c>
      <c r="K4588" t="s">
        <v>867</v>
      </c>
      <c r="O4588">
        <v>0</v>
      </c>
      <c r="U4588" t="s">
        <v>81</v>
      </c>
    </row>
    <row r="4589" spans="1:21" x14ac:dyDescent="0.25">
      <c r="A4589" s="33">
        <v>4610</v>
      </c>
      <c r="B4589" s="24">
        <v>44284</v>
      </c>
      <c r="C4589" t="s">
        <v>181</v>
      </c>
      <c r="D4589" t="s">
        <v>41</v>
      </c>
      <c r="E4589">
        <v>2000721359</v>
      </c>
      <c r="F4589">
        <v>1000</v>
      </c>
      <c r="G4589">
        <v>100</v>
      </c>
      <c r="H4589">
        <v>0</v>
      </c>
      <c r="I4589" t="s">
        <v>201</v>
      </c>
      <c r="J4589" t="s">
        <v>193</v>
      </c>
      <c r="K4589" t="s">
        <v>176</v>
      </c>
      <c r="O4589">
        <v>0</v>
      </c>
      <c r="U4589" t="s">
        <v>81</v>
      </c>
    </row>
    <row r="4590" spans="1:21" x14ac:dyDescent="0.25">
      <c r="A4590" s="33">
        <v>4611</v>
      </c>
      <c r="B4590" s="24">
        <v>44284</v>
      </c>
      <c r="C4590" t="s">
        <v>181</v>
      </c>
      <c r="D4590" t="s">
        <v>41</v>
      </c>
      <c r="E4590">
        <v>2000721360</v>
      </c>
      <c r="F4590">
        <v>1000</v>
      </c>
      <c r="G4590">
        <v>100</v>
      </c>
      <c r="H4590">
        <v>0</v>
      </c>
      <c r="I4590" t="s">
        <v>201</v>
      </c>
      <c r="J4590" t="s">
        <v>193</v>
      </c>
      <c r="K4590" t="s">
        <v>683</v>
      </c>
      <c r="O4590">
        <v>0</v>
      </c>
      <c r="U4590" t="s">
        <v>81</v>
      </c>
    </row>
    <row r="4591" spans="1:21" x14ac:dyDescent="0.25">
      <c r="A4591" s="33">
        <v>4612</v>
      </c>
      <c r="B4591" s="24">
        <v>44287</v>
      </c>
      <c r="C4591" t="s">
        <v>39</v>
      </c>
      <c r="D4591" t="s">
        <v>41</v>
      </c>
      <c r="E4591">
        <v>2000721372</v>
      </c>
      <c r="F4591">
        <v>2450</v>
      </c>
      <c r="G4591">
        <v>66</v>
      </c>
      <c r="H4591">
        <v>0</v>
      </c>
      <c r="I4591" t="s">
        <v>1155</v>
      </c>
      <c r="J4591" t="s">
        <v>203</v>
      </c>
      <c r="K4591" t="s">
        <v>640</v>
      </c>
      <c r="O4591">
        <v>0</v>
      </c>
      <c r="U4591" t="s">
        <v>81</v>
      </c>
    </row>
    <row r="4592" spans="1:21" x14ac:dyDescent="0.25">
      <c r="A4592" s="33">
        <v>4613</v>
      </c>
      <c r="B4592" s="24">
        <v>44287</v>
      </c>
      <c r="C4592" t="s">
        <v>39</v>
      </c>
      <c r="D4592" t="s">
        <v>41</v>
      </c>
      <c r="E4592">
        <v>2000720683</v>
      </c>
      <c r="F4592">
        <v>1500</v>
      </c>
      <c r="G4592">
        <v>121</v>
      </c>
      <c r="H4592">
        <v>0</v>
      </c>
      <c r="I4592" t="s">
        <v>1155</v>
      </c>
      <c r="J4592" t="s">
        <v>645</v>
      </c>
      <c r="K4592" t="s">
        <v>756</v>
      </c>
      <c r="O4592">
        <v>0</v>
      </c>
      <c r="U4592" t="s">
        <v>81</v>
      </c>
    </row>
    <row r="4593" spans="1:21" x14ac:dyDescent="0.25">
      <c r="A4593" s="33">
        <v>4614</v>
      </c>
      <c r="B4593" s="24">
        <v>44287</v>
      </c>
      <c r="C4593" t="s">
        <v>39</v>
      </c>
      <c r="D4593" t="s">
        <v>41</v>
      </c>
      <c r="E4593">
        <v>2000722260</v>
      </c>
      <c r="F4593">
        <v>3200</v>
      </c>
      <c r="G4593">
        <v>156</v>
      </c>
      <c r="H4593">
        <v>0</v>
      </c>
      <c r="I4593" t="s">
        <v>1155</v>
      </c>
      <c r="J4593" t="s">
        <v>203</v>
      </c>
      <c r="K4593" t="s">
        <v>788</v>
      </c>
      <c r="O4593">
        <v>0</v>
      </c>
      <c r="U4593" t="s">
        <v>81</v>
      </c>
    </row>
    <row r="4594" spans="1:21" x14ac:dyDescent="0.25">
      <c r="A4594" s="33">
        <v>4615</v>
      </c>
      <c r="B4594" s="24">
        <v>44287</v>
      </c>
      <c r="C4594" t="s">
        <v>39</v>
      </c>
      <c r="D4594" t="s">
        <v>41</v>
      </c>
      <c r="E4594">
        <v>2000721408</v>
      </c>
      <c r="F4594">
        <v>300</v>
      </c>
      <c r="G4594">
        <v>278</v>
      </c>
      <c r="H4594">
        <v>0</v>
      </c>
      <c r="I4594" t="s">
        <v>191</v>
      </c>
      <c r="J4594" t="s">
        <v>203</v>
      </c>
      <c r="K4594" t="s">
        <v>785</v>
      </c>
      <c r="O4594">
        <v>0</v>
      </c>
      <c r="U4594" t="s">
        <v>81</v>
      </c>
    </row>
    <row r="4595" spans="1:21" x14ac:dyDescent="0.25">
      <c r="A4595" s="33">
        <v>4616</v>
      </c>
      <c r="B4595" s="24">
        <v>44287</v>
      </c>
      <c r="C4595" t="s">
        <v>39</v>
      </c>
      <c r="D4595" t="s">
        <v>41</v>
      </c>
      <c r="E4595">
        <v>2000722284</v>
      </c>
      <c r="F4595">
        <v>3700</v>
      </c>
      <c r="G4595">
        <v>20</v>
      </c>
      <c r="H4595">
        <v>0</v>
      </c>
      <c r="I4595" t="s">
        <v>191</v>
      </c>
      <c r="J4595" t="s">
        <v>203</v>
      </c>
      <c r="K4595" t="s">
        <v>785</v>
      </c>
      <c r="O4595">
        <v>0</v>
      </c>
      <c r="U4595" t="s">
        <v>81</v>
      </c>
    </row>
    <row r="4596" spans="1:21" x14ac:dyDescent="0.25">
      <c r="A4596" s="33">
        <v>4617</v>
      </c>
      <c r="B4596" s="24">
        <v>44287</v>
      </c>
      <c r="C4596" t="s">
        <v>39</v>
      </c>
      <c r="D4596" t="s">
        <v>41</v>
      </c>
      <c r="E4596">
        <v>2000720318</v>
      </c>
      <c r="F4596">
        <v>720</v>
      </c>
      <c r="G4596">
        <v>6</v>
      </c>
      <c r="H4596">
        <v>0</v>
      </c>
      <c r="I4596" t="s">
        <v>191</v>
      </c>
      <c r="J4596" t="s">
        <v>203</v>
      </c>
      <c r="K4596" t="s">
        <v>639</v>
      </c>
      <c r="O4596">
        <v>0</v>
      </c>
      <c r="U4596" t="s">
        <v>81</v>
      </c>
    </row>
    <row r="4597" spans="1:21" x14ac:dyDescent="0.25">
      <c r="A4597" s="33">
        <v>4618</v>
      </c>
      <c r="B4597" s="24">
        <v>44287</v>
      </c>
      <c r="C4597" t="s">
        <v>39</v>
      </c>
      <c r="D4597" t="s">
        <v>41</v>
      </c>
      <c r="E4597">
        <v>2000721407</v>
      </c>
      <c r="F4597">
        <v>210</v>
      </c>
      <c r="G4597">
        <v>120</v>
      </c>
      <c r="H4597">
        <v>0</v>
      </c>
      <c r="I4597" t="s">
        <v>191</v>
      </c>
      <c r="J4597" t="s">
        <v>203</v>
      </c>
      <c r="K4597" t="s">
        <v>768</v>
      </c>
      <c r="O4597">
        <v>0</v>
      </c>
      <c r="U4597" t="s">
        <v>81</v>
      </c>
    </row>
    <row r="4598" spans="1:21" x14ac:dyDescent="0.25">
      <c r="A4598" s="33">
        <v>4619</v>
      </c>
      <c r="B4598" s="24">
        <v>44287</v>
      </c>
      <c r="C4598" t="s">
        <v>39</v>
      </c>
      <c r="D4598" t="s">
        <v>41</v>
      </c>
      <c r="E4598">
        <v>2000721483</v>
      </c>
      <c r="F4598">
        <v>600</v>
      </c>
      <c r="G4598">
        <v>30</v>
      </c>
      <c r="H4598">
        <v>0</v>
      </c>
      <c r="I4598" t="s">
        <v>191</v>
      </c>
      <c r="J4598" t="s">
        <v>203</v>
      </c>
      <c r="K4598" t="s">
        <v>891</v>
      </c>
      <c r="O4598">
        <v>0</v>
      </c>
      <c r="U4598" t="s">
        <v>81</v>
      </c>
    </row>
    <row r="4599" spans="1:21" x14ac:dyDescent="0.25">
      <c r="A4599" s="33">
        <v>4620</v>
      </c>
      <c r="B4599" s="24">
        <v>44287</v>
      </c>
      <c r="C4599" t="s">
        <v>39</v>
      </c>
      <c r="D4599" t="s">
        <v>41</v>
      </c>
      <c r="E4599">
        <v>2000721743</v>
      </c>
      <c r="F4599">
        <v>560</v>
      </c>
      <c r="G4599">
        <v>212</v>
      </c>
      <c r="H4599">
        <v>0</v>
      </c>
      <c r="I4599" t="s">
        <v>178</v>
      </c>
      <c r="J4599" t="s">
        <v>169</v>
      </c>
      <c r="K4599" t="s">
        <v>892</v>
      </c>
      <c r="O4599">
        <v>0</v>
      </c>
      <c r="U4599" t="s">
        <v>81</v>
      </c>
    </row>
    <row r="4600" spans="1:21" x14ac:dyDescent="0.25">
      <c r="A4600" s="33">
        <v>4621</v>
      </c>
      <c r="B4600" s="24">
        <v>44287</v>
      </c>
      <c r="C4600" t="s">
        <v>39</v>
      </c>
      <c r="D4600" t="s">
        <v>41</v>
      </c>
      <c r="E4600">
        <v>2000722519</v>
      </c>
      <c r="F4600">
        <v>900</v>
      </c>
      <c r="G4600">
        <v>80</v>
      </c>
      <c r="H4600">
        <v>0</v>
      </c>
      <c r="I4600" t="s">
        <v>178</v>
      </c>
      <c r="J4600" t="s">
        <v>169</v>
      </c>
      <c r="K4600" t="s">
        <v>190</v>
      </c>
      <c r="O4600">
        <v>0</v>
      </c>
      <c r="U4600" t="s">
        <v>81</v>
      </c>
    </row>
    <row r="4601" spans="1:21" x14ac:dyDescent="0.25">
      <c r="A4601" s="33">
        <v>4622</v>
      </c>
      <c r="B4601" s="24">
        <v>44287</v>
      </c>
      <c r="C4601" t="s">
        <v>39</v>
      </c>
      <c r="D4601" t="s">
        <v>41</v>
      </c>
      <c r="E4601">
        <v>2000722746</v>
      </c>
      <c r="F4601">
        <v>1100</v>
      </c>
      <c r="G4601">
        <v>80</v>
      </c>
      <c r="H4601">
        <v>0</v>
      </c>
      <c r="I4601" t="s">
        <v>178</v>
      </c>
      <c r="J4601" t="s">
        <v>175</v>
      </c>
      <c r="K4601" t="s">
        <v>758</v>
      </c>
      <c r="O4601">
        <v>0</v>
      </c>
      <c r="U4601" t="s">
        <v>81</v>
      </c>
    </row>
    <row r="4602" spans="1:21" x14ac:dyDescent="0.25">
      <c r="A4602" s="33">
        <v>4623</v>
      </c>
      <c r="B4602" s="24">
        <v>44287</v>
      </c>
      <c r="C4602" t="s">
        <v>39</v>
      </c>
      <c r="D4602" t="s">
        <v>41</v>
      </c>
      <c r="E4602">
        <v>2000721562</v>
      </c>
      <c r="F4602">
        <v>300</v>
      </c>
      <c r="G4602">
        <v>100</v>
      </c>
      <c r="H4602">
        <v>0</v>
      </c>
      <c r="I4602" t="s">
        <v>178</v>
      </c>
      <c r="J4602" t="s">
        <v>193</v>
      </c>
      <c r="K4602" t="s">
        <v>176</v>
      </c>
      <c r="O4602">
        <v>0</v>
      </c>
      <c r="U4602" t="s">
        <v>81</v>
      </c>
    </row>
    <row r="4603" spans="1:21" x14ac:dyDescent="0.25">
      <c r="A4603" s="33">
        <v>4624</v>
      </c>
      <c r="B4603" s="24">
        <v>44287</v>
      </c>
      <c r="C4603" t="s">
        <v>39</v>
      </c>
      <c r="D4603" t="s">
        <v>41</v>
      </c>
      <c r="E4603">
        <v>2000721563</v>
      </c>
      <c r="F4603">
        <v>300</v>
      </c>
      <c r="G4603">
        <v>100</v>
      </c>
      <c r="H4603">
        <v>0</v>
      </c>
      <c r="I4603" t="s">
        <v>178</v>
      </c>
      <c r="J4603" t="s">
        <v>193</v>
      </c>
      <c r="K4603" t="s">
        <v>683</v>
      </c>
      <c r="O4603">
        <v>0</v>
      </c>
      <c r="U4603" t="s">
        <v>81</v>
      </c>
    </row>
    <row r="4604" spans="1:21" x14ac:dyDescent="0.25">
      <c r="A4604" s="33">
        <v>4625</v>
      </c>
      <c r="B4604" s="24">
        <v>44287</v>
      </c>
      <c r="C4604" t="s">
        <v>39</v>
      </c>
      <c r="D4604" t="s">
        <v>41</v>
      </c>
      <c r="E4604">
        <v>2000721407</v>
      </c>
      <c r="F4604">
        <v>210</v>
      </c>
      <c r="G4604">
        <v>90</v>
      </c>
      <c r="H4604">
        <v>0</v>
      </c>
      <c r="I4604" t="s">
        <v>178</v>
      </c>
      <c r="J4604" t="s">
        <v>203</v>
      </c>
      <c r="K4604" t="s">
        <v>768</v>
      </c>
      <c r="O4604">
        <v>0</v>
      </c>
      <c r="U4604" t="s">
        <v>81</v>
      </c>
    </row>
    <row r="4605" spans="1:21" x14ac:dyDescent="0.25">
      <c r="A4605" s="33">
        <v>4626</v>
      </c>
      <c r="B4605" s="24">
        <v>44287</v>
      </c>
      <c r="C4605" t="s">
        <v>39</v>
      </c>
      <c r="D4605" t="s">
        <v>41</v>
      </c>
      <c r="E4605">
        <v>2000722260</v>
      </c>
      <c r="F4605">
        <v>3200</v>
      </c>
      <c r="G4605">
        <v>250</v>
      </c>
      <c r="H4605">
        <v>0</v>
      </c>
      <c r="I4605" t="s">
        <v>178</v>
      </c>
      <c r="J4605" t="s">
        <v>203</v>
      </c>
      <c r="K4605" t="s">
        <v>788</v>
      </c>
      <c r="O4605">
        <v>0</v>
      </c>
      <c r="U4605" t="s">
        <v>81</v>
      </c>
    </row>
    <row r="4606" spans="1:21" x14ac:dyDescent="0.25">
      <c r="A4606" s="33">
        <v>4627</v>
      </c>
      <c r="B4606" s="24">
        <v>44287</v>
      </c>
      <c r="C4606" t="s">
        <v>39</v>
      </c>
      <c r="D4606" t="s">
        <v>41</v>
      </c>
      <c r="E4606">
        <v>2000721508</v>
      </c>
      <c r="F4606">
        <v>1260</v>
      </c>
      <c r="G4606">
        <v>200</v>
      </c>
      <c r="H4606">
        <v>0</v>
      </c>
      <c r="I4606" t="s">
        <v>1040</v>
      </c>
      <c r="J4606" t="s">
        <v>172</v>
      </c>
      <c r="K4606" t="s">
        <v>725</v>
      </c>
      <c r="O4606">
        <v>0</v>
      </c>
      <c r="U4606" t="s">
        <v>81</v>
      </c>
    </row>
    <row r="4607" spans="1:21" x14ac:dyDescent="0.25">
      <c r="A4607" s="33">
        <v>4628</v>
      </c>
      <c r="B4607" s="24">
        <v>44287</v>
      </c>
      <c r="C4607" t="s">
        <v>39</v>
      </c>
      <c r="D4607" t="s">
        <v>41</v>
      </c>
      <c r="E4607">
        <v>2000721634</v>
      </c>
      <c r="F4607">
        <v>2000</v>
      </c>
      <c r="G4607">
        <v>150</v>
      </c>
      <c r="H4607">
        <v>0</v>
      </c>
      <c r="I4607" t="s">
        <v>1040</v>
      </c>
      <c r="J4607" t="s">
        <v>645</v>
      </c>
      <c r="K4607" t="s">
        <v>739</v>
      </c>
      <c r="O4607">
        <v>0</v>
      </c>
      <c r="U4607" t="s">
        <v>81</v>
      </c>
    </row>
    <row r="4608" spans="1:21" x14ac:dyDescent="0.25">
      <c r="A4608" s="33">
        <v>4629</v>
      </c>
      <c r="B4608" s="24">
        <v>44287</v>
      </c>
      <c r="C4608" t="s">
        <v>39</v>
      </c>
      <c r="D4608" t="s">
        <v>41</v>
      </c>
      <c r="E4608">
        <v>2000721565</v>
      </c>
      <c r="F4608">
        <v>300</v>
      </c>
      <c r="G4608">
        <v>80</v>
      </c>
      <c r="H4608">
        <v>0</v>
      </c>
      <c r="I4608" t="s">
        <v>1040</v>
      </c>
      <c r="J4608" t="s">
        <v>193</v>
      </c>
      <c r="K4608" t="s">
        <v>686</v>
      </c>
      <c r="O4608">
        <v>0</v>
      </c>
      <c r="U4608" t="s">
        <v>81</v>
      </c>
    </row>
    <row r="4609" spans="1:21" x14ac:dyDescent="0.25">
      <c r="A4609" s="33">
        <v>4630</v>
      </c>
      <c r="B4609" s="24">
        <v>44287</v>
      </c>
      <c r="C4609" t="s">
        <v>39</v>
      </c>
      <c r="D4609" t="s">
        <v>41</v>
      </c>
      <c r="E4609">
        <v>2000722260</v>
      </c>
      <c r="F4609">
        <v>3200</v>
      </c>
      <c r="G4609">
        <v>950</v>
      </c>
      <c r="H4609">
        <v>0</v>
      </c>
      <c r="I4609" t="s">
        <v>1040</v>
      </c>
      <c r="J4609" t="s">
        <v>203</v>
      </c>
      <c r="K4609" t="s">
        <v>788</v>
      </c>
      <c r="O4609">
        <v>0</v>
      </c>
      <c r="U4609" t="s">
        <v>81</v>
      </c>
    </row>
    <row r="4610" spans="1:21" x14ac:dyDescent="0.25">
      <c r="A4610" s="33">
        <v>4631</v>
      </c>
      <c r="B4610" s="24">
        <v>44287</v>
      </c>
      <c r="C4610" t="s">
        <v>39</v>
      </c>
      <c r="D4610" t="s">
        <v>41</v>
      </c>
      <c r="E4610">
        <v>2000721564</v>
      </c>
      <c r="F4610">
        <v>300</v>
      </c>
      <c r="G4610">
        <v>80</v>
      </c>
      <c r="H4610">
        <v>0</v>
      </c>
      <c r="I4610" t="s">
        <v>1156</v>
      </c>
      <c r="J4610" t="s">
        <v>193</v>
      </c>
      <c r="K4610" t="s">
        <v>650</v>
      </c>
      <c r="O4610">
        <v>0</v>
      </c>
      <c r="U4610" t="s">
        <v>81</v>
      </c>
    </row>
    <row r="4611" spans="1:21" x14ac:dyDescent="0.25">
      <c r="A4611" s="33">
        <v>4632</v>
      </c>
      <c r="B4611" s="24">
        <v>44287</v>
      </c>
      <c r="C4611" t="s">
        <v>39</v>
      </c>
      <c r="D4611" t="s">
        <v>41</v>
      </c>
      <c r="E4611">
        <v>2000722700</v>
      </c>
      <c r="F4611">
        <v>1200</v>
      </c>
      <c r="G4611">
        <v>80</v>
      </c>
      <c r="H4611">
        <v>0</v>
      </c>
      <c r="I4611" t="s">
        <v>1156</v>
      </c>
      <c r="J4611" t="s">
        <v>687</v>
      </c>
      <c r="K4611" t="s">
        <v>705</v>
      </c>
      <c r="O4611">
        <v>0</v>
      </c>
      <c r="U4611" t="s">
        <v>81</v>
      </c>
    </row>
    <row r="4612" spans="1:21" x14ac:dyDescent="0.25">
      <c r="A4612" s="33">
        <v>4633</v>
      </c>
      <c r="B4612" s="24">
        <v>44287</v>
      </c>
      <c r="C4612" t="s">
        <v>39</v>
      </c>
      <c r="D4612" t="s">
        <v>41</v>
      </c>
      <c r="E4612">
        <v>2000722260</v>
      </c>
      <c r="F4612">
        <v>3200</v>
      </c>
      <c r="G4612">
        <v>244</v>
      </c>
      <c r="H4612">
        <v>0</v>
      </c>
      <c r="I4612" t="s">
        <v>1156</v>
      </c>
      <c r="J4612" t="s">
        <v>203</v>
      </c>
      <c r="K4612" t="s">
        <v>788</v>
      </c>
      <c r="O4612">
        <v>0</v>
      </c>
      <c r="U4612" t="s">
        <v>81</v>
      </c>
    </row>
    <row r="4613" spans="1:21" x14ac:dyDescent="0.25">
      <c r="A4613" s="33">
        <v>4634</v>
      </c>
      <c r="B4613" s="24">
        <v>44287</v>
      </c>
      <c r="C4613" t="s">
        <v>181</v>
      </c>
      <c r="D4613" t="s">
        <v>41</v>
      </c>
      <c r="E4613">
        <v>2000721982</v>
      </c>
      <c r="F4613">
        <v>1270</v>
      </c>
      <c r="G4613">
        <v>280</v>
      </c>
      <c r="H4613">
        <v>0</v>
      </c>
      <c r="I4613" t="s">
        <v>696</v>
      </c>
      <c r="J4613" t="s">
        <v>174</v>
      </c>
      <c r="K4613" t="s">
        <v>177</v>
      </c>
      <c r="O4613">
        <v>0</v>
      </c>
      <c r="U4613" t="s">
        <v>81</v>
      </c>
    </row>
    <row r="4614" spans="1:21" x14ac:dyDescent="0.25">
      <c r="A4614" s="33">
        <v>4635</v>
      </c>
      <c r="B4614" s="24">
        <v>44287</v>
      </c>
      <c r="C4614" t="s">
        <v>181</v>
      </c>
      <c r="D4614" t="s">
        <v>41</v>
      </c>
      <c r="E4614">
        <v>2000721960</v>
      </c>
      <c r="F4614">
        <v>1800</v>
      </c>
      <c r="G4614">
        <v>165</v>
      </c>
      <c r="H4614">
        <v>0</v>
      </c>
      <c r="I4614" t="s">
        <v>696</v>
      </c>
      <c r="J4614" t="s">
        <v>174</v>
      </c>
      <c r="K4614" t="s">
        <v>774</v>
      </c>
      <c r="O4614">
        <v>0</v>
      </c>
      <c r="U4614" t="s">
        <v>81</v>
      </c>
    </row>
    <row r="4615" spans="1:21" x14ac:dyDescent="0.25">
      <c r="A4615" s="33">
        <v>4636</v>
      </c>
      <c r="B4615" s="24">
        <v>44287</v>
      </c>
      <c r="C4615" t="s">
        <v>181</v>
      </c>
      <c r="D4615" t="s">
        <v>41</v>
      </c>
      <c r="E4615">
        <v>2000721483</v>
      </c>
      <c r="F4615">
        <v>600</v>
      </c>
      <c r="G4615">
        <v>60</v>
      </c>
      <c r="H4615">
        <v>0</v>
      </c>
      <c r="I4615" t="s">
        <v>706</v>
      </c>
      <c r="J4615" t="s">
        <v>203</v>
      </c>
      <c r="K4615" t="s">
        <v>891</v>
      </c>
      <c r="O4615">
        <v>0</v>
      </c>
      <c r="U4615" t="s">
        <v>81</v>
      </c>
    </row>
    <row r="4616" spans="1:21" x14ac:dyDescent="0.25">
      <c r="A4616" s="33">
        <v>4637</v>
      </c>
      <c r="B4616" s="24">
        <v>44287</v>
      </c>
      <c r="C4616" t="s">
        <v>181</v>
      </c>
      <c r="D4616" t="s">
        <v>41</v>
      </c>
      <c r="E4616">
        <v>2000721960</v>
      </c>
      <c r="F4616">
        <v>1800</v>
      </c>
      <c r="G4616">
        <v>270</v>
      </c>
      <c r="H4616">
        <v>0</v>
      </c>
      <c r="I4616" t="s">
        <v>706</v>
      </c>
      <c r="J4616" t="s">
        <v>174</v>
      </c>
      <c r="K4616" t="s">
        <v>774</v>
      </c>
      <c r="O4616">
        <v>0</v>
      </c>
      <c r="U4616" t="s">
        <v>81</v>
      </c>
    </row>
    <row r="4617" spans="1:21" x14ac:dyDescent="0.25">
      <c r="A4617" s="33">
        <v>4638</v>
      </c>
      <c r="B4617" s="24">
        <v>44287</v>
      </c>
      <c r="C4617" t="s">
        <v>181</v>
      </c>
      <c r="D4617" t="s">
        <v>41</v>
      </c>
      <c r="E4617">
        <v>2000722260</v>
      </c>
      <c r="F4617">
        <v>3200</v>
      </c>
      <c r="G4617">
        <v>800</v>
      </c>
      <c r="H4617">
        <v>0</v>
      </c>
      <c r="I4617" t="s">
        <v>680</v>
      </c>
      <c r="J4617" t="s">
        <v>203</v>
      </c>
      <c r="K4617" t="s">
        <v>788</v>
      </c>
      <c r="O4617">
        <v>0</v>
      </c>
      <c r="U4617" t="s">
        <v>81</v>
      </c>
    </row>
    <row r="4618" spans="1:21" x14ac:dyDescent="0.25">
      <c r="A4618" s="33">
        <v>4639</v>
      </c>
      <c r="B4618" s="24">
        <v>44287</v>
      </c>
      <c r="C4618" t="s">
        <v>181</v>
      </c>
      <c r="D4618" t="s">
        <v>41</v>
      </c>
      <c r="E4618">
        <v>2000722201</v>
      </c>
      <c r="F4618">
        <v>1200</v>
      </c>
      <c r="G4618">
        <v>80</v>
      </c>
      <c r="H4618">
        <v>0</v>
      </c>
      <c r="I4618" t="s">
        <v>680</v>
      </c>
      <c r="J4618" t="s">
        <v>645</v>
      </c>
      <c r="K4618" t="s">
        <v>721</v>
      </c>
      <c r="O4618">
        <v>0</v>
      </c>
      <c r="U4618" t="s">
        <v>81</v>
      </c>
    </row>
    <row r="4619" spans="1:21" x14ac:dyDescent="0.25">
      <c r="A4619" s="33">
        <v>4640</v>
      </c>
      <c r="B4619" s="24">
        <v>44287</v>
      </c>
      <c r="C4619" t="s">
        <v>181</v>
      </c>
      <c r="D4619" t="s">
        <v>41</v>
      </c>
      <c r="E4619">
        <v>2000722255</v>
      </c>
      <c r="F4619">
        <v>3900</v>
      </c>
      <c r="G4619">
        <v>300</v>
      </c>
      <c r="H4619">
        <v>0</v>
      </c>
      <c r="I4619" t="s">
        <v>680</v>
      </c>
      <c r="J4619" t="s">
        <v>200</v>
      </c>
      <c r="K4619" t="s">
        <v>737</v>
      </c>
      <c r="O4619">
        <v>0</v>
      </c>
      <c r="U4619" t="s">
        <v>81</v>
      </c>
    </row>
    <row r="4620" spans="1:21" x14ac:dyDescent="0.25">
      <c r="A4620" s="33">
        <v>4641</v>
      </c>
      <c r="B4620" s="24">
        <v>44287</v>
      </c>
      <c r="C4620" t="s">
        <v>181</v>
      </c>
      <c r="D4620" t="s">
        <v>41</v>
      </c>
      <c r="E4620">
        <v>2000722258</v>
      </c>
      <c r="F4620">
        <v>720</v>
      </c>
      <c r="G4620">
        <v>320</v>
      </c>
      <c r="H4620">
        <v>0</v>
      </c>
      <c r="I4620" t="s">
        <v>680</v>
      </c>
      <c r="J4620" t="s">
        <v>745</v>
      </c>
      <c r="K4620" t="s">
        <v>879</v>
      </c>
      <c r="O4620">
        <v>0</v>
      </c>
      <c r="U4620" t="s">
        <v>81</v>
      </c>
    </row>
    <row r="4621" spans="1:21" x14ac:dyDescent="0.25">
      <c r="A4621" s="33">
        <v>4642</v>
      </c>
      <c r="B4621" s="24">
        <v>44287</v>
      </c>
      <c r="C4621" t="s">
        <v>181</v>
      </c>
      <c r="D4621" t="s">
        <v>41</v>
      </c>
      <c r="E4621">
        <v>2000721372</v>
      </c>
      <c r="F4621">
        <v>2450</v>
      </c>
      <c r="G4621">
        <v>38</v>
      </c>
      <c r="H4621">
        <v>0</v>
      </c>
      <c r="I4621" t="s">
        <v>680</v>
      </c>
      <c r="J4621" t="s">
        <v>203</v>
      </c>
      <c r="K4621" t="s">
        <v>640</v>
      </c>
      <c r="O4621">
        <v>0</v>
      </c>
      <c r="U4621" t="s">
        <v>81</v>
      </c>
    </row>
    <row r="4622" spans="1:21" x14ac:dyDescent="0.25">
      <c r="A4622" s="33">
        <v>4643</v>
      </c>
      <c r="B4622" s="24">
        <v>44287</v>
      </c>
      <c r="C4622" t="s">
        <v>181</v>
      </c>
      <c r="D4622" t="s">
        <v>41</v>
      </c>
      <c r="E4622">
        <v>2000721483</v>
      </c>
      <c r="F4622">
        <v>600</v>
      </c>
      <c r="G4622">
        <v>30</v>
      </c>
      <c r="H4622">
        <v>0</v>
      </c>
      <c r="I4622" t="s">
        <v>184</v>
      </c>
      <c r="J4622" t="s">
        <v>203</v>
      </c>
      <c r="K4622" t="s">
        <v>891</v>
      </c>
      <c r="O4622">
        <v>0</v>
      </c>
      <c r="U4622" t="s">
        <v>81</v>
      </c>
    </row>
    <row r="4623" spans="1:21" x14ac:dyDescent="0.25">
      <c r="A4623" s="33">
        <v>4644</v>
      </c>
      <c r="B4623" s="24">
        <v>44287</v>
      </c>
      <c r="C4623" t="s">
        <v>181</v>
      </c>
      <c r="D4623" t="s">
        <v>41</v>
      </c>
      <c r="E4623">
        <v>2000722282</v>
      </c>
      <c r="F4623">
        <v>520</v>
      </c>
      <c r="G4623">
        <v>30</v>
      </c>
      <c r="H4623">
        <v>0</v>
      </c>
      <c r="I4623" t="s">
        <v>184</v>
      </c>
      <c r="J4623" t="s">
        <v>203</v>
      </c>
      <c r="K4623" t="s">
        <v>638</v>
      </c>
      <c r="O4623">
        <v>0</v>
      </c>
      <c r="U4623" t="s">
        <v>81</v>
      </c>
    </row>
    <row r="4624" spans="1:21" x14ac:dyDescent="0.25">
      <c r="A4624" s="33">
        <v>4645</v>
      </c>
      <c r="B4624" s="24">
        <v>44287</v>
      </c>
      <c r="C4624" t="s">
        <v>181</v>
      </c>
      <c r="D4624" t="s">
        <v>41</v>
      </c>
      <c r="E4624">
        <v>2000722283</v>
      </c>
      <c r="F4624">
        <v>510</v>
      </c>
      <c r="G4624">
        <v>30</v>
      </c>
      <c r="H4624">
        <v>0</v>
      </c>
      <c r="I4624" t="s">
        <v>184</v>
      </c>
      <c r="J4624" t="s">
        <v>203</v>
      </c>
      <c r="K4624" t="s">
        <v>639</v>
      </c>
      <c r="O4624">
        <v>0</v>
      </c>
      <c r="U4624" t="s">
        <v>81</v>
      </c>
    </row>
    <row r="4625" spans="1:21" x14ac:dyDescent="0.25">
      <c r="A4625" s="33">
        <v>4646</v>
      </c>
      <c r="B4625" s="24">
        <v>44287</v>
      </c>
      <c r="C4625" t="s">
        <v>181</v>
      </c>
      <c r="D4625" t="s">
        <v>41</v>
      </c>
      <c r="E4625">
        <v>2000718464</v>
      </c>
      <c r="F4625">
        <v>2000</v>
      </c>
      <c r="G4625">
        <v>11</v>
      </c>
      <c r="H4625">
        <v>0</v>
      </c>
      <c r="I4625" t="s">
        <v>185</v>
      </c>
      <c r="J4625" t="s">
        <v>170</v>
      </c>
      <c r="K4625" t="s">
        <v>732</v>
      </c>
      <c r="O4625">
        <v>0</v>
      </c>
      <c r="U4625" t="s">
        <v>81</v>
      </c>
    </row>
    <row r="4626" spans="1:21" x14ac:dyDescent="0.25">
      <c r="A4626" s="33">
        <v>4647</v>
      </c>
      <c r="B4626" s="24">
        <v>44287</v>
      </c>
      <c r="C4626" t="s">
        <v>181</v>
      </c>
      <c r="D4626" t="s">
        <v>41</v>
      </c>
      <c r="E4626">
        <v>2000722699</v>
      </c>
      <c r="F4626">
        <v>1200</v>
      </c>
      <c r="G4626">
        <v>80</v>
      </c>
      <c r="H4626">
        <v>0</v>
      </c>
      <c r="I4626" t="s">
        <v>185</v>
      </c>
      <c r="J4626" t="s">
        <v>687</v>
      </c>
      <c r="K4626" t="s">
        <v>757</v>
      </c>
      <c r="O4626">
        <v>0</v>
      </c>
      <c r="U4626" t="s">
        <v>81</v>
      </c>
    </row>
    <row r="4627" spans="1:21" x14ac:dyDescent="0.25">
      <c r="A4627" s="33">
        <v>4648</v>
      </c>
      <c r="B4627" s="24">
        <v>44287</v>
      </c>
      <c r="C4627" t="s">
        <v>181</v>
      </c>
      <c r="D4627" t="s">
        <v>41</v>
      </c>
      <c r="E4627">
        <v>2000721949</v>
      </c>
      <c r="F4627">
        <v>1000</v>
      </c>
      <c r="G4627">
        <v>90</v>
      </c>
      <c r="H4627">
        <v>0</v>
      </c>
      <c r="I4627" t="s">
        <v>185</v>
      </c>
      <c r="J4627" t="s">
        <v>169</v>
      </c>
      <c r="K4627" t="s">
        <v>637</v>
      </c>
      <c r="O4627">
        <v>0</v>
      </c>
      <c r="U4627" t="s">
        <v>81</v>
      </c>
    </row>
    <row r="4628" spans="1:21" x14ac:dyDescent="0.25">
      <c r="A4628" s="33">
        <v>4649</v>
      </c>
      <c r="B4628" s="24">
        <v>44287</v>
      </c>
      <c r="C4628" t="s">
        <v>181</v>
      </c>
      <c r="D4628" t="s">
        <v>41</v>
      </c>
      <c r="E4628">
        <v>2000722238</v>
      </c>
      <c r="F4628">
        <v>900</v>
      </c>
      <c r="G4628">
        <v>80</v>
      </c>
      <c r="H4628">
        <v>0</v>
      </c>
      <c r="I4628" t="s">
        <v>185</v>
      </c>
      <c r="J4628" t="s">
        <v>655</v>
      </c>
      <c r="K4628" t="s">
        <v>656</v>
      </c>
      <c r="O4628">
        <v>0</v>
      </c>
      <c r="U4628" t="s">
        <v>81</v>
      </c>
    </row>
    <row r="4629" spans="1:21" x14ac:dyDescent="0.25">
      <c r="A4629" s="33">
        <v>4650</v>
      </c>
      <c r="B4629" s="24">
        <v>44287</v>
      </c>
      <c r="C4629" t="s">
        <v>181</v>
      </c>
      <c r="D4629" t="s">
        <v>41</v>
      </c>
      <c r="E4629">
        <v>2000722237</v>
      </c>
      <c r="F4629">
        <v>1600</v>
      </c>
      <c r="G4629">
        <v>120</v>
      </c>
      <c r="H4629">
        <v>0</v>
      </c>
      <c r="I4629" t="s">
        <v>185</v>
      </c>
      <c r="J4629" t="s">
        <v>200</v>
      </c>
      <c r="K4629" t="s">
        <v>653</v>
      </c>
      <c r="O4629">
        <v>0</v>
      </c>
      <c r="U4629" t="s">
        <v>81</v>
      </c>
    </row>
    <row r="4630" spans="1:21" x14ac:dyDescent="0.25">
      <c r="A4630" s="33">
        <v>4651</v>
      </c>
      <c r="B4630" s="24">
        <v>44287</v>
      </c>
      <c r="C4630" t="s">
        <v>181</v>
      </c>
      <c r="D4630" t="s">
        <v>41</v>
      </c>
      <c r="E4630">
        <v>2000722732</v>
      </c>
      <c r="F4630">
        <v>1100</v>
      </c>
      <c r="G4630">
        <v>80</v>
      </c>
      <c r="H4630">
        <v>0</v>
      </c>
      <c r="I4630" t="s">
        <v>185</v>
      </c>
      <c r="J4630" t="s">
        <v>645</v>
      </c>
      <c r="K4630" t="s">
        <v>765</v>
      </c>
      <c r="O4630">
        <v>0</v>
      </c>
      <c r="U4630" t="s">
        <v>81</v>
      </c>
    </row>
    <row r="4631" spans="1:21" x14ac:dyDescent="0.25">
      <c r="A4631" s="33">
        <v>4652</v>
      </c>
      <c r="B4631" s="24">
        <v>44287</v>
      </c>
      <c r="C4631" t="s">
        <v>181</v>
      </c>
      <c r="D4631" t="s">
        <v>41</v>
      </c>
      <c r="E4631">
        <v>2000721967</v>
      </c>
      <c r="F4631">
        <v>2001</v>
      </c>
      <c r="G4631">
        <v>120</v>
      </c>
      <c r="H4631">
        <v>0</v>
      </c>
      <c r="I4631" t="s">
        <v>185</v>
      </c>
      <c r="J4631" t="s">
        <v>687</v>
      </c>
      <c r="K4631" t="s">
        <v>688</v>
      </c>
      <c r="O4631">
        <v>0</v>
      </c>
      <c r="U4631" t="s">
        <v>81</v>
      </c>
    </row>
    <row r="4632" spans="1:21" x14ac:dyDescent="0.25">
      <c r="A4632" s="33">
        <v>4653</v>
      </c>
      <c r="B4632" s="24">
        <v>44287</v>
      </c>
      <c r="C4632" t="s">
        <v>181</v>
      </c>
      <c r="D4632" t="s">
        <v>41</v>
      </c>
      <c r="E4632">
        <v>2000722144</v>
      </c>
      <c r="F4632">
        <v>1800</v>
      </c>
      <c r="G4632">
        <v>20</v>
      </c>
      <c r="H4632">
        <v>0</v>
      </c>
      <c r="I4632" t="s">
        <v>185</v>
      </c>
      <c r="J4632" t="s">
        <v>172</v>
      </c>
      <c r="K4632" t="s">
        <v>173</v>
      </c>
      <c r="O4632">
        <v>0</v>
      </c>
      <c r="U4632" t="s">
        <v>81</v>
      </c>
    </row>
    <row r="4633" spans="1:21" x14ac:dyDescent="0.25">
      <c r="A4633" s="33">
        <v>4654</v>
      </c>
      <c r="B4633" s="24">
        <v>44287</v>
      </c>
      <c r="C4633" t="s">
        <v>181</v>
      </c>
      <c r="D4633" t="s">
        <v>41</v>
      </c>
      <c r="E4633">
        <v>2000721483</v>
      </c>
      <c r="F4633">
        <v>600</v>
      </c>
      <c r="G4633">
        <v>60</v>
      </c>
      <c r="H4633">
        <v>0</v>
      </c>
      <c r="I4633" t="s">
        <v>183</v>
      </c>
      <c r="J4633" t="s">
        <v>203</v>
      </c>
      <c r="K4633" t="s">
        <v>891</v>
      </c>
      <c r="O4633">
        <v>0</v>
      </c>
      <c r="U4633" t="s">
        <v>81</v>
      </c>
    </row>
    <row r="4634" spans="1:21" x14ac:dyDescent="0.25">
      <c r="A4634" s="33">
        <v>4655</v>
      </c>
      <c r="B4634" s="24">
        <v>44287</v>
      </c>
      <c r="C4634" t="s">
        <v>181</v>
      </c>
      <c r="D4634" t="s">
        <v>41</v>
      </c>
      <c r="E4634">
        <v>2000719972</v>
      </c>
      <c r="F4634">
        <v>1400</v>
      </c>
      <c r="G4634">
        <v>14</v>
      </c>
      <c r="H4634">
        <v>0</v>
      </c>
      <c r="I4634" t="s">
        <v>183</v>
      </c>
      <c r="J4634" t="s">
        <v>203</v>
      </c>
      <c r="K4634" t="s">
        <v>891</v>
      </c>
      <c r="O4634">
        <v>0</v>
      </c>
      <c r="U4634" t="s">
        <v>81</v>
      </c>
    </row>
    <row r="4635" spans="1:21" x14ac:dyDescent="0.25">
      <c r="A4635" s="33">
        <v>4656</v>
      </c>
      <c r="B4635" s="24">
        <v>44287</v>
      </c>
      <c r="C4635" t="s">
        <v>181</v>
      </c>
      <c r="D4635" t="s">
        <v>41</v>
      </c>
      <c r="E4635">
        <v>2000722260</v>
      </c>
      <c r="F4635">
        <v>3200</v>
      </c>
      <c r="G4635">
        <v>800</v>
      </c>
      <c r="H4635">
        <v>0</v>
      </c>
      <c r="I4635" t="s">
        <v>183</v>
      </c>
      <c r="J4635" t="s">
        <v>203</v>
      </c>
      <c r="K4635" t="s">
        <v>788</v>
      </c>
      <c r="O4635">
        <v>0</v>
      </c>
      <c r="U4635" t="s">
        <v>81</v>
      </c>
    </row>
    <row r="4636" spans="1:21" x14ac:dyDescent="0.25">
      <c r="A4636" s="33">
        <v>4657</v>
      </c>
      <c r="B4636" s="24">
        <v>44287</v>
      </c>
      <c r="C4636" t="s">
        <v>181</v>
      </c>
      <c r="D4636" t="s">
        <v>41</v>
      </c>
      <c r="E4636">
        <v>2000721982</v>
      </c>
      <c r="F4636">
        <v>1270</v>
      </c>
      <c r="G4636">
        <v>40</v>
      </c>
      <c r="H4636">
        <v>0</v>
      </c>
      <c r="I4636" t="s">
        <v>183</v>
      </c>
      <c r="J4636" t="s">
        <v>174</v>
      </c>
      <c r="K4636" t="s">
        <v>177</v>
      </c>
      <c r="O4636">
        <v>0</v>
      </c>
      <c r="U4636" t="s">
        <v>81</v>
      </c>
    </row>
    <row r="4637" spans="1:21" x14ac:dyDescent="0.25">
      <c r="A4637" s="33">
        <v>4658</v>
      </c>
      <c r="B4637" s="24">
        <v>44287</v>
      </c>
      <c r="C4637" t="s">
        <v>181</v>
      </c>
      <c r="D4637" t="s">
        <v>41</v>
      </c>
      <c r="E4637">
        <v>2000722282</v>
      </c>
      <c r="F4637">
        <v>520</v>
      </c>
      <c r="G4637">
        <v>298</v>
      </c>
      <c r="H4637">
        <v>0</v>
      </c>
      <c r="I4637" t="s">
        <v>183</v>
      </c>
      <c r="J4637" t="s">
        <v>203</v>
      </c>
      <c r="K4637" t="s">
        <v>638</v>
      </c>
      <c r="O4637">
        <v>0</v>
      </c>
      <c r="U4637" t="s">
        <v>81</v>
      </c>
    </row>
    <row r="4638" spans="1:21" x14ac:dyDescent="0.25">
      <c r="A4638" s="33">
        <v>4659</v>
      </c>
      <c r="B4638" s="24">
        <v>44287</v>
      </c>
      <c r="C4638" t="s">
        <v>181</v>
      </c>
      <c r="D4638" t="s">
        <v>41</v>
      </c>
      <c r="E4638">
        <v>2000722283</v>
      </c>
      <c r="F4638">
        <v>510</v>
      </c>
      <c r="G4638">
        <v>40</v>
      </c>
      <c r="H4638">
        <v>0</v>
      </c>
      <c r="I4638" t="s">
        <v>183</v>
      </c>
      <c r="J4638" t="s">
        <v>203</v>
      </c>
      <c r="K4638" t="s">
        <v>639</v>
      </c>
      <c r="O4638">
        <v>0</v>
      </c>
      <c r="U4638" t="s">
        <v>81</v>
      </c>
    </row>
    <row r="4639" spans="1:21" x14ac:dyDescent="0.25">
      <c r="A4639" s="33">
        <v>4660</v>
      </c>
      <c r="B4639" s="24">
        <v>44287</v>
      </c>
      <c r="C4639" t="s">
        <v>181</v>
      </c>
      <c r="D4639" t="s">
        <v>51</v>
      </c>
      <c r="E4639">
        <v>2000721875</v>
      </c>
      <c r="F4639">
        <v>350</v>
      </c>
      <c r="G4639">
        <v>80</v>
      </c>
      <c r="H4639">
        <v>0</v>
      </c>
      <c r="I4639" t="s">
        <v>693</v>
      </c>
      <c r="J4639" t="s">
        <v>937</v>
      </c>
      <c r="K4639" t="s">
        <v>760</v>
      </c>
      <c r="O4639">
        <v>0</v>
      </c>
      <c r="U4639" t="s">
        <v>81</v>
      </c>
    </row>
    <row r="4640" spans="1:21" ht="45" x14ac:dyDescent="0.25">
      <c r="A4640" s="33">
        <v>4661</v>
      </c>
      <c r="B4640" s="24">
        <v>44287</v>
      </c>
      <c r="C4640" t="s">
        <v>181</v>
      </c>
      <c r="D4640" t="s">
        <v>51</v>
      </c>
      <c r="E4640">
        <v>2000721877</v>
      </c>
      <c r="F4640">
        <v>600</v>
      </c>
      <c r="G4640">
        <v>120</v>
      </c>
      <c r="H4640">
        <v>0</v>
      </c>
      <c r="I4640" t="s">
        <v>693</v>
      </c>
      <c r="J4640" t="s">
        <v>669</v>
      </c>
      <c r="K4640" t="s">
        <v>707</v>
      </c>
      <c r="O4640">
        <v>0</v>
      </c>
      <c r="T4640" s="62" t="s">
        <v>775</v>
      </c>
      <c r="U4640" t="s">
        <v>81</v>
      </c>
    </row>
    <row r="4641" spans="1:21" x14ac:dyDescent="0.25">
      <c r="A4641" s="33">
        <v>4662</v>
      </c>
      <c r="B4641" s="24">
        <v>44287</v>
      </c>
      <c r="C4641" t="s">
        <v>181</v>
      </c>
      <c r="D4641" t="s">
        <v>51</v>
      </c>
      <c r="E4641">
        <v>2000721881</v>
      </c>
      <c r="F4641">
        <v>270</v>
      </c>
      <c r="G4641">
        <v>35</v>
      </c>
      <c r="H4641">
        <v>0</v>
      </c>
      <c r="I4641" t="s">
        <v>693</v>
      </c>
      <c r="J4641" t="s">
        <v>709</v>
      </c>
      <c r="K4641" t="s">
        <v>743</v>
      </c>
      <c r="O4641">
        <v>0</v>
      </c>
      <c r="U4641" t="s">
        <v>81</v>
      </c>
    </row>
    <row r="4642" spans="1:21" x14ac:dyDescent="0.25">
      <c r="A4642" s="33">
        <v>4663</v>
      </c>
      <c r="B4642" s="24">
        <v>44287</v>
      </c>
      <c r="C4642" t="s">
        <v>181</v>
      </c>
      <c r="D4642" t="s">
        <v>51</v>
      </c>
      <c r="E4642">
        <v>2000721880</v>
      </c>
      <c r="F4642">
        <v>270</v>
      </c>
      <c r="G4642">
        <v>70</v>
      </c>
      <c r="H4642">
        <v>0</v>
      </c>
      <c r="I4642" t="s">
        <v>693</v>
      </c>
      <c r="J4642" t="s">
        <v>709</v>
      </c>
      <c r="K4642" t="s">
        <v>743</v>
      </c>
      <c r="O4642">
        <v>0</v>
      </c>
      <c r="U4642" t="s">
        <v>81</v>
      </c>
    </row>
    <row r="4643" spans="1:21" x14ac:dyDescent="0.25">
      <c r="A4643" s="33">
        <v>4664</v>
      </c>
      <c r="B4643" s="24">
        <v>44287</v>
      </c>
      <c r="C4643" t="s">
        <v>181</v>
      </c>
      <c r="D4643" t="s">
        <v>51</v>
      </c>
      <c r="E4643">
        <v>2000722444</v>
      </c>
      <c r="F4643">
        <v>345</v>
      </c>
      <c r="G4643">
        <v>96</v>
      </c>
      <c r="H4643">
        <v>0</v>
      </c>
      <c r="I4643" t="s">
        <v>693</v>
      </c>
      <c r="J4643" t="s">
        <v>709</v>
      </c>
      <c r="K4643" t="s">
        <v>710</v>
      </c>
      <c r="O4643">
        <v>0</v>
      </c>
      <c r="U4643" t="s">
        <v>81</v>
      </c>
    </row>
    <row r="4644" spans="1:21" x14ac:dyDescent="0.25">
      <c r="A4644" s="33">
        <v>4665</v>
      </c>
      <c r="B4644" s="24">
        <v>44287</v>
      </c>
      <c r="C4644" t="s">
        <v>181</v>
      </c>
      <c r="D4644" t="s">
        <v>51</v>
      </c>
      <c r="E4644">
        <v>2000721877</v>
      </c>
      <c r="F4644">
        <v>600</v>
      </c>
      <c r="G4644">
        <v>360</v>
      </c>
      <c r="H4644">
        <v>0</v>
      </c>
      <c r="I4644" t="s">
        <v>706</v>
      </c>
      <c r="J4644" t="s">
        <v>669</v>
      </c>
      <c r="K4644" t="s">
        <v>707</v>
      </c>
      <c r="O4644">
        <v>0</v>
      </c>
      <c r="U4644" t="s">
        <v>81</v>
      </c>
    </row>
    <row r="4645" spans="1:21" x14ac:dyDescent="0.25">
      <c r="A4645" s="33">
        <v>4666</v>
      </c>
      <c r="B4645" s="24">
        <v>44287</v>
      </c>
      <c r="C4645" t="s">
        <v>181</v>
      </c>
      <c r="D4645" t="s">
        <v>51</v>
      </c>
      <c r="E4645">
        <v>2000722291</v>
      </c>
      <c r="F4645">
        <v>1080</v>
      </c>
      <c r="G4645">
        <v>180</v>
      </c>
      <c r="H4645">
        <v>0</v>
      </c>
      <c r="I4645" t="s">
        <v>706</v>
      </c>
      <c r="J4645" t="s">
        <v>667</v>
      </c>
      <c r="K4645" t="s">
        <v>730</v>
      </c>
      <c r="O4645">
        <v>0</v>
      </c>
      <c r="U4645" t="s">
        <v>81</v>
      </c>
    </row>
    <row r="4646" spans="1:21" x14ac:dyDescent="0.25">
      <c r="A4646" s="33">
        <v>4667</v>
      </c>
      <c r="B4646" s="24">
        <v>44288</v>
      </c>
      <c r="C4646" t="s">
        <v>39</v>
      </c>
      <c r="D4646" t="s">
        <v>41</v>
      </c>
      <c r="E4646">
        <v>2000722223</v>
      </c>
      <c r="F4646">
        <v>3200</v>
      </c>
      <c r="G4646">
        <v>160</v>
      </c>
      <c r="H4646">
        <v>0</v>
      </c>
      <c r="I4646" t="s">
        <v>666</v>
      </c>
      <c r="J4646" t="s">
        <v>200</v>
      </c>
      <c r="K4646" t="s">
        <v>653</v>
      </c>
      <c r="O4646">
        <v>0</v>
      </c>
      <c r="U4646" t="s">
        <v>81</v>
      </c>
    </row>
    <row r="4647" spans="1:21" x14ac:dyDescent="0.25">
      <c r="A4647" s="33">
        <v>4668</v>
      </c>
      <c r="B4647" s="24">
        <v>44288</v>
      </c>
      <c r="C4647" t="s">
        <v>39</v>
      </c>
      <c r="D4647" t="s">
        <v>41</v>
      </c>
      <c r="E4647">
        <v>2000722197</v>
      </c>
      <c r="F4647">
        <v>1000</v>
      </c>
      <c r="G4647">
        <v>80</v>
      </c>
      <c r="H4647">
        <v>0</v>
      </c>
      <c r="I4647" t="s">
        <v>666</v>
      </c>
      <c r="J4647" t="s">
        <v>645</v>
      </c>
      <c r="K4647" t="s">
        <v>694</v>
      </c>
      <c r="O4647">
        <v>0</v>
      </c>
      <c r="U4647" t="s">
        <v>81</v>
      </c>
    </row>
    <row r="4648" spans="1:21" x14ac:dyDescent="0.25">
      <c r="A4648" s="33">
        <v>4669</v>
      </c>
      <c r="B4648" s="24">
        <v>44288</v>
      </c>
      <c r="C4648" t="s">
        <v>39</v>
      </c>
      <c r="D4648" t="s">
        <v>41</v>
      </c>
      <c r="E4648">
        <v>2000722655</v>
      </c>
      <c r="F4648">
        <v>3900</v>
      </c>
      <c r="G4648">
        <v>90</v>
      </c>
      <c r="H4648">
        <v>0</v>
      </c>
      <c r="I4648" t="s">
        <v>666</v>
      </c>
      <c r="J4648" t="s">
        <v>172</v>
      </c>
      <c r="K4648" t="s">
        <v>173</v>
      </c>
      <c r="O4648">
        <v>0</v>
      </c>
      <c r="U4648" t="s">
        <v>81</v>
      </c>
    </row>
    <row r="4649" spans="1:21" x14ac:dyDescent="0.25">
      <c r="A4649" s="33">
        <v>4670</v>
      </c>
      <c r="B4649" s="24">
        <v>44288</v>
      </c>
      <c r="C4649" t="s">
        <v>39</v>
      </c>
      <c r="D4649" t="s">
        <v>41</v>
      </c>
      <c r="E4649">
        <v>2000722081</v>
      </c>
      <c r="F4649">
        <v>1000</v>
      </c>
      <c r="G4649">
        <v>20</v>
      </c>
      <c r="H4649">
        <v>0</v>
      </c>
      <c r="I4649" t="s">
        <v>666</v>
      </c>
      <c r="J4649" t="s">
        <v>193</v>
      </c>
      <c r="K4649" t="s">
        <v>647</v>
      </c>
      <c r="O4649">
        <v>0</v>
      </c>
      <c r="U4649" t="s">
        <v>81</v>
      </c>
    </row>
    <row r="4650" spans="1:21" x14ac:dyDescent="0.25">
      <c r="A4650" s="33">
        <v>4671</v>
      </c>
      <c r="B4650" s="24">
        <v>44288</v>
      </c>
      <c r="C4650" t="s">
        <v>39</v>
      </c>
      <c r="D4650" t="s">
        <v>41</v>
      </c>
      <c r="E4650">
        <v>2000722240</v>
      </c>
      <c r="F4650">
        <v>1800</v>
      </c>
      <c r="G4650">
        <v>120</v>
      </c>
      <c r="H4650">
        <v>0</v>
      </c>
      <c r="I4650" t="s">
        <v>666</v>
      </c>
      <c r="J4650" t="s">
        <v>655</v>
      </c>
      <c r="K4650" t="s">
        <v>656</v>
      </c>
      <c r="O4650">
        <v>0</v>
      </c>
      <c r="U4650" t="s">
        <v>81</v>
      </c>
    </row>
    <row r="4651" spans="1:21" x14ac:dyDescent="0.25">
      <c r="A4651" s="33">
        <v>4672</v>
      </c>
      <c r="B4651" s="24">
        <v>44288</v>
      </c>
      <c r="C4651" t="s">
        <v>39</v>
      </c>
      <c r="D4651" t="s">
        <v>41</v>
      </c>
      <c r="E4651">
        <v>2000722205</v>
      </c>
      <c r="F4651">
        <v>2800</v>
      </c>
      <c r="G4651">
        <v>120</v>
      </c>
      <c r="H4651">
        <v>0</v>
      </c>
      <c r="I4651" t="s">
        <v>666</v>
      </c>
      <c r="J4651" t="s">
        <v>645</v>
      </c>
      <c r="K4651" t="s">
        <v>721</v>
      </c>
      <c r="O4651">
        <v>0</v>
      </c>
      <c r="U4651" t="s">
        <v>81</v>
      </c>
    </row>
    <row r="4652" spans="1:21" x14ac:dyDescent="0.25">
      <c r="A4652" s="33">
        <v>4673</v>
      </c>
      <c r="B4652" s="24">
        <v>44288</v>
      </c>
      <c r="C4652" t="s">
        <v>39</v>
      </c>
      <c r="D4652" t="s">
        <v>41</v>
      </c>
      <c r="E4652">
        <v>2000722784</v>
      </c>
      <c r="F4652">
        <v>540</v>
      </c>
      <c r="G4652">
        <v>80</v>
      </c>
      <c r="H4652">
        <v>0</v>
      </c>
      <c r="I4652" t="s">
        <v>666</v>
      </c>
      <c r="J4652" t="s">
        <v>687</v>
      </c>
      <c r="K4652" t="s">
        <v>705</v>
      </c>
      <c r="O4652">
        <v>0</v>
      </c>
      <c r="U4652" t="s">
        <v>81</v>
      </c>
    </row>
    <row r="4653" spans="1:21" x14ac:dyDescent="0.25">
      <c r="A4653" s="33">
        <v>4674</v>
      </c>
      <c r="B4653" s="24">
        <v>44288</v>
      </c>
      <c r="C4653" t="s">
        <v>39</v>
      </c>
      <c r="D4653" t="s">
        <v>41</v>
      </c>
      <c r="E4653">
        <v>2000722519</v>
      </c>
      <c r="F4653">
        <v>900</v>
      </c>
      <c r="G4653">
        <v>20</v>
      </c>
      <c r="H4653">
        <v>0</v>
      </c>
      <c r="I4653" t="s">
        <v>661</v>
      </c>
      <c r="J4653" t="s">
        <v>169</v>
      </c>
      <c r="K4653" t="s">
        <v>190</v>
      </c>
      <c r="O4653">
        <v>0</v>
      </c>
      <c r="U4653" t="s">
        <v>81</v>
      </c>
    </row>
    <row r="4654" spans="1:21" x14ac:dyDescent="0.25">
      <c r="A4654" s="33">
        <v>4675</v>
      </c>
      <c r="B4654" s="24">
        <v>44288</v>
      </c>
      <c r="C4654" t="s">
        <v>39</v>
      </c>
      <c r="D4654" t="s">
        <v>41</v>
      </c>
      <c r="E4654">
        <v>2000722520</v>
      </c>
      <c r="F4654">
        <v>520</v>
      </c>
      <c r="G4654">
        <v>80</v>
      </c>
      <c r="H4654">
        <v>0</v>
      </c>
      <c r="I4654" t="s">
        <v>661</v>
      </c>
      <c r="J4654" t="s">
        <v>169</v>
      </c>
      <c r="K4654" t="s">
        <v>663</v>
      </c>
      <c r="O4654">
        <v>0</v>
      </c>
      <c r="U4654" t="s">
        <v>81</v>
      </c>
    </row>
    <row r="4655" spans="1:21" x14ac:dyDescent="0.25">
      <c r="A4655" s="33">
        <v>4676</v>
      </c>
      <c r="B4655" s="24">
        <v>44288</v>
      </c>
      <c r="C4655" t="s">
        <v>39</v>
      </c>
      <c r="D4655" t="s">
        <v>41</v>
      </c>
      <c r="E4655">
        <v>2000722081</v>
      </c>
      <c r="F4655">
        <v>1000</v>
      </c>
      <c r="G4655">
        <v>40</v>
      </c>
      <c r="H4655">
        <v>0</v>
      </c>
      <c r="I4655" t="s">
        <v>661</v>
      </c>
      <c r="J4655" t="s">
        <v>193</v>
      </c>
      <c r="K4655" t="s">
        <v>647</v>
      </c>
      <c r="O4655">
        <v>0</v>
      </c>
      <c r="U4655" t="s">
        <v>81</v>
      </c>
    </row>
    <row r="4656" spans="1:21" x14ac:dyDescent="0.25">
      <c r="A4656" s="33">
        <v>4677</v>
      </c>
      <c r="B4656" s="24">
        <v>44288</v>
      </c>
      <c r="C4656" t="s">
        <v>39</v>
      </c>
      <c r="D4656" t="s">
        <v>41</v>
      </c>
      <c r="E4656">
        <v>2000722144</v>
      </c>
      <c r="F4656">
        <v>1800</v>
      </c>
      <c r="G4656">
        <v>100</v>
      </c>
      <c r="H4656">
        <v>0</v>
      </c>
      <c r="I4656" t="s">
        <v>178</v>
      </c>
      <c r="J4656" t="s">
        <v>172</v>
      </c>
      <c r="K4656" t="s">
        <v>173</v>
      </c>
      <c r="O4656">
        <v>0</v>
      </c>
      <c r="U4656" t="s">
        <v>81</v>
      </c>
    </row>
    <row r="4657" spans="1:21" x14ac:dyDescent="0.25">
      <c r="A4657" s="33">
        <v>4678</v>
      </c>
      <c r="B4657" s="24">
        <v>44288</v>
      </c>
      <c r="C4657" t="s">
        <v>39</v>
      </c>
      <c r="D4657" t="s">
        <v>41</v>
      </c>
      <c r="E4657">
        <v>2000721960</v>
      </c>
      <c r="F4657">
        <v>1800</v>
      </c>
      <c r="G4657">
        <v>535</v>
      </c>
      <c r="H4657">
        <v>0</v>
      </c>
      <c r="I4657" t="s">
        <v>178</v>
      </c>
      <c r="J4657" t="s">
        <v>174</v>
      </c>
      <c r="K4657" t="s">
        <v>774</v>
      </c>
      <c r="O4657">
        <v>0</v>
      </c>
      <c r="U4657" t="s">
        <v>81</v>
      </c>
    </row>
    <row r="4658" spans="1:21" x14ac:dyDescent="0.25">
      <c r="A4658" s="33">
        <v>4679</v>
      </c>
      <c r="B4658" s="24">
        <v>44288</v>
      </c>
      <c r="C4658" t="s">
        <v>39</v>
      </c>
      <c r="D4658" t="s">
        <v>41</v>
      </c>
      <c r="E4658">
        <v>2000721951</v>
      </c>
      <c r="F4658">
        <v>1000</v>
      </c>
      <c r="G4658">
        <v>90</v>
      </c>
      <c r="H4658">
        <v>0</v>
      </c>
      <c r="I4658" t="s">
        <v>178</v>
      </c>
      <c r="J4658" t="s">
        <v>169</v>
      </c>
      <c r="K4658" t="s">
        <v>637</v>
      </c>
      <c r="O4658">
        <v>0</v>
      </c>
      <c r="U4658" t="s">
        <v>81</v>
      </c>
    </row>
    <row r="4659" spans="1:21" x14ac:dyDescent="0.25">
      <c r="A4659" s="33">
        <v>4680</v>
      </c>
      <c r="B4659" s="24">
        <v>44288</v>
      </c>
      <c r="C4659" t="s">
        <v>39</v>
      </c>
      <c r="D4659" t="s">
        <v>41</v>
      </c>
      <c r="E4659">
        <v>2000722283</v>
      </c>
      <c r="F4659">
        <v>510</v>
      </c>
      <c r="G4659">
        <v>167</v>
      </c>
      <c r="H4659">
        <v>0</v>
      </c>
      <c r="I4659" t="s">
        <v>1065</v>
      </c>
      <c r="J4659" t="s">
        <v>203</v>
      </c>
      <c r="K4659" t="s">
        <v>639</v>
      </c>
      <c r="O4659">
        <v>0</v>
      </c>
      <c r="U4659" t="s">
        <v>81</v>
      </c>
    </row>
    <row r="4660" spans="1:21" x14ac:dyDescent="0.25">
      <c r="A4660" s="33">
        <v>4681</v>
      </c>
      <c r="B4660" s="24">
        <v>44288</v>
      </c>
      <c r="C4660" t="s">
        <v>39</v>
      </c>
      <c r="D4660" t="s">
        <v>41</v>
      </c>
      <c r="E4660">
        <v>2000722284</v>
      </c>
      <c r="F4660">
        <v>370</v>
      </c>
      <c r="G4660">
        <v>60</v>
      </c>
      <c r="H4660">
        <v>0</v>
      </c>
      <c r="I4660" t="s">
        <v>1065</v>
      </c>
      <c r="J4660" t="s">
        <v>203</v>
      </c>
      <c r="K4660" t="s">
        <v>785</v>
      </c>
      <c r="O4660">
        <v>0</v>
      </c>
      <c r="U4660" t="s">
        <v>81</v>
      </c>
    </row>
    <row r="4661" spans="1:21" x14ac:dyDescent="0.25">
      <c r="A4661" s="33">
        <v>4682</v>
      </c>
      <c r="B4661" s="24">
        <v>44288</v>
      </c>
      <c r="C4661" t="s">
        <v>39</v>
      </c>
      <c r="D4661" t="s">
        <v>41</v>
      </c>
      <c r="E4661">
        <v>2000721960</v>
      </c>
      <c r="F4661">
        <v>1800</v>
      </c>
      <c r="G4661">
        <v>65</v>
      </c>
      <c r="H4661">
        <v>0</v>
      </c>
      <c r="I4661" t="s">
        <v>191</v>
      </c>
      <c r="J4661" t="s">
        <v>174</v>
      </c>
      <c r="K4661" t="s">
        <v>774</v>
      </c>
      <c r="O4661">
        <v>0</v>
      </c>
      <c r="U4661" t="s">
        <v>81</v>
      </c>
    </row>
    <row r="4662" spans="1:21" x14ac:dyDescent="0.25">
      <c r="A4662" s="33">
        <v>4683</v>
      </c>
      <c r="B4662" s="24">
        <v>44288</v>
      </c>
      <c r="C4662" t="s">
        <v>39</v>
      </c>
      <c r="D4662" t="s">
        <v>41</v>
      </c>
      <c r="E4662">
        <v>2000722284</v>
      </c>
      <c r="F4662">
        <v>370</v>
      </c>
      <c r="G4662">
        <v>286</v>
      </c>
      <c r="H4662">
        <v>0</v>
      </c>
      <c r="I4662" t="s">
        <v>191</v>
      </c>
      <c r="J4662" t="s">
        <v>203</v>
      </c>
      <c r="K4662" t="s">
        <v>785</v>
      </c>
      <c r="O4662">
        <v>0</v>
      </c>
      <c r="U4662" t="s">
        <v>81</v>
      </c>
    </row>
    <row r="4663" spans="1:21" x14ac:dyDescent="0.25">
      <c r="A4663" s="33">
        <v>4684</v>
      </c>
      <c r="B4663" s="24">
        <v>44288</v>
      </c>
      <c r="C4663" t="s">
        <v>39</v>
      </c>
      <c r="D4663" t="s">
        <v>41</v>
      </c>
      <c r="E4663">
        <v>2000722285</v>
      </c>
      <c r="F4663">
        <v>300</v>
      </c>
      <c r="G4663">
        <v>150</v>
      </c>
      <c r="H4663">
        <v>0</v>
      </c>
      <c r="I4663" t="s">
        <v>191</v>
      </c>
      <c r="J4663" t="s">
        <v>203</v>
      </c>
      <c r="K4663" t="s">
        <v>891</v>
      </c>
      <c r="O4663">
        <v>0</v>
      </c>
      <c r="U4663" t="s">
        <v>81</v>
      </c>
    </row>
    <row r="4664" spans="1:21" x14ac:dyDescent="0.25">
      <c r="A4664" s="33">
        <v>4685</v>
      </c>
      <c r="B4664" s="24">
        <v>44288</v>
      </c>
      <c r="C4664" t="s">
        <v>39</v>
      </c>
      <c r="D4664" t="s">
        <v>41</v>
      </c>
      <c r="E4664">
        <v>2000722283</v>
      </c>
      <c r="F4664">
        <v>510</v>
      </c>
      <c r="G4664">
        <v>60</v>
      </c>
      <c r="H4664">
        <v>0</v>
      </c>
      <c r="I4664" t="s">
        <v>168</v>
      </c>
      <c r="J4664" t="s">
        <v>203</v>
      </c>
      <c r="K4664" t="s">
        <v>639</v>
      </c>
      <c r="O4664">
        <v>0</v>
      </c>
      <c r="U4664" t="s">
        <v>81</v>
      </c>
    </row>
    <row r="4665" spans="1:21" x14ac:dyDescent="0.25">
      <c r="A4665" s="33">
        <v>4686</v>
      </c>
      <c r="B4665" s="24">
        <v>44288</v>
      </c>
      <c r="C4665" t="s">
        <v>39</v>
      </c>
      <c r="D4665" t="s">
        <v>41</v>
      </c>
      <c r="E4665">
        <v>2000721982</v>
      </c>
      <c r="F4665">
        <v>1270</v>
      </c>
      <c r="G4665">
        <v>40</v>
      </c>
      <c r="H4665">
        <v>0</v>
      </c>
      <c r="I4665" t="s">
        <v>168</v>
      </c>
      <c r="J4665" t="s">
        <v>174</v>
      </c>
      <c r="K4665" t="s">
        <v>177</v>
      </c>
      <c r="O4665">
        <v>0</v>
      </c>
      <c r="U4665" t="s">
        <v>81</v>
      </c>
    </row>
    <row r="4666" spans="1:21" x14ac:dyDescent="0.25">
      <c r="A4666" s="33">
        <v>4687</v>
      </c>
      <c r="B4666" s="24">
        <v>44288</v>
      </c>
      <c r="C4666" t="s">
        <v>39</v>
      </c>
      <c r="D4666" t="s">
        <v>41</v>
      </c>
      <c r="E4666">
        <v>2000722284</v>
      </c>
      <c r="F4666">
        <v>370</v>
      </c>
      <c r="G4666">
        <v>40</v>
      </c>
      <c r="H4666">
        <v>0</v>
      </c>
      <c r="I4666" t="s">
        <v>168</v>
      </c>
      <c r="J4666" t="s">
        <v>203</v>
      </c>
      <c r="K4666" t="s">
        <v>785</v>
      </c>
      <c r="O4666">
        <v>0</v>
      </c>
      <c r="U4666" t="s">
        <v>81</v>
      </c>
    </row>
    <row r="4667" spans="1:21" x14ac:dyDescent="0.25">
      <c r="A4667" s="33">
        <v>4688</v>
      </c>
      <c r="B4667" s="24">
        <v>44288</v>
      </c>
      <c r="C4667" t="s">
        <v>39</v>
      </c>
      <c r="D4667" t="s">
        <v>41</v>
      </c>
      <c r="E4667">
        <v>2000722701</v>
      </c>
      <c r="F4667">
        <v>681</v>
      </c>
      <c r="G4667">
        <v>80</v>
      </c>
      <c r="H4667">
        <v>0</v>
      </c>
      <c r="I4667" t="s">
        <v>1040</v>
      </c>
      <c r="J4667" t="s">
        <v>687</v>
      </c>
      <c r="K4667" t="s">
        <v>898</v>
      </c>
      <c r="O4667">
        <v>0</v>
      </c>
      <c r="U4667" t="s">
        <v>81</v>
      </c>
    </row>
    <row r="4668" spans="1:21" x14ac:dyDescent="0.25">
      <c r="A4668" s="33">
        <v>4689</v>
      </c>
      <c r="B4668" s="24">
        <v>44288</v>
      </c>
      <c r="C4668" t="s">
        <v>39</v>
      </c>
      <c r="D4668" t="s">
        <v>41</v>
      </c>
      <c r="E4668">
        <v>2000721994</v>
      </c>
      <c r="F4668">
        <v>440</v>
      </c>
      <c r="G4668">
        <v>80</v>
      </c>
      <c r="H4668">
        <v>0</v>
      </c>
      <c r="I4668" t="s">
        <v>1040</v>
      </c>
      <c r="J4668" t="s">
        <v>174</v>
      </c>
      <c r="K4668" t="s">
        <v>805</v>
      </c>
      <c r="O4668">
        <v>0</v>
      </c>
      <c r="U4668" t="s">
        <v>81</v>
      </c>
    </row>
    <row r="4669" spans="1:21" x14ac:dyDescent="0.25">
      <c r="A4669" s="33">
        <v>4690</v>
      </c>
      <c r="B4669" s="24">
        <v>44288</v>
      </c>
      <c r="C4669" t="s">
        <v>39</v>
      </c>
      <c r="D4669" t="s">
        <v>41</v>
      </c>
      <c r="E4669">
        <v>2000722143</v>
      </c>
      <c r="F4669">
        <v>1800</v>
      </c>
      <c r="G4669">
        <v>125</v>
      </c>
      <c r="H4669">
        <v>0</v>
      </c>
      <c r="I4669" t="s">
        <v>1157</v>
      </c>
      <c r="J4669" t="s">
        <v>172</v>
      </c>
      <c r="K4669" t="s">
        <v>725</v>
      </c>
      <c r="O4669">
        <v>0</v>
      </c>
      <c r="U4669" t="s">
        <v>81</v>
      </c>
    </row>
    <row r="4670" spans="1:21" x14ac:dyDescent="0.25">
      <c r="A4670" s="33">
        <v>4691</v>
      </c>
      <c r="B4670" s="24">
        <v>44288</v>
      </c>
      <c r="C4670" t="s">
        <v>39</v>
      </c>
      <c r="D4670" t="s">
        <v>41</v>
      </c>
      <c r="E4670">
        <v>2000721634</v>
      </c>
      <c r="F4670">
        <v>2000</v>
      </c>
      <c r="G4670">
        <v>125</v>
      </c>
      <c r="H4670">
        <v>0</v>
      </c>
      <c r="I4670" t="s">
        <v>1157</v>
      </c>
      <c r="J4670" t="s">
        <v>645</v>
      </c>
      <c r="K4670" t="s">
        <v>739</v>
      </c>
      <c r="O4670">
        <v>0</v>
      </c>
      <c r="U4670" t="s">
        <v>81</v>
      </c>
    </row>
    <row r="4671" spans="1:21" x14ac:dyDescent="0.25">
      <c r="A4671" s="33">
        <v>4692</v>
      </c>
      <c r="B4671" s="24">
        <v>44288</v>
      </c>
      <c r="C4671" t="s">
        <v>39</v>
      </c>
      <c r="D4671" t="s">
        <v>41</v>
      </c>
      <c r="E4671">
        <v>2000722255</v>
      </c>
      <c r="F4671">
        <v>3900</v>
      </c>
      <c r="G4671">
        <v>200</v>
      </c>
      <c r="H4671">
        <v>0</v>
      </c>
      <c r="I4671" t="s">
        <v>1157</v>
      </c>
      <c r="J4671" t="s">
        <v>200</v>
      </c>
      <c r="K4671" t="s">
        <v>737</v>
      </c>
      <c r="O4671">
        <v>0</v>
      </c>
      <c r="U4671" t="s">
        <v>81</v>
      </c>
    </row>
    <row r="4672" spans="1:21" x14ac:dyDescent="0.25">
      <c r="A4672" s="33">
        <v>4693</v>
      </c>
      <c r="B4672" s="24">
        <v>44288</v>
      </c>
      <c r="C4672" t="s">
        <v>39</v>
      </c>
      <c r="D4672" t="s">
        <v>41</v>
      </c>
      <c r="E4672">
        <v>2000722263</v>
      </c>
      <c r="F4672">
        <v>7860</v>
      </c>
      <c r="G4672">
        <v>59</v>
      </c>
      <c r="H4672">
        <v>0</v>
      </c>
      <c r="I4672" t="s">
        <v>1157</v>
      </c>
      <c r="J4672" t="s">
        <v>200</v>
      </c>
      <c r="K4672" t="s">
        <v>737</v>
      </c>
      <c r="O4672">
        <v>0</v>
      </c>
      <c r="U4672" t="s">
        <v>81</v>
      </c>
    </row>
    <row r="4673" spans="1:21" x14ac:dyDescent="0.25">
      <c r="A4673" s="33">
        <v>4694</v>
      </c>
      <c r="B4673" s="24">
        <v>44288</v>
      </c>
      <c r="C4673" t="s">
        <v>39</v>
      </c>
      <c r="D4673" t="s">
        <v>41</v>
      </c>
      <c r="E4673">
        <v>2000721633</v>
      </c>
      <c r="F4673">
        <v>2000</v>
      </c>
      <c r="G4673">
        <v>200</v>
      </c>
      <c r="H4673">
        <v>0</v>
      </c>
      <c r="I4673" t="s">
        <v>201</v>
      </c>
      <c r="J4673" t="s">
        <v>645</v>
      </c>
      <c r="K4673" t="s">
        <v>1158</v>
      </c>
      <c r="O4673">
        <v>0</v>
      </c>
      <c r="U4673" t="s">
        <v>81</v>
      </c>
    </row>
    <row r="4674" spans="1:21" x14ac:dyDescent="0.25">
      <c r="A4674" s="33">
        <v>4695</v>
      </c>
      <c r="B4674" s="24">
        <v>44288</v>
      </c>
      <c r="C4674" t="s">
        <v>39</v>
      </c>
      <c r="D4674" t="s">
        <v>41</v>
      </c>
      <c r="E4674">
        <v>2000722258</v>
      </c>
      <c r="F4674">
        <v>720</v>
      </c>
      <c r="G4674">
        <v>400</v>
      </c>
      <c r="H4674">
        <v>0</v>
      </c>
      <c r="I4674" t="s">
        <v>201</v>
      </c>
      <c r="J4674" t="s">
        <v>745</v>
      </c>
      <c r="K4674" t="s">
        <v>879</v>
      </c>
      <c r="O4674">
        <v>0</v>
      </c>
      <c r="U4674" t="s">
        <v>81</v>
      </c>
    </row>
    <row r="4675" spans="1:21" x14ac:dyDescent="0.25">
      <c r="A4675" s="33">
        <v>4696</v>
      </c>
      <c r="B4675" s="24">
        <v>44288</v>
      </c>
      <c r="C4675" t="s">
        <v>39</v>
      </c>
      <c r="D4675" t="s">
        <v>41</v>
      </c>
      <c r="E4675">
        <v>2000722080</v>
      </c>
      <c r="F4675">
        <v>1000</v>
      </c>
      <c r="G4675">
        <v>160</v>
      </c>
      <c r="H4675">
        <v>0</v>
      </c>
      <c r="I4675" t="s">
        <v>201</v>
      </c>
      <c r="J4675" t="s">
        <v>193</v>
      </c>
      <c r="K4675" t="s">
        <v>686</v>
      </c>
      <c r="O4675">
        <v>0</v>
      </c>
      <c r="U4675" t="s">
        <v>81</v>
      </c>
    </row>
    <row r="4676" spans="1:21" x14ac:dyDescent="0.25">
      <c r="A4676" s="33">
        <v>4697</v>
      </c>
      <c r="B4676" s="24">
        <v>44288</v>
      </c>
      <c r="C4676" t="s">
        <v>39</v>
      </c>
      <c r="D4676" t="s">
        <v>41</v>
      </c>
      <c r="E4676">
        <v>2000721372</v>
      </c>
      <c r="F4676">
        <v>2450</v>
      </c>
      <c r="G4676">
        <v>240</v>
      </c>
      <c r="H4676">
        <v>0</v>
      </c>
      <c r="I4676" t="s">
        <v>201</v>
      </c>
      <c r="J4676" t="s">
        <v>203</v>
      </c>
      <c r="K4676" t="s">
        <v>640</v>
      </c>
      <c r="O4676">
        <v>0</v>
      </c>
      <c r="U4676" t="s">
        <v>81</v>
      </c>
    </row>
    <row r="4677" spans="1:21" x14ac:dyDescent="0.25">
      <c r="A4677" s="33">
        <v>4698</v>
      </c>
      <c r="B4677" s="24">
        <v>44288</v>
      </c>
      <c r="C4677" t="s">
        <v>39</v>
      </c>
      <c r="D4677" t="s">
        <v>41</v>
      </c>
      <c r="E4677">
        <v>2000722263</v>
      </c>
      <c r="F4677">
        <v>7860</v>
      </c>
      <c r="G4677">
        <v>241</v>
      </c>
      <c r="H4677">
        <v>0</v>
      </c>
      <c r="I4677" t="s">
        <v>201</v>
      </c>
      <c r="J4677" t="s">
        <v>200</v>
      </c>
      <c r="K4677" t="s">
        <v>737</v>
      </c>
      <c r="O4677">
        <v>0</v>
      </c>
      <c r="U4677" t="s">
        <v>81</v>
      </c>
    </row>
    <row r="4678" spans="1:21" x14ac:dyDescent="0.25">
      <c r="A4678" s="33">
        <v>4699</v>
      </c>
      <c r="B4678" s="24">
        <v>44288</v>
      </c>
      <c r="C4678" t="s">
        <v>39</v>
      </c>
      <c r="D4678" t="s">
        <v>41</v>
      </c>
      <c r="E4678">
        <v>2000722195</v>
      </c>
      <c r="F4678">
        <v>1000</v>
      </c>
      <c r="G4678">
        <v>150</v>
      </c>
      <c r="H4678">
        <v>0</v>
      </c>
      <c r="I4678" t="s">
        <v>201</v>
      </c>
      <c r="J4678" t="s">
        <v>645</v>
      </c>
      <c r="K4678" t="s">
        <v>726</v>
      </c>
      <c r="O4678">
        <v>0</v>
      </c>
      <c r="U4678" t="s">
        <v>81</v>
      </c>
    </row>
    <row r="4679" spans="1:21" x14ac:dyDescent="0.25">
      <c r="A4679" s="33">
        <v>4700</v>
      </c>
      <c r="B4679" s="24">
        <v>44288</v>
      </c>
      <c r="C4679" t="s">
        <v>39</v>
      </c>
      <c r="D4679" t="s">
        <v>41</v>
      </c>
      <c r="E4679">
        <v>2000721635</v>
      </c>
      <c r="F4679">
        <v>2000</v>
      </c>
      <c r="G4679">
        <v>150</v>
      </c>
      <c r="H4679">
        <v>0</v>
      </c>
      <c r="I4679" t="s">
        <v>201</v>
      </c>
      <c r="J4679" t="s">
        <v>645</v>
      </c>
      <c r="K4679" t="s">
        <v>658</v>
      </c>
      <c r="O4679">
        <v>0</v>
      </c>
      <c r="U4679" t="s">
        <v>81</v>
      </c>
    </row>
    <row r="4680" spans="1:21" x14ac:dyDescent="0.25">
      <c r="A4680" s="33">
        <v>4701</v>
      </c>
      <c r="B4680" s="24">
        <v>44288</v>
      </c>
      <c r="C4680" t="s">
        <v>39</v>
      </c>
      <c r="D4680" t="s">
        <v>41</v>
      </c>
      <c r="E4680">
        <v>2000722194</v>
      </c>
      <c r="F4680">
        <v>1000</v>
      </c>
      <c r="G4680">
        <v>200</v>
      </c>
      <c r="H4680">
        <v>0</v>
      </c>
      <c r="I4680" t="s">
        <v>201</v>
      </c>
      <c r="J4680" t="s">
        <v>645</v>
      </c>
      <c r="K4680" t="s">
        <v>727</v>
      </c>
      <c r="O4680">
        <v>0</v>
      </c>
      <c r="U4680" t="s">
        <v>81</v>
      </c>
    </row>
    <row r="4681" spans="1:21" x14ac:dyDescent="0.25">
      <c r="A4681" s="33">
        <v>4702</v>
      </c>
      <c r="B4681" s="24">
        <v>44288</v>
      </c>
      <c r="C4681" t="s">
        <v>39</v>
      </c>
      <c r="D4681" t="s">
        <v>41</v>
      </c>
      <c r="E4681">
        <v>2000722265</v>
      </c>
      <c r="F4681">
        <v>1800</v>
      </c>
      <c r="G4681">
        <v>120</v>
      </c>
      <c r="H4681">
        <v>0</v>
      </c>
      <c r="I4681" t="s">
        <v>201</v>
      </c>
      <c r="J4681" t="s">
        <v>745</v>
      </c>
      <c r="K4681" t="s">
        <v>746</v>
      </c>
      <c r="O4681">
        <v>0</v>
      </c>
      <c r="U4681" t="s">
        <v>81</v>
      </c>
    </row>
    <row r="4682" spans="1:21" x14ac:dyDescent="0.25">
      <c r="A4682" s="33">
        <v>4703</v>
      </c>
      <c r="B4682" s="24">
        <v>44288</v>
      </c>
      <c r="C4682" t="s">
        <v>39</v>
      </c>
      <c r="D4682" t="s">
        <v>41</v>
      </c>
      <c r="E4682">
        <v>2000722077</v>
      </c>
      <c r="F4682">
        <v>1000</v>
      </c>
      <c r="G4682">
        <v>150</v>
      </c>
      <c r="H4682">
        <v>0</v>
      </c>
      <c r="I4682" t="s">
        <v>201</v>
      </c>
      <c r="J4682" t="s">
        <v>193</v>
      </c>
      <c r="K4682" t="s">
        <v>176</v>
      </c>
      <c r="O4682">
        <v>0</v>
      </c>
      <c r="U4682" t="s">
        <v>81</v>
      </c>
    </row>
    <row r="4683" spans="1:21" x14ac:dyDescent="0.25">
      <c r="A4683" s="33">
        <v>4704</v>
      </c>
      <c r="B4683" s="24">
        <v>44288</v>
      </c>
      <c r="C4683" t="s">
        <v>39</v>
      </c>
      <c r="D4683" t="s">
        <v>51</v>
      </c>
      <c r="E4683">
        <v>2000721876</v>
      </c>
      <c r="F4683">
        <v>51</v>
      </c>
      <c r="G4683">
        <v>20</v>
      </c>
      <c r="H4683">
        <v>0</v>
      </c>
      <c r="I4683" t="s">
        <v>168</v>
      </c>
      <c r="J4683" t="s">
        <v>669</v>
      </c>
      <c r="K4683" t="s">
        <v>778</v>
      </c>
      <c r="O4683">
        <v>0</v>
      </c>
      <c r="U4683" t="s">
        <v>81</v>
      </c>
    </row>
    <row r="4684" spans="1:21" x14ac:dyDescent="0.25">
      <c r="A4684" s="33">
        <v>4705</v>
      </c>
      <c r="B4684" s="24">
        <v>44288</v>
      </c>
      <c r="C4684" t="s">
        <v>39</v>
      </c>
      <c r="D4684" t="s">
        <v>51</v>
      </c>
      <c r="E4684">
        <v>2000721874</v>
      </c>
      <c r="F4684">
        <v>470</v>
      </c>
      <c r="G4684">
        <v>110</v>
      </c>
      <c r="H4684">
        <v>0</v>
      </c>
      <c r="I4684" t="s">
        <v>168</v>
      </c>
      <c r="J4684" t="s">
        <v>673</v>
      </c>
      <c r="K4684" t="s">
        <v>951</v>
      </c>
      <c r="O4684">
        <v>0</v>
      </c>
      <c r="U4684" t="s">
        <v>81</v>
      </c>
    </row>
    <row r="4685" spans="1:21" x14ac:dyDescent="0.25">
      <c r="A4685" s="33">
        <v>4706</v>
      </c>
      <c r="B4685" s="24">
        <v>44288</v>
      </c>
      <c r="C4685" t="s">
        <v>39</v>
      </c>
      <c r="D4685" t="s">
        <v>51</v>
      </c>
      <c r="E4685">
        <v>2000721877</v>
      </c>
      <c r="F4685">
        <v>600</v>
      </c>
      <c r="G4685">
        <v>119</v>
      </c>
      <c r="H4685">
        <v>0</v>
      </c>
      <c r="I4685" t="s">
        <v>168</v>
      </c>
      <c r="J4685" t="s">
        <v>669</v>
      </c>
      <c r="K4685" t="s">
        <v>707</v>
      </c>
      <c r="O4685">
        <v>0</v>
      </c>
      <c r="U4685" t="s">
        <v>81</v>
      </c>
    </row>
    <row r="4686" spans="1:21" x14ac:dyDescent="0.25">
      <c r="A4686" s="33">
        <v>4707</v>
      </c>
      <c r="B4686" s="24">
        <v>44288</v>
      </c>
      <c r="C4686" t="s">
        <v>39</v>
      </c>
      <c r="D4686" t="s">
        <v>51</v>
      </c>
      <c r="E4686">
        <v>2000721880</v>
      </c>
      <c r="F4686">
        <v>270</v>
      </c>
      <c r="G4686">
        <v>70</v>
      </c>
      <c r="H4686">
        <v>0</v>
      </c>
      <c r="I4686" t="s">
        <v>168</v>
      </c>
      <c r="J4686" t="s">
        <v>709</v>
      </c>
      <c r="K4686" t="s">
        <v>743</v>
      </c>
      <c r="O4686">
        <v>0</v>
      </c>
      <c r="U4686" t="s">
        <v>81</v>
      </c>
    </row>
    <row r="4687" spans="1:21" x14ac:dyDescent="0.25">
      <c r="A4687" s="33">
        <v>4708</v>
      </c>
      <c r="B4687" s="24">
        <v>44288</v>
      </c>
      <c r="C4687" t="s">
        <v>39</v>
      </c>
      <c r="D4687" t="s">
        <v>51</v>
      </c>
      <c r="E4687">
        <v>2000722321</v>
      </c>
      <c r="F4687">
        <v>550</v>
      </c>
      <c r="G4687">
        <v>140</v>
      </c>
      <c r="H4687">
        <v>0</v>
      </c>
      <c r="I4687" t="s">
        <v>168</v>
      </c>
      <c r="J4687" t="s">
        <v>709</v>
      </c>
      <c r="K4687" t="s">
        <v>743</v>
      </c>
      <c r="O4687">
        <v>0</v>
      </c>
      <c r="U4687" t="s">
        <v>81</v>
      </c>
    </row>
    <row r="4688" spans="1:21" x14ac:dyDescent="0.25">
      <c r="A4688" s="33">
        <v>4709</v>
      </c>
      <c r="B4688" s="24">
        <v>44288</v>
      </c>
      <c r="C4688" t="s">
        <v>39</v>
      </c>
      <c r="D4688" t="s">
        <v>51</v>
      </c>
      <c r="E4688">
        <v>2000721879</v>
      </c>
      <c r="F4688">
        <v>21</v>
      </c>
      <c r="G4688">
        <v>20</v>
      </c>
      <c r="H4688">
        <v>0</v>
      </c>
      <c r="I4688" t="s">
        <v>168</v>
      </c>
      <c r="J4688" t="s">
        <v>669</v>
      </c>
      <c r="K4688" t="s">
        <v>675</v>
      </c>
      <c r="O4688">
        <v>0</v>
      </c>
      <c r="U4688" t="s">
        <v>81</v>
      </c>
    </row>
    <row r="4689" spans="1:21" x14ac:dyDescent="0.25">
      <c r="A4689" s="33">
        <v>4710</v>
      </c>
      <c r="B4689" s="24">
        <v>44288</v>
      </c>
      <c r="C4689" t="s">
        <v>39</v>
      </c>
      <c r="D4689" t="s">
        <v>51</v>
      </c>
      <c r="E4689">
        <v>2000722320</v>
      </c>
      <c r="F4689">
        <v>380</v>
      </c>
      <c r="G4689">
        <v>70</v>
      </c>
      <c r="H4689">
        <v>0</v>
      </c>
      <c r="I4689" t="s">
        <v>168</v>
      </c>
      <c r="J4689" t="s">
        <v>673</v>
      </c>
      <c r="K4689" t="s">
        <v>708</v>
      </c>
      <c r="O4689">
        <v>0</v>
      </c>
      <c r="U4689" t="s">
        <v>81</v>
      </c>
    </row>
    <row r="4690" spans="1:21" x14ac:dyDescent="0.25">
      <c r="A4690" s="33">
        <v>4711</v>
      </c>
      <c r="B4690" s="24">
        <v>44288</v>
      </c>
      <c r="C4690" t="s">
        <v>39</v>
      </c>
      <c r="D4690" t="s">
        <v>51</v>
      </c>
      <c r="E4690">
        <v>2000721874</v>
      </c>
      <c r="F4690">
        <v>470</v>
      </c>
      <c r="G4690">
        <v>90</v>
      </c>
      <c r="H4690">
        <v>1</v>
      </c>
      <c r="I4690" t="s">
        <v>191</v>
      </c>
      <c r="J4690" t="s">
        <v>673</v>
      </c>
      <c r="K4690" t="s">
        <v>951</v>
      </c>
      <c r="L4690" t="s">
        <v>87</v>
      </c>
      <c r="N4690" t="s">
        <v>1159</v>
      </c>
      <c r="O4690">
        <v>1</v>
      </c>
      <c r="P4690" t="s">
        <v>1160</v>
      </c>
      <c r="Q4690" t="s">
        <v>1161</v>
      </c>
      <c r="R4690" t="s">
        <v>1162</v>
      </c>
      <c r="S4690" s="36">
        <v>0.44791666666666669</v>
      </c>
      <c r="U4690" t="s">
        <v>81</v>
      </c>
    </row>
    <row r="4691" spans="1:21" x14ac:dyDescent="0.25">
      <c r="A4691" s="33">
        <v>4712</v>
      </c>
      <c r="B4691" s="24">
        <v>44288</v>
      </c>
      <c r="C4691" t="s">
        <v>39</v>
      </c>
      <c r="D4691" t="s">
        <v>51</v>
      </c>
      <c r="E4691">
        <v>2000721876</v>
      </c>
      <c r="F4691">
        <v>51</v>
      </c>
      <c r="G4691">
        <v>10</v>
      </c>
      <c r="H4691">
        <v>0</v>
      </c>
      <c r="I4691" t="s">
        <v>191</v>
      </c>
      <c r="J4691" t="s">
        <v>669</v>
      </c>
      <c r="K4691" t="s">
        <v>778</v>
      </c>
      <c r="O4691">
        <v>0</v>
      </c>
      <c r="U4691" t="s">
        <v>81</v>
      </c>
    </row>
    <row r="4692" spans="1:21" x14ac:dyDescent="0.25">
      <c r="A4692" s="33">
        <v>4713</v>
      </c>
      <c r="B4692" s="24">
        <v>44288</v>
      </c>
      <c r="C4692" t="s">
        <v>181</v>
      </c>
      <c r="D4692" t="s">
        <v>41</v>
      </c>
      <c r="E4692">
        <v>2000721994</v>
      </c>
      <c r="F4692">
        <v>440</v>
      </c>
      <c r="G4692">
        <v>40</v>
      </c>
      <c r="H4692">
        <v>0</v>
      </c>
      <c r="I4692" t="s">
        <v>183</v>
      </c>
      <c r="J4692" t="s">
        <v>174</v>
      </c>
      <c r="K4692" t="s">
        <v>805</v>
      </c>
      <c r="O4692">
        <v>0</v>
      </c>
      <c r="U4692" t="s">
        <v>81</v>
      </c>
    </row>
    <row r="4693" spans="1:21" x14ac:dyDescent="0.25">
      <c r="A4693" s="33">
        <v>4714</v>
      </c>
      <c r="B4693" s="24">
        <v>44288</v>
      </c>
      <c r="C4693" t="s">
        <v>181</v>
      </c>
      <c r="D4693" t="s">
        <v>41</v>
      </c>
      <c r="E4693">
        <v>2000723234</v>
      </c>
      <c r="F4693">
        <v>200</v>
      </c>
      <c r="G4693">
        <v>199</v>
      </c>
      <c r="H4693">
        <v>0</v>
      </c>
      <c r="I4693" t="s">
        <v>183</v>
      </c>
      <c r="J4693" t="s">
        <v>174</v>
      </c>
      <c r="K4693" t="s">
        <v>763</v>
      </c>
      <c r="O4693">
        <v>0</v>
      </c>
      <c r="U4693" t="s">
        <v>81</v>
      </c>
    </row>
    <row r="4694" spans="1:21" x14ac:dyDescent="0.25">
      <c r="A4694" s="33">
        <v>4715</v>
      </c>
      <c r="B4694" s="24">
        <v>44288</v>
      </c>
      <c r="C4694" t="s">
        <v>181</v>
      </c>
      <c r="D4694" t="s">
        <v>41</v>
      </c>
      <c r="E4694">
        <v>2000723233</v>
      </c>
      <c r="F4694">
        <v>200</v>
      </c>
      <c r="G4694">
        <v>199</v>
      </c>
      <c r="H4694">
        <v>1</v>
      </c>
      <c r="I4694" t="s">
        <v>183</v>
      </c>
      <c r="J4694" t="s">
        <v>174</v>
      </c>
      <c r="K4694" t="s">
        <v>186</v>
      </c>
      <c r="L4694" t="s">
        <v>88</v>
      </c>
      <c r="N4694" t="s">
        <v>1163</v>
      </c>
      <c r="O4694">
        <v>1</v>
      </c>
      <c r="P4694" t="s">
        <v>1164</v>
      </c>
      <c r="Q4694" t="s">
        <v>1165</v>
      </c>
      <c r="R4694" t="s">
        <v>1166</v>
      </c>
      <c r="S4694" s="36">
        <v>0.33333333333333331</v>
      </c>
      <c r="U4694" t="s">
        <v>81</v>
      </c>
    </row>
    <row r="4695" spans="1:21" x14ac:dyDescent="0.25">
      <c r="A4695" s="33">
        <v>4716</v>
      </c>
      <c r="B4695" s="24">
        <v>44288</v>
      </c>
      <c r="C4695" t="s">
        <v>181</v>
      </c>
      <c r="D4695" t="s">
        <v>41</v>
      </c>
      <c r="E4695">
        <v>2000722261</v>
      </c>
      <c r="F4695">
        <v>1620</v>
      </c>
      <c r="G4695">
        <v>240</v>
      </c>
      <c r="H4695">
        <v>0</v>
      </c>
      <c r="I4695" t="s">
        <v>183</v>
      </c>
      <c r="J4695" t="s">
        <v>203</v>
      </c>
      <c r="K4695" t="s">
        <v>640</v>
      </c>
      <c r="O4695">
        <v>0</v>
      </c>
      <c r="U4695" t="s">
        <v>81</v>
      </c>
    </row>
    <row r="4696" spans="1:21" x14ac:dyDescent="0.25">
      <c r="A4696" s="33">
        <v>4717</v>
      </c>
      <c r="B4696" s="24">
        <v>44288</v>
      </c>
      <c r="C4696" t="s">
        <v>181</v>
      </c>
      <c r="D4696" t="s">
        <v>41</v>
      </c>
      <c r="E4696">
        <v>2000722735</v>
      </c>
      <c r="F4696">
        <v>300</v>
      </c>
      <c r="G4696">
        <v>297</v>
      </c>
      <c r="H4696">
        <v>0</v>
      </c>
      <c r="I4696" t="s">
        <v>183</v>
      </c>
      <c r="J4696" t="s">
        <v>174</v>
      </c>
      <c r="K4696" t="s">
        <v>188</v>
      </c>
      <c r="O4696">
        <v>0</v>
      </c>
      <c r="U4696" t="s">
        <v>81</v>
      </c>
    </row>
    <row r="4697" spans="1:21" x14ac:dyDescent="0.25">
      <c r="A4697" s="33">
        <v>4718</v>
      </c>
      <c r="B4697" s="24">
        <v>44288</v>
      </c>
      <c r="C4697" t="s">
        <v>181</v>
      </c>
      <c r="D4697" t="s">
        <v>41</v>
      </c>
      <c r="E4697">
        <v>2000722285</v>
      </c>
      <c r="F4697">
        <v>300</v>
      </c>
      <c r="G4697">
        <v>160</v>
      </c>
      <c r="H4697">
        <v>0</v>
      </c>
      <c r="I4697" t="s">
        <v>184</v>
      </c>
      <c r="J4697" t="s">
        <v>203</v>
      </c>
      <c r="K4697" t="s">
        <v>891</v>
      </c>
      <c r="O4697">
        <v>0</v>
      </c>
      <c r="U4697" t="s">
        <v>81</v>
      </c>
    </row>
    <row r="4698" spans="1:21" x14ac:dyDescent="0.25">
      <c r="A4698" s="33">
        <v>4719</v>
      </c>
      <c r="B4698" s="24">
        <v>44288</v>
      </c>
      <c r="C4698" t="s">
        <v>181</v>
      </c>
      <c r="D4698" t="s">
        <v>41</v>
      </c>
      <c r="E4698">
        <v>2000722286</v>
      </c>
      <c r="F4698">
        <v>350</v>
      </c>
      <c r="G4698">
        <v>350</v>
      </c>
      <c r="H4698">
        <v>0</v>
      </c>
      <c r="I4698" t="s">
        <v>184</v>
      </c>
      <c r="J4698" t="s">
        <v>203</v>
      </c>
      <c r="K4698" t="s">
        <v>768</v>
      </c>
      <c r="O4698">
        <v>0</v>
      </c>
      <c r="U4698" t="s">
        <v>81</v>
      </c>
    </row>
    <row r="4699" spans="1:21" x14ac:dyDescent="0.25">
      <c r="A4699" s="33">
        <v>4720</v>
      </c>
      <c r="B4699" s="24">
        <v>44288</v>
      </c>
      <c r="C4699" t="s">
        <v>181</v>
      </c>
      <c r="D4699" t="s">
        <v>41</v>
      </c>
      <c r="E4699">
        <v>2000721407</v>
      </c>
      <c r="F4699">
        <v>210</v>
      </c>
      <c r="G4699">
        <v>1</v>
      </c>
      <c r="H4699">
        <v>0</v>
      </c>
      <c r="I4699" t="s">
        <v>184</v>
      </c>
      <c r="J4699" t="s">
        <v>203</v>
      </c>
      <c r="K4699" t="s">
        <v>768</v>
      </c>
      <c r="O4699">
        <v>0</v>
      </c>
      <c r="U4699" t="s">
        <v>81</v>
      </c>
    </row>
    <row r="4700" spans="1:21" x14ac:dyDescent="0.25">
      <c r="A4700" s="33">
        <v>4721</v>
      </c>
      <c r="B4700" s="24">
        <v>44288</v>
      </c>
      <c r="C4700" t="s">
        <v>181</v>
      </c>
      <c r="D4700" t="s">
        <v>41</v>
      </c>
      <c r="E4700">
        <v>2000722287</v>
      </c>
      <c r="F4700">
        <v>510</v>
      </c>
      <c r="G4700">
        <v>90</v>
      </c>
      <c r="H4700">
        <v>0</v>
      </c>
      <c r="I4700" t="s">
        <v>184</v>
      </c>
      <c r="J4700" t="s">
        <v>203</v>
      </c>
      <c r="K4700" t="s">
        <v>785</v>
      </c>
      <c r="O4700">
        <v>0</v>
      </c>
      <c r="U4700" t="s">
        <v>81</v>
      </c>
    </row>
    <row r="4701" spans="1:21" x14ac:dyDescent="0.25">
      <c r="A4701" s="33">
        <v>4722</v>
      </c>
      <c r="B4701" s="24">
        <v>44288</v>
      </c>
      <c r="C4701" t="s">
        <v>181</v>
      </c>
      <c r="D4701" t="s">
        <v>41</v>
      </c>
      <c r="E4701">
        <v>2000721690</v>
      </c>
      <c r="F4701">
        <v>1800</v>
      </c>
      <c r="G4701">
        <v>90</v>
      </c>
      <c r="H4701">
        <v>0</v>
      </c>
      <c r="I4701" t="s">
        <v>696</v>
      </c>
      <c r="J4701" t="s">
        <v>174</v>
      </c>
      <c r="K4701" t="s">
        <v>774</v>
      </c>
      <c r="O4701">
        <v>0</v>
      </c>
      <c r="U4701" t="s">
        <v>81</v>
      </c>
    </row>
    <row r="4702" spans="1:21" x14ac:dyDescent="0.25">
      <c r="A4702" s="33">
        <v>4723</v>
      </c>
      <c r="B4702" s="24">
        <v>44288</v>
      </c>
      <c r="C4702" t="s">
        <v>181</v>
      </c>
      <c r="D4702" t="s">
        <v>41</v>
      </c>
      <c r="E4702">
        <v>2000721994</v>
      </c>
      <c r="F4702">
        <v>440</v>
      </c>
      <c r="G4702">
        <v>318</v>
      </c>
      <c r="H4702">
        <v>0</v>
      </c>
      <c r="I4702" t="s">
        <v>696</v>
      </c>
      <c r="J4702" t="s">
        <v>174</v>
      </c>
      <c r="K4702" t="s">
        <v>805</v>
      </c>
      <c r="O4702">
        <v>0</v>
      </c>
      <c r="U4702" t="s">
        <v>81</v>
      </c>
    </row>
    <row r="4703" spans="1:21" x14ac:dyDescent="0.25">
      <c r="A4703" s="33">
        <v>4724</v>
      </c>
      <c r="B4703" s="24">
        <v>44288</v>
      </c>
      <c r="C4703" t="s">
        <v>181</v>
      </c>
      <c r="D4703" t="s">
        <v>41</v>
      </c>
      <c r="E4703">
        <v>2000721991</v>
      </c>
      <c r="F4703">
        <v>120</v>
      </c>
      <c r="G4703">
        <v>120</v>
      </c>
      <c r="H4703">
        <v>0</v>
      </c>
      <c r="I4703" t="s">
        <v>696</v>
      </c>
      <c r="J4703" t="s">
        <v>174</v>
      </c>
      <c r="K4703" t="s">
        <v>735</v>
      </c>
      <c r="O4703">
        <v>0</v>
      </c>
      <c r="U4703" t="s">
        <v>81</v>
      </c>
    </row>
    <row r="4704" spans="1:21" x14ac:dyDescent="0.25">
      <c r="A4704" s="33">
        <v>4725</v>
      </c>
      <c r="B4704" s="24">
        <v>44288</v>
      </c>
      <c r="C4704" t="s">
        <v>181</v>
      </c>
      <c r="D4704" t="s">
        <v>41</v>
      </c>
      <c r="E4704">
        <v>2000721992</v>
      </c>
      <c r="F4704">
        <v>550</v>
      </c>
      <c r="G4704">
        <v>80</v>
      </c>
      <c r="H4704">
        <v>0</v>
      </c>
      <c r="I4704" t="s">
        <v>696</v>
      </c>
      <c r="J4704" t="s">
        <v>174</v>
      </c>
      <c r="K4704" t="s">
        <v>644</v>
      </c>
      <c r="O4704">
        <v>0</v>
      </c>
      <c r="U4704" t="s">
        <v>81</v>
      </c>
    </row>
    <row r="4705" spans="1:21" x14ac:dyDescent="0.25">
      <c r="A4705" s="33">
        <v>4726</v>
      </c>
      <c r="B4705" s="24">
        <v>44288</v>
      </c>
      <c r="C4705" t="s">
        <v>181</v>
      </c>
      <c r="D4705" t="s">
        <v>41</v>
      </c>
      <c r="E4705">
        <v>2000721992</v>
      </c>
      <c r="F4705">
        <v>550</v>
      </c>
      <c r="G4705">
        <v>80</v>
      </c>
      <c r="H4705">
        <v>0</v>
      </c>
      <c r="I4705" t="s">
        <v>693</v>
      </c>
      <c r="J4705" t="s">
        <v>174</v>
      </c>
      <c r="K4705" t="s">
        <v>644</v>
      </c>
      <c r="O4705">
        <v>0</v>
      </c>
      <c r="U4705" t="s">
        <v>81</v>
      </c>
    </row>
    <row r="4706" spans="1:21" x14ac:dyDescent="0.25">
      <c r="A4706" s="33">
        <v>4727</v>
      </c>
      <c r="B4706" s="24">
        <v>44288</v>
      </c>
      <c r="C4706" t="s">
        <v>181</v>
      </c>
      <c r="D4706" t="s">
        <v>41</v>
      </c>
      <c r="E4706">
        <v>2000721960</v>
      </c>
      <c r="F4706">
        <v>1800</v>
      </c>
      <c r="G4706">
        <v>668</v>
      </c>
      <c r="H4706">
        <v>0</v>
      </c>
      <c r="I4706" t="s">
        <v>706</v>
      </c>
      <c r="J4706" t="s">
        <v>174</v>
      </c>
      <c r="K4706" t="s">
        <v>774</v>
      </c>
      <c r="O4706">
        <v>0</v>
      </c>
      <c r="U4706" t="s">
        <v>81</v>
      </c>
    </row>
    <row r="4707" spans="1:21" x14ac:dyDescent="0.25">
      <c r="A4707" s="33">
        <v>4728</v>
      </c>
      <c r="B4707" s="24">
        <v>44288</v>
      </c>
      <c r="C4707" t="s">
        <v>181</v>
      </c>
      <c r="D4707" t="s">
        <v>41</v>
      </c>
      <c r="E4707">
        <v>2000722655</v>
      </c>
      <c r="F4707">
        <v>3900</v>
      </c>
      <c r="G4707">
        <v>110</v>
      </c>
      <c r="H4707">
        <v>0</v>
      </c>
      <c r="I4707" t="s">
        <v>706</v>
      </c>
      <c r="J4707" t="s">
        <v>172</v>
      </c>
      <c r="K4707" t="s">
        <v>173</v>
      </c>
      <c r="O4707">
        <v>0</v>
      </c>
      <c r="U4707" t="s">
        <v>81</v>
      </c>
    </row>
    <row r="4708" spans="1:21" x14ac:dyDescent="0.25">
      <c r="A4708" s="33">
        <v>4729</v>
      </c>
      <c r="B4708" s="24">
        <v>44288</v>
      </c>
      <c r="C4708" t="s">
        <v>181</v>
      </c>
      <c r="D4708" t="s">
        <v>41</v>
      </c>
      <c r="E4708">
        <v>2000722522</v>
      </c>
      <c r="F4708">
        <v>150</v>
      </c>
      <c r="G4708">
        <v>30</v>
      </c>
      <c r="H4708">
        <v>0</v>
      </c>
      <c r="I4708" t="s">
        <v>706</v>
      </c>
      <c r="J4708" t="s">
        <v>169</v>
      </c>
      <c r="K4708" t="s">
        <v>852</v>
      </c>
      <c r="O4708">
        <v>0</v>
      </c>
      <c r="U4708" t="s">
        <v>81</v>
      </c>
    </row>
    <row r="4709" spans="1:21" x14ac:dyDescent="0.25">
      <c r="A4709" s="33">
        <v>4730</v>
      </c>
      <c r="B4709" s="24">
        <v>44288</v>
      </c>
      <c r="C4709" t="s">
        <v>181</v>
      </c>
      <c r="D4709" t="s">
        <v>41</v>
      </c>
      <c r="E4709">
        <v>2000723291</v>
      </c>
      <c r="F4709">
        <v>420</v>
      </c>
      <c r="G4709">
        <v>80</v>
      </c>
      <c r="H4709">
        <v>0</v>
      </c>
      <c r="I4709" t="s">
        <v>706</v>
      </c>
      <c r="J4709" t="s">
        <v>645</v>
      </c>
      <c r="K4709" t="s">
        <v>719</v>
      </c>
      <c r="O4709">
        <v>0</v>
      </c>
      <c r="U4709" t="s">
        <v>81</v>
      </c>
    </row>
    <row r="4710" spans="1:21" x14ac:dyDescent="0.25">
      <c r="A4710" s="33">
        <v>4731</v>
      </c>
      <c r="B4710" s="24">
        <v>44288</v>
      </c>
      <c r="C4710" t="s">
        <v>181</v>
      </c>
      <c r="D4710" t="s">
        <v>41</v>
      </c>
      <c r="E4710">
        <v>2000722733</v>
      </c>
      <c r="F4710">
        <v>460</v>
      </c>
      <c r="G4710">
        <v>60</v>
      </c>
      <c r="H4710">
        <v>0</v>
      </c>
      <c r="I4710" t="s">
        <v>706</v>
      </c>
      <c r="J4710" t="s">
        <v>645</v>
      </c>
      <c r="K4710" t="s">
        <v>753</v>
      </c>
      <c r="O4710">
        <v>0</v>
      </c>
      <c r="U4710" t="s">
        <v>81</v>
      </c>
    </row>
    <row r="4711" spans="1:21" x14ac:dyDescent="0.25">
      <c r="A4711" s="33">
        <v>4732</v>
      </c>
      <c r="B4711" s="24">
        <v>44288</v>
      </c>
      <c r="C4711" t="s">
        <v>181</v>
      </c>
      <c r="D4711" t="s">
        <v>41</v>
      </c>
      <c r="E4711">
        <v>2000722196</v>
      </c>
      <c r="F4711">
        <v>1000</v>
      </c>
      <c r="G4711">
        <v>150</v>
      </c>
      <c r="H4711">
        <v>0</v>
      </c>
      <c r="I4711" t="s">
        <v>198</v>
      </c>
      <c r="J4711" t="s">
        <v>645</v>
      </c>
      <c r="K4711" t="s">
        <v>736</v>
      </c>
      <c r="O4711">
        <v>0</v>
      </c>
      <c r="U4711" t="s">
        <v>81</v>
      </c>
    </row>
    <row r="4712" spans="1:21" x14ac:dyDescent="0.25">
      <c r="A4712" s="33">
        <v>4733</v>
      </c>
      <c r="B4712" s="24">
        <v>44288</v>
      </c>
      <c r="C4712" t="s">
        <v>181</v>
      </c>
      <c r="D4712" t="s">
        <v>41</v>
      </c>
      <c r="E4712">
        <v>2000722257</v>
      </c>
      <c r="F4712">
        <v>1800</v>
      </c>
      <c r="G4712">
        <v>160</v>
      </c>
      <c r="H4712">
        <v>0</v>
      </c>
      <c r="I4712" t="s">
        <v>198</v>
      </c>
      <c r="J4712" t="s">
        <v>645</v>
      </c>
      <c r="K4712" t="s">
        <v>659</v>
      </c>
      <c r="O4712">
        <v>0</v>
      </c>
      <c r="U4712" t="s">
        <v>81</v>
      </c>
    </row>
    <row r="4713" spans="1:21" x14ac:dyDescent="0.25">
      <c r="A4713" s="33">
        <v>4734</v>
      </c>
      <c r="B4713" s="24">
        <v>44288</v>
      </c>
      <c r="C4713" t="s">
        <v>181</v>
      </c>
      <c r="D4713" t="s">
        <v>41</v>
      </c>
      <c r="E4713">
        <v>2000722079</v>
      </c>
      <c r="F4713">
        <v>1000</v>
      </c>
      <c r="G4713">
        <v>160</v>
      </c>
      <c r="H4713">
        <v>0</v>
      </c>
      <c r="I4713" t="s">
        <v>198</v>
      </c>
      <c r="J4713" t="s">
        <v>193</v>
      </c>
      <c r="K4713" t="s">
        <v>650</v>
      </c>
      <c r="O4713">
        <v>0</v>
      </c>
      <c r="U4713" t="s">
        <v>81</v>
      </c>
    </row>
    <row r="4714" spans="1:21" x14ac:dyDescent="0.25">
      <c r="A4714" s="33">
        <v>4735</v>
      </c>
      <c r="B4714" s="24">
        <v>44288</v>
      </c>
      <c r="C4714" t="s">
        <v>181</v>
      </c>
      <c r="D4714" t="s">
        <v>41</v>
      </c>
      <c r="E4714">
        <v>2000722078</v>
      </c>
      <c r="F4714">
        <v>1000</v>
      </c>
      <c r="G4714">
        <v>100</v>
      </c>
      <c r="H4714">
        <v>0</v>
      </c>
      <c r="I4714" t="s">
        <v>198</v>
      </c>
      <c r="J4714" t="s">
        <v>193</v>
      </c>
      <c r="K4714" t="s">
        <v>683</v>
      </c>
      <c r="O4714">
        <v>0</v>
      </c>
      <c r="U4714" t="s">
        <v>81</v>
      </c>
    </row>
    <row r="4715" spans="1:21" x14ac:dyDescent="0.25">
      <c r="A4715" s="33">
        <v>4736</v>
      </c>
      <c r="B4715" s="24">
        <v>44288</v>
      </c>
      <c r="C4715" t="s">
        <v>181</v>
      </c>
      <c r="D4715" t="s">
        <v>41</v>
      </c>
      <c r="E4715">
        <v>2000722265</v>
      </c>
      <c r="F4715">
        <v>1800</v>
      </c>
      <c r="G4715">
        <v>760</v>
      </c>
      <c r="H4715">
        <v>0</v>
      </c>
      <c r="I4715" t="s">
        <v>198</v>
      </c>
      <c r="J4715" t="s">
        <v>745</v>
      </c>
      <c r="K4715" t="s">
        <v>746</v>
      </c>
      <c r="O4715">
        <v>0</v>
      </c>
      <c r="U4715" t="s">
        <v>81</v>
      </c>
    </row>
    <row r="4716" spans="1:21" x14ac:dyDescent="0.25">
      <c r="A4716" s="33">
        <v>4737</v>
      </c>
      <c r="B4716" s="24">
        <v>44288</v>
      </c>
      <c r="C4716" t="s">
        <v>181</v>
      </c>
      <c r="D4716" t="s">
        <v>41</v>
      </c>
      <c r="E4716">
        <v>2000722654</v>
      </c>
      <c r="F4716">
        <v>3900</v>
      </c>
      <c r="G4716">
        <v>200</v>
      </c>
      <c r="H4716">
        <v>0</v>
      </c>
      <c r="I4716" t="s">
        <v>198</v>
      </c>
      <c r="J4716" t="s">
        <v>172</v>
      </c>
      <c r="K4716" t="s">
        <v>725</v>
      </c>
      <c r="O4716">
        <v>0</v>
      </c>
      <c r="U4716" t="s">
        <v>81</v>
      </c>
    </row>
    <row r="4717" spans="1:21" x14ac:dyDescent="0.25">
      <c r="A4717" s="33">
        <v>4738</v>
      </c>
      <c r="B4717" s="24">
        <v>44288</v>
      </c>
      <c r="C4717" t="s">
        <v>181</v>
      </c>
      <c r="D4717" t="s">
        <v>41</v>
      </c>
      <c r="E4717">
        <v>2000722806</v>
      </c>
      <c r="F4717">
        <v>1040</v>
      </c>
      <c r="G4717">
        <v>54</v>
      </c>
      <c r="H4717">
        <v>0</v>
      </c>
      <c r="I4717" t="s">
        <v>198</v>
      </c>
      <c r="J4717" t="s">
        <v>745</v>
      </c>
      <c r="K4717" t="s">
        <v>849</v>
      </c>
      <c r="O4717">
        <v>0</v>
      </c>
      <c r="U4717" t="s">
        <v>81</v>
      </c>
    </row>
    <row r="4718" spans="1:21" x14ac:dyDescent="0.25">
      <c r="A4718" s="33">
        <v>4739</v>
      </c>
      <c r="B4718" s="24">
        <v>44288</v>
      </c>
      <c r="C4718" t="s">
        <v>181</v>
      </c>
      <c r="D4718" t="s">
        <v>41</v>
      </c>
      <c r="E4718">
        <v>2000722267</v>
      </c>
      <c r="F4718">
        <v>3609</v>
      </c>
      <c r="G4718">
        <v>240</v>
      </c>
      <c r="H4718">
        <v>0</v>
      </c>
      <c r="I4718" t="s">
        <v>198</v>
      </c>
      <c r="J4718" t="s">
        <v>169</v>
      </c>
      <c r="K4718" t="s">
        <v>652</v>
      </c>
      <c r="O4718">
        <v>0</v>
      </c>
      <c r="U4718" t="s">
        <v>81</v>
      </c>
    </row>
    <row r="4719" spans="1:21" x14ac:dyDescent="0.25">
      <c r="A4719" s="33">
        <v>4740</v>
      </c>
      <c r="B4719" s="24">
        <v>44288</v>
      </c>
      <c r="C4719" t="s">
        <v>181</v>
      </c>
      <c r="D4719" t="s">
        <v>41</v>
      </c>
      <c r="E4719">
        <v>2000722521</v>
      </c>
      <c r="F4719">
        <v>600</v>
      </c>
      <c r="G4719">
        <v>80</v>
      </c>
      <c r="H4719">
        <v>0</v>
      </c>
      <c r="I4719" t="s">
        <v>185</v>
      </c>
      <c r="J4719" t="s">
        <v>169</v>
      </c>
      <c r="K4719" t="s">
        <v>190</v>
      </c>
      <c r="O4719">
        <v>0</v>
      </c>
      <c r="U4719" t="s">
        <v>81</v>
      </c>
    </row>
    <row r="4720" spans="1:21" x14ac:dyDescent="0.25">
      <c r="A4720" s="33">
        <v>4741</v>
      </c>
      <c r="B4720" s="24">
        <v>44288</v>
      </c>
      <c r="C4720" t="s">
        <v>181</v>
      </c>
      <c r="D4720" t="s">
        <v>41</v>
      </c>
      <c r="E4720">
        <v>2000721950</v>
      </c>
      <c r="F4720">
        <v>1000</v>
      </c>
      <c r="G4720">
        <v>90</v>
      </c>
      <c r="H4720">
        <v>0</v>
      </c>
      <c r="I4720" t="s">
        <v>185</v>
      </c>
      <c r="J4720" t="s">
        <v>169</v>
      </c>
      <c r="K4720" t="s">
        <v>179</v>
      </c>
      <c r="O4720">
        <v>0</v>
      </c>
      <c r="U4720" t="s">
        <v>81</v>
      </c>
    </row>
    <row r="4721" spans="1:21" x14ac:dyDescent="0.25">
      <c r="A4721" s="33">
        <v>4742</v>
      </c>
      <c r="B4721" s="24">
        <v>44288</v>
      </c>
      <c r="C4721" t="s">
        <v>181</v>
      </c>
      <c r="D4721" t="s">
        <v>41</v>
      </c>
      <c r="E4721">
        <v>2000722747</v>
      </c>
      <c r="F4721">
        <v>760</v>
      </c>
      <c r="G4721">
        <v>80</v>
      </c>
      <c r="H4721">
        <v>0</v>
      </c>
      <c r="I4721" t="s">
        <v>185</v>
      </c>
      <c r="J4721" t="s">
        <v>645</v>
      </c>
      <c r="K4721" t="s">
        <v>690</v>
      </c>
      <c r="O4721">
        <v>0</v>
      </c>
      <c r="U4721" t="s">
        <v>81</v>
      </c>
    </row>
    <row r="4722" spans="1:21" x14ac:dyDescent="0.25">
      <c r="A4722" s="33">
        <v>4743</v>
      </c>
      <c r="B4722" s="24">
        <v>44288</v>
      </c>
      <c r="C4722" t="s">
        <v>181</v>
      </c>
      <c r="D4722" t="s">
        <v>41</v>
      </c>
      <c r="E4722">
        <v>2000722839</v>
      </c>
      <c r="F4722">
        <v>1200</v>
      </c>
      <c r="G4722">
        <v>80</v>
      </c>
      <c r="H4722">
        <v>0</v>
      </c>
      <c r="I4722" t="s">
        <v>185</v>
      </c>
      <c r="J4722" t="s">
        <v>687</v>
      </c>
      <c r="K4722" t="s">
        <v>705</v>
      </c>
      <c r="O4722">
        <v>0</v>
      </c>
      <c r="U4722" t="s">
        <v>81</v>
      </c>
    </row>
    <row r="4723" spans="1:21" x14ac:dyDescent="0.25">
      <c r="A4723" s="33">
        <v>4744</v>
      </c>
      <c r="B4723" s="24">
        <v>44288</v>
      </c>
      <c r="C4723" t="s">
        <v>181</v>
      </c>
      <c r="D4723" t="s">
        <v>41</v>
      </c>
      <c r="E4723">
        <v>2000714596</v>
      </c>
      <c r="F4723">
        <v>2768</v>
      </c>
      <c r="G4723">
        <v>177</v>
      </c>
      <c r="H4723">
        <v>0</v>
      </c>
      <c r="I4723" t="s">
        <v>185</v>
      </c>
      <c r="J4723" t="s">
        <v>655</v>
      </c>
      <c r="K4723" t="s">
        <v>656</v>
      </c>
      <c r="O4723">
        <v>0</v>
      </c>
      <c r="U4723" t="s">
        <v>81</v>
      </c>
    </row>
    <row r="4724" spans="1:21" x14ac:dyDescent="0.25">
      <c r="A4724" s="33">
        <v>4745</v>
      </c>
      <c r="B4724" s="24">
        <v>44288</v>
      </c>
      <c r="C4724" t="s">
        <v>181</v>
      </c>
      <c r="D4724" t="s">
        <v>51</v>
      </c>
      <c r="E4724">
        <v>2000722320</v>
      </c>
      <c r="F4724">
        <v>380</v>
      </c>
      <c r="G4724">
        <v>308</v>
      </c>
      <c r="H4724">
        <v>0</v>
      </c>
      <c r="I4724" t="s">
        <v>693</v>
      </c>
      <c r="J4724" t="s">
        <v>937</v>
      </c>
      <c r="K4724" t="s">
        <v>708</v>
      </c>
      <c r="O4724">
        <v>0</v>
      </c>
      <c r="U4724" t="s">
        <v>81</v>
      </c>
    </row>
    <row r="4725" spans="1:21" x14ac:dyDescent="0.25">
      <c r="A4725" s="33">
        <v>4746</v>
      </c>
      <c r="B4725" s="24">
        <v>44288</v>
      </c>
      <c r="C4725" t="s">
        <v>181</v>
      </c>
      <c r="D4725" t="s">
        <v>51</v>
      </c>
      <c r="E4725">
        <v>2000722322</v>
      </c>
      <c r="F4725">
        <v>345</v>
      </c>
      <c r="G4725">
        <v>96</v>
      </c>
      <c r="H4725">
        <v>0</v>
      </c>
      <c r="I4725" t="s">
        <v>693</v>
      </c>
      <c r="J4725" t="s">
        <v>709</v>
      </c>
      <c r="K4725" t="s">
        <v>710</v>
      </c>
      <c r="O4725">
        <v>0</v>
      </c>
      <c r="U4725" t="s">
        <v>81</v>
      </c>
    </row>
    <row r="4726" spans="1:21" x14ac:dyDescent="0.25">
      <c r="A4726" s="33">
        <v>4747</v>
      </c>
      <c r="B4726" s="24">
        <v>44288</v>
      </c>
      <c r="C4726" t="s">
        <v>181</v>
      </c>
      <c r="D4726" t="s">
        <v>51</v>
      </c>
      <c r="E4726">
        <v>2000721878</v>
      </c>
      <c r="F4726">
        <v>576</v>
      </c>
      <c r="G4726">
        <v>96</v>
      </c>
      <c r="H4726">
        <v>0</v>
      </c>
      <c r="I4726" t="s">
        <v>693</v>
      </c>
      <c r="J4726" t="s">
        <v>709</v>
      </c>
      <c r="K4726" t="s">
        <v>710</v>
      </c>
      <c r="O4726">
        <v>0</v>
      </c>
      <c r="U4726" t="s">
        <v>81</v>
      </c>
    </row>
    <row r="4727" spans="1:21" x14ac:dyDescent="0.25">
      <c r="A4727" s="33">
        <v>4748</v>
      </c>
      <c r="B4727" s="24">
        <v>44288</v>
      </c>
      <c r="C4727" t="s">
        <v>181</v>
      </c>
      <c r="D4727" t="s">
        <v>51</v>
      </c>
      <c r="E4727">
        <v>2000721882</v>
      </c>
      <c r="F4727">
        <v>178</v>
      </c>
      <c r="G4727">
        <v>40</v>
      </c>
      <c r="H4727">
        <v>0</v>
      </c>
      <c r="I4727" t="s">
        <v>693</v>
      </c>
      <c r="J4727" t="s">
        <v>667</v>
      </c>
      <c r="K4727" t="s">
        <v>848</v>
      </c>
      <c r="O4727">
        <v>0</v>
      </c>
      <c r="U4727" t="s">
        <v>81</v>
      </c>
    </row>
    <row r="4728" spans="1:21" x14ac:dyDescent="0.25">
      <c r="A4728" s="33">
        <v>4749</v>
      </c>
      <c r="B4728" s="24">
        <v>44288</v>
      </c>
      <c r="C4728" t="s">
        <v>181</v>
      </c>
      <c r="D4728" t="s">
        <v>51</v>
      </c>
      <c r="E4728">
        <v>2000722323</v>
      </c>
      <c r="F4728">
        <v>550</v>
      </c>
      <c r="G4728">
        <v>35</v>
      </c>
      <c r="H4728">
        <v>0</v>
      </c>
      <c r="I4728" t="s">
        <v>693</v>
      </c>
      <c r="J4728" t="s">
        <v>709</v>
      </c>
      <c r="K4728" t="s">
        <v>743</v>
      </c>
      <c r="O4728">
        <v>0</v>
      </c>
      <c r="U4728" t="s">
        <v>81</v>
      </c>
    </row>
    <row r="4729" spans="1:21" x14ac:dyDescent="0.25">
      <c r="A4729" s="33">
        <v>4750</v>
      </c>
      <c r="B4729" s="24">
        <v>44289</v>
      </c>
      <c r="C4729" t="s">
        <v>39</v>
      </c>
      <c r="D4729" t="s">
        <v>41</v>
      </c>
      <c r="E4729">
        <v>2000723232</v>
      </c>
      <c r="F4729">
        <v>720</v>
      </c>
      <c r="G4729">
        <v>240</v>
      </c>
      <c r="H4729">
        <v>0</v>
      </c>
      <c r="I4729" t="s">
        <v>178</v>
      </c>
      <c r="J4729" t="s">
        <v>174</v>
      </c>
      <c r="K4729" t="s">
        <v>662</v>
      </c>
      <c r="O4729">
        <v>0</v>
      </c>
      <c r="U4729" t="s">
        <v>81</v>
      </c>
    </row>
    <row r="4730" spans="1:21" x14ac:dyDescent="0.25">
      <c r="A4730" s="33">
        <v>4751</v>
      </c>
      <c r="B4730" s="24">
        <v>44289</v>
      </c>
      <c r="C4730" t="s">
        <v>39</v>
      </c>
      <c r="D4730" t="s">
        <v>41</v>
      </c>
      <c r="E4730">
        <v>2000721961</v>
      </c>
      <c r="F4730">
        <v>1000</v>
      </c>
      <c r="G4730">
        <v>210</v>
      </c>
      <c r="H4730">
        <v>0</v>
      </c>
      <c r="I4730" t="s">
        <v>178</v>
      </c>
      <c r="J4730" t="s">
        <v>174</v>
      </c>
      <c r="K4730" t="s">
        <v>205</v>
      </c>
      <c r="O4730">
        <v>0</v>
      </c>
      <c r="U4730" t="s">
        <v>81</v>
      </c>
    </row>
    <row r="4731" spans="1:21" x14ac:dyDescent="0.25">
      <c r="A4731" s="33">
        <v>4752</v>
      </c>
      <c r="B4731" s="24">
        <v>44289</v>
      </c>
      <c r="C4731" t="s">
        <v>39</v>
      </c>
      <c r="D4731" t="s">
        <v>41</v>
      </c>
      <c r="E4731">
        <v>2000721990</v>
      </c>
      <c r="F4731">
        <v>200</v>
      </c>
      <c r="G4731">
        <v>198</v>
      </c>
      <c r="H4731">
        <v>0</v>
      </c>
      <c r="I4731" t="s">
        <v>178</v>
      </c>
      <c r="J4731" t="s">
        <v>174</v>
      </c>
      <c r="K4731" t="s">
        <v>877</v>
      </c>
      <c r="O4731">
        <v>0</v>
      </c>
      <c r="U4731" t="s">
        <v>81</v>
      </c>
    </row>
    <row r="4732" spans="1:21" x14ac:dyDescent="0.25">
      <c r="A4732" s="33">
        <v>4753</v>
      </c>
      <c r="B4732" s="24">
        <v>44289</v>
      </c>
      <c r="C4732" t="s">
        <v>39</v>
      </c>
      <c r="D4732" t="s">
        <v>41</v>
      </c>
      <c r="E4732">
        <v>2000723235</v>
      </c>
      <c r="F4732">
        <v>160</v>
      </c>
      <c r="G4732">
        <v>157</v>
      </c>
      <c r="H4732">
        <v>0</v>
      </c>
      <c r="I4732" t="s">
        <v>178</v>
      </c>
      <c r="J4732" t="s">
        <v>174</v>
      </c>
      <c r="K4732" t="s">
        <v>931</v>
      </c>
      <c r="O4732">
        <v>0</v>
      </c>
      <c r="U4732" t="s">
        <v>81</v>
      </c>
    </row>
    <row r="4733" spans="1:21" x14ac:dyDescent="0.25">
      <c r="A4733" s="33">
        <v>4754</v>
      </c>
      <c r="B4733" s="24">
        <v>44289</v>
      </c>
      <c r="C4733" t="s">
        <v>39</v>
      </c>
      <c r="D4733" t="s">
        <v>41</v>
      </c>
      <c r="E4733">
        <v>2000720391</v>
      </c>
      <c r="F4733">
        <v>120</v>
      </c>
      <c r="G4733">
        <v>2</v>
      </c>
      <c r="H4733">
        <v>0</v>
      </c>
      <c r="I4733" t="s">
        <v>178</v>
      </c>
      <c r="J4733" t="s">
        <v>174</v>
      </c>
      <c r="K4733" t="s">
        <v>931</v>
      </c>
      <c r="O4733">
        <v>0</v>
      </c>
      <c r="U4733" t="s">
        <v>81</v>
      </c>
    </row>
    <row r="4734" spans="1:21" x14ac:dyDescent="0.25">
      <c r="A4734" s="33">
        <v>4755</v>
      </c>
      <c r="B4734" s="24">
        <v>44289</v>
      </c>
      <c r="C4734" t="s">
        <v>39</v>
      </c>
      <c r="D4734" t="s">
        <v>41</v>
      </c>
      <c r="E4734">
        <v>2000722702</v>
      </c>
      <c r="F4734">
        <v>540</v>
      </c>
      <c r="G4734">
        <v>80</v>
      </c>
      <c r="H4734">
        <v>0</v>
      </c>
      <c r="I4734" t="s">
        <v>178</v>
      </c>
      <c r="J4734" t="s">
        <v>687</v>
      </c>
      <c r="K4734" t="s">
        <v>757</v>
      </c>
      <c r="O4734">
        <v>0</v>
      </c>
      <c r="U4734" t="s">
        <v>81</v>
      </c>
    </row>
    <row r="4735" spans="1:21" x14ac:dyDescent="0.25">
      <c r="A4735" s="33">
        <v>4756</v>
      </c>
      <c r="B4735" s="24">
        <v>44289</v>
      </c>
      <c r="C4735" t="s">
        <v>39</v>
      </c>
      <c r="D4735" t="s">
        <v>41</v>
      </c>
      <c r="E4735">
        <v>2000722287</v>
      </c>
      <c r="F4735">
        <v>510</v>
      </c>
      <c r="G4735">
        <v>290</v>
      </c>
      <c r="H4735">
        <v>0</v>
      </c>
      <c r="I4735" t="s">
        <v>191</v>
      </c>
      <c r="J4735" t="s">
        <v>203</v>
      </c>
      <c r="K4735" t="s">
        <v>785</v>
      </c>
      <c r="O4735">
        <v>0</v>
      </c>
      <c r="U4735" t="s">
        <v>81</v>
      </c>
    </row>
    <row r="4736" spans="1:21" x14ac:dyDescent="0.25">
      <c r="A4736" s="33">
        <v>4757</v>
      </c>
      <c r="B4736" s="24">
        <v>44289</v>
      </c>
      <c r="C4736" t="s">
        <v>39</v>
      </c>
      <c r="D4736" t="s">
        <v>41</v>
      </c>
      <c r="E4736">
        <v>2000722283</v>
      </c>
      <c r="F4736">
        <v>510</v>
      </c>
      <c r="G4736">
        <v>180</v>
      </c>
      <c r="H4736">
        <v>0</v>
      </c>
      <c r="I4736" t="s">
        <v>191</v>
      </c>
      <c r="J4736" t="s">
        <v>203</v>
      </c>
      <c r="K4736" t="s">
        <v>639</v>
      </c>
      <c r="O4736">
        <v>0</v>
      </c>
      <c r="U4736" t="s">
        <v>81</v>
      </c>
    </row>
    <row r="4737" spans="1:21" x14ac:dyDescent="0.25">
      <c r="A4737" s="33">
        <v>4758</v>
      </c>
      <c r="B4737" s="24">
        <v>44289</v>
      </c>
      <c r="C4737" t="s">
        <v>39</v>
      </c>
      <c r="D4737" t="s">
        <v>41</v>
      </c>
      <c r="E4737">
        <v>2000722288</v>
      </c>
      <c r="F4737">
        <v>940</v>
      </c>
      <c r="G4737">
        <v>120</v>
      </c>
      <c r="H4737">
        <v>0</v>
      </c>
      <c r="I4737" t="s">
        <v>191</v>
      </c>
      <c r="J4737" t="s">
        <v>203</v>
      </c>
      <c r="K4737" t="s">
        <v>891</v>
      </c>
      <c r="O4737">
        <v>0</v>
      </c>
      <c r="U4737" t="s">
        <v>81</v>
      </c>
    </row>
    <row r="4738" spans="1:21" x14ac:dyDescent="0.25">
      <c r="A4738" s="33">
        <v>4759</v>
      </c>
      <c r="B4738" s="24">
        <v>44289</v>
      </c>
      <c r="C4738" t="s">
        <v>39</v>
      </c>
      <c r="D4738" t="s">
        <v>41</v>
      </c>
      <c r="E4738">
        <v>2000721992</v>
      </c>
      <c r="F4738">
        <v>550</v>
      </c>
      <c r="G4738">
        <v>280</v>
      </c>
      <c r="H4738">
        <v>0</v>
      </c>
      <c r="I4738" t="s">
        <v>168</v>
      </c>
      <c r="J4738" t="s">
        <v>174</v>
      </c>
      <c r="K4738" t="s">
        <v>644</v>
      </c>
      <c r="O4738">
        <v>0</v>
      </c>
      <c r="U4738" t="s">
        <v>81</v>
      </c>
    </row>
    <row r="4739" spans="1:21" x14ac:dyDescent="0.25">
      <c r="A4739" s="33">
        <v>4760</v>
      </c>
      <c r="B4739" s="24">
        <v>44289</v>
      </c>
      <c r="C4739" t="s">
        <v>39</v>
      </c>
      <c r="D4739" t="s">
        <v>41</v>
      </c>
      <c r="E4739">
        <v>2000722287</v>
      </c>
      <c r="F4739">
        <v>510</v>
      </c>
      <c r="G4739">
        <v>120</v>
      </c>
      <c r="H4739">
        <v>0</v>
      </c>
      <c r="I4739" t="s">
        <v>1065</v>
      </c>
      <c r="J4739" t="s">
        <v>203</v>
      </c>
      <c r="K4739" t="s">
        <v>1167</v>
      </c>
      <c r="O4739">
        <v>0</v>
      </c>
      <c r="U4739" t="s">
        <v>81</v>
      </c>
    </row>
    <row r="4740" spans="1:21" x14ac:dyDescent="0.25">
      <c r="A4740" s="33">
        <v>4761</v>
      </c>
      <c r="B4740" s="24">
        <v>44289</v>
      </c>
      <c r="C4740" t="s">
        <v>39</v>
      </c>
      <c r="D4740" t="s">
        <v>41</v>
      </c>
      <c r="E4740">
        <v>2000722283</v>
      </c>
      <c r="F4740">
        <v>510</v>
      </c>
      <c r="G4740">
        <v>30</v>
      </c>
      <c r="H4740">
        <v>0</v>
      </c>
      <c r="I4740" t="s">
        <v>1065</v>
      </c>
      <c r="J4740" t="s">
        <v>203</v>
      </c>
      <c r="K4740" t="s">
        <v>639</v>
      </c>
      <c r="O4740">
        <v>0</v>
      </c>
      <c r="U4740" t="s">
        <v>81</v>
      </c>
    </row>
    <row r="4741" spans="1:21" x14ac:dyDescent="0.25">
      <c r="A4741" s="33">
        <v>4762</v>
      </c>
      <c r="B4741" s="24">
        <v>44289</v>
      </c>
      <c r="C4741" t="s">
        <v>39</v>
      </c>
      <c r="D4741" t="s">
        <v>41</v>
      </c>
      <c r="E4741">
        <v>2000722265</v>
      </c>
      <c r="F4741">
        <v>1800</v>
      </c>
      <c r="G4741">
        <v>400</v>
      </c>
      <c r="H4741">
        <v>0</v>
      </c>
      <c r="I4741" t="s">
        <v>1065</v>
      </c>
      <c r="J4741" t="s">
        <v>745</v>
      </c>
      <c r="K4741" t="s">
        <v>746</v>
      </c>
      <c r="O4741">
        <v>0</v>
      </c>
      <c r="U4741" t="s">
        <v>81</v>
      </c>
    </row>
    <row r="4742" spans="1:21" x14ac:dyDescent="0.25">
      <c r="A4742" s="33">
        <v>4763</v>
      </c>
      <c r="B4742" s="24">
        <v>44289</v>
      </c>
      <c r="C4742" t="s">
        <v>39</v>
      </c>
      <c r="D4742" t="s">
        <v>41</v>
      </c>
      <c r="E4742">
        <v>2000722199</v>
      </c>
      <c r="F4742">
        <v>1200</v>
      </c>
      <c r="G4742">
        <v>150</v>
      </c>
      <c r="H4742">
        <v>0</v>
      </c>
      <c r="I4742" t="s">
        <v>201</v>
      </c>
      <c r="J4742" t="s">
        <v>645</v>
      </c>
      <c r="K4742" t="s">
        <v>739</v>
      </c>
      <c r="O4742">
        <v>0</v>
      </c>
      <c r="U4742" t="s">
        <v>81</v>
      </c>
    </row>
    <row r="4743" spans="1:21" x14ac:dyDescent="0.25">
      <c r="A4743" s="33">
        <v>4764</v>
      </c>
      <c r="B4743" s="24">
        <v>44289</v>
      </c>
      <c r="C4743" t="s">
        <v>39</v>
      </c>
      <c r="D4743" t="s">
        <v>41</v>
      </c>
      <c r="E4743">
        <v>2000722198</v>
      </c>
      <c r="F4743">
        <v>1200</v>
      </c>
      <c r="G4743">
        <v>200</v>
      </c>
      <c r="H4743">
        <v>0</v>
      </c>
      <c r="I4743" t="s">
        <v>201</v>
      </c>
      <c r="J4743" t="s">
        <v>645</v>
      </c>
      <c r="K4743" t="s">
        <v>756</v>
      </c>
      <c r="O4743">
        <v>0</v>
      </c>
      <c r="U4743" t="s">
        <v>81</v>
      </c>
    </row>
    <row r="4744" spans="1:21" ht="30" x14ac:dyDescent="0.25">
      <c r="A4744" s="33">
        <v>4765</v>
      </c>
      <c r="B4744" s="24">
        <v>44289</v>
      </c>
      <c r="C4744" t="s">
        <v>39</v>
      </c>
      <c r="D4744" t="s">
        <v>41</v>
      </c>
      <c r="E4744">
        <v>2000722261</v>
      </c>
      <c r="F4744">
        <v>1620</v>
      </c>
      <c r="G4744">
        <v>240</v>
      </c>
      <c r="H4744">
        <v>0</v>
      </c>
      <c r="I4744" t="s">
        <v>201</v>
      </c>
      <c r="J4744" t="s">
        <v>203</v>
      </c>
      <c r="K4744" t="s">
        <v>640</v>
      </c>
      <c r="O4744">
        <v>0</v>
      </c>
      <c r="T4744" s="62" t="s">
        <v>723</v>
      </c>
      <c r="U4744" t="s">
        <v>81</v>
      </c>
    </row>
    <row r="4745" spans="1:21" x14ac:dyDescent="0.25">
      <c r="A4745" s="33">
        <v>4766</v>
      </c>
      <c r="B4745" s="24">
        <v>44289</v>
      </c>
      <c r="C4745" t="s">
        <v>39</v>
      </c>
      <c r="D4745" t="s">
        <v>41</v>
      </c>
      <c r="E4745">
        <v>2000722265</v>
      </c>
      <c r="F4745">
        <v>1800</v>
      </c>
      <c r="G4745">
        <v>440</v>
      </c>
      <c r="H4745">
        <v>0</v>
      </c>
      <c r="I4745" t="s">
        <v>201</v>
      </c>
      <c r="J4745" t="s">
        <v>745</v>
      </c>
      <c r="K4745" t="s">
        <v>746</v>
      </c>
      <c r="O4745">
        <v>0</v>
      </c>
      <c r="U4745" t="s">
        <v>81</v>
      </c>
    </row>
    <row r="4746" spans="1:21" x14ac:dyDescent="0.25">
      <c r="A4746" s="33">
        <v>4767</v>
      </c>
      <c r="B4746" s="24">
        <v>44289</v>
      </c>
      <c r="C4746" t="s">
        <v>39</v>
      </c>
      <c r="D4746" t="s">
        <v>41</v>
      </c>
      <c r="E4746">
        <v>2000722203</v>
      </c>
      <c r="F4746">
        <v>2800</v>
      </c>
      <c r="G4746">
        <v>150</v>
      </c>
      <c r="H4746">
        <v>0</v>
      </c>
      <c r="I4746" t="s">
        <v>201</v>
      </c>
      <c r="J4746" t="s">
        <v>645</v>
      </c>
      <c r="K4746" t="s">
        <v>739</v>
      </c>
      <c r="O4746">
        <v>0</v>
      </c>
      <c r="U4746" t="s">
        <v>81</v>
      </c>
    </row>
    <row r="4747" spans="1:21" x14ac:dyDescent="0.25">
      <c r="A4747" s="33">
        <v>4768</v>
      </c>
      <c r="B4747" s="24">
        <v>44289</v>
      </c>
      <c r="C4747" t="s">
        <v>39</v>
      </c>
      <c r="D4747" t="s">
        <v>41</v>
      </c>
      <c r="E4747">
        <v>2000722200</v>
      </c>
      <c r="F4747">
        <v>1200</v>
      </c>
      <c r="G4747">
        <v>150</v>
      </c>
      <c r="H4747">
        <v>0</v>
      </c>
      <c r="I4747" t="s">
        <v>201</v>
      </c>
      <c r="J4747" t="s">
        <v>645</v>
      </c>
      <c r="K4747" t="s">
        <v>658</v>
      </c>
      <c r="O4747">
        <v>0</v>
      </c>
      <c r="U4747" t="s">
        <v>81</v>
      </c>
    </row>
    <row r="4748" spans="1:21" x14ac:dyDescent="0.25">
      <c r="A4748" s="33">
        <v>4769</v>
      </c>
      <c r="B4748" s="24">
        <v>44289</v>
      </c>
      <c r="C4748" t="s">
        <v>39</v>
      </c>
      <c r="D4748" t="s">
        <v>41</v>
      </c>
      <c r="E4748">
        <v>2000722259</v>
      </c>
      <c r="F4748">
        <v>1200</v>
      </c>
      <c r="G4748">
        <v>200</v>
      </c>
      <c r="H4748">
        <v>0</v>
      </c>
      <c r="I4748" t="s">
        <v>201</v>
      </c>
      <c r="J4748" t="s">
        <v>172</v>
      </c>
      <c r="K4748" t="s">
        <v>1168</v>
      </c>
      <c r="O4748">
        <v>0</v>
      </c>
      <c r="U4748" t="s">
        <v>81</v>
      </c>
    </row>
    <row r="4749" spans="1:21" x14ac:dyDescent="0.25">
      <c r="A4749" s="33">
        <v>4770</v>
      </c>
      <c r="B4749" s="24">
        <v>44289</v>
      </c>
      <c r="C4749" t="s">
        <v>39</v>
      </c>
      <c r="D4749" t="s">
        <v>41</v>
      </c>
      <c r="E4749">
        <v>2000722084</v>
      </c>
      <c r="F4749">
        <v>2000</v>
      </c>
      <c r="G4749">
        <v>160</v>
      </c>
      <c r="H4749">
        <v>0</v>
      </c>
      <c r="I4749" t="s">
        <v>201</v>
      </c>
      <c r="J4749" t="s">
        <v>193</v>
      </c>
      <c r="K4749" t="s">
        <v>650</v>
      </c>
      <c r="O4749">
        <v>0</v>
      </c>
      <c r="U4749" t="s">
        <v>81</v>
      </c>
    </row>
    <row r="4750" spans="1:21" x14ac:dyDescent="0.25">
      <c r="A4750" s="33">
        <v>4771</v>
      </c>
      <c r="B4750" s="24">
        <v>44289</v>
      </c>
      <c r="C4750" t="s">
        <v>39</v>
      </c>
      <c r="D4750" t="s">
        <v>41</v>
      </c>
      <c r="E4750">
        <v>2000722085</v>
      </c>
      <c r="F4750">
        <v>2000</v>
      </c>
      <c r="G4750">
        <v>160</v>
      </c>
      <c r="H4750">
        <v>0</v>
      </c>
      <c r="I4750" t="s">
        <v>201</v>
      </c>
      <c r="J4750" t="s">
        <v>193</v>
      </c>
      <c r="K4750" t="s">
        <v>686</v>
      </c>
      <c r="O4750">
        <v>0</v>
      </c>
      <c r="U4750" t="s">
        <v>81</v>
      </c>
    </row>
    <row r="4751" spans="1:21" x14ac:dyDescent="0.25">
      <c r="A4751" s="33">
        <v>4772</v>
      </c>
      <c r="B4751" s="24">
        <v>44289</v>
      </c>
      <c r="C4751" t="s">
        <v>39</v>
      </c>
      <c r="D4751" t="s">
        <v>41</v>
      </c>
      <c r="E4751">
        <v>2000723474</v>
      </c>
      <c r="F4751">
        <v>1750</v>
      </c>
      <c r="G4751">
        <v>150</v>
      </c>
      <c r="H4751">
        <v>0</v>
      </c>
      <c r="I4751" t="s">
        <v>201</v>
      </c>
      <c r="J4751" t="s">
        <v>645</v>
      </c>
      <c r="K4751" t="s">
        <v>813</v>
      </c>
      <c r="O4751">
        <v>0</v>
      </c>
      <c r="U4751" t="s">
        <v>81</v>
      </c>
    </row>
    <row r="4752" spans="1:21" x14ac:dyDescent="0.25">
      <c r="A4752" s="33">
        <v>4773</v>
      </c>
      <c r="B4752" s="24">
        <v>44289</v>
      </c>
      <c r="C4752" t="s">
        <v>39</v>
      </c>
      <c r="D4752" t="s">
        <v>41</v>
      </c>
      <c r="E4752">
        <v>2000722254</v>
      </c>
      <c r="F4752">
        <v>2000</v>
      </c>
      <c r="G4752">
        <v>130</v>
      </c>
      <c r="H4752">
        <v>0</v>
      </c>
      <c r="I4752" t="s">
        <v>201</v>
      </c>
      <c r="J4752" t="s">
        <v>199</v>
      </c>
      <c r="K4752" t="s">
        <v>1169</v>
      </c>
      <c r="O4752">
        <v>0</v>
      </c>
      <c r="U4752" t="s">
        <v>81</v>
      </c>
    </row>
    <row r="4753" spans="1:21" x14ac:dyDescent="0.25">
      <c r="A4753" s="33">
        <v>4774</v>
      </c>
      <c r="B4753" s="24">
        <v>44289</v>
      </c>
      <c r="C4753" t="s">
        <v>39</v>
      </c>
      <c r="D4753" t="s">
        <v>41</v>
      </c>
      <c r="E4753">
        <v>2000722523</v>
      </c>
      <c r="F4753">
        <v>460</v>
      </c>
      <c r="G4753">
        <v>334</v>
      </c>
      <c r="H4753">
        <v>0</v>
      </c>
      <c r="I4753" t="s">
        <v>661</v>
      </c>
      <c r="J4753" t="s">
        <v>169</v>
      </c>
      <c r="K4753" t="s">
        <v>892</v>
      </c>
      <c r="O4753">
        <v>0</v>
      </c>
      <c r="U4753" t="s">
        <v>81</v>
      </c>
    </row>
    <row r="4754" spans="1:21" x14ac:dyDescent="0.25">
      <c r="A4754" s="33">
        <v>4775</v>
      </c>
      <c r="B4754" s="24">
        <v>44289</v>
      </c>
      <c r="C4754" t="s">
        <v>39</v>
      </c>
      <c r="D4754" t="s">
        <v>41</v>
      </c>
      <c r="E4754">
        <v>2000722733</v>
      </c>
      <c r="F4754">
        <v>460</v>
      </c>
      <c r="G4754">
        <v>20</v>
      </c>
      <c r="H4754">
        <v>0</v>
      </c>
      <c r="I4754" t="s">
        <v>666</v>
      </c>
      <c r="J4754" t="s">
        <v>645</v>
      </c>
      <c r="K4754" t="s">
        <v>753</v>
      </c>
      <c r="O4754">
        <v>0</v>
      </c>
      <c r="U4754" t="s">
        <v>81</v>
      </c>
    </row>
    <row r="4755" spans="1:21" x14ac:dyDescent="0.25">
      <c r="A4755" s="33">
        <v>4776</v>
      </c>
      <c r="B4755" s="24">
        <v>44289</v>
      </c>
      <c r="C4755" t="s">
        <v>39</v>
      </c>
      <c r="D4755" t="s">
        <v>41</v>
      </c>
      <c r="E4755">
        <v>2000714596</v>
      </c>
      <c r="F4755">
        <v>2768</v>
      </c>
      <c r="G4755">
        <v>160</v>
      </c>
      <c r="H4755">
        <v>0</v>
      </c>
      <c r="I4755" t="s">
        <v>666</v>
      </c>
      <c r="J4755" t="s">
        <v>655</v>
      </c>
      <c r="K4755" t="s">
        <v>656</v>
      </c>
      <c r="O4755">
        <v>0</v>
      </c>
      <c r="T4755" t="s">
        <v>1170</v>
      </c>
      <c r="U4755" t="s">
        <v>81</v>
      </c>
    </row>
    <row r="4756" spans="1:21" x14ac:dyDescent="0.25">
      <c r="A4756" s="33">
        <v>4777</v>
      </c>
      <c r="B4756" s="24">
        <v>44289</v>
      </c>
      <c r="C4756" t="s">
        <v>39</v>
      </c>
      <c r="D4756" t="s">
        <v>41</v>
      </c>
      <c r="E4756">
        <v>2000714598</v>
      </c>
      <c r="F4756">
        <v>2704</v>
      </c>
      <c r="G4756">
        <v>80</v>
      </c>
      <c r="H4756">
        <v>0</v>
      </c>
      <c r="I4756" t="s">
        <v>666</v>
      </c>
      <c r="J4756" t="s">
        <v>655</v>
      </c>
      <c r="K4756" t="s">
        <v>656</v>
      </c>
      <c r="O4756">
        <v>0</v>
      </c>
      <c r="T4756" t="s">
        <v>1171</v>
      </c>
      <c r="U4756" t="s">
        <v>81</v>
      </c>
    </row>
    <row r="4757" spans="1:21" x14ac:dyDescent="0.25">
      <c r="A4757" s="33">
        <v>4778</v>
      </c>
      <c r="B4757" s="24">
        <v>44289</v>
      </c>
      <c r="C4757" t="s">
        <v>39</v>
      </c>
      <c r="D4757" t="s">
        <v>41</v>
      </c>
      <c r="E4757">
        <v>2000713894</v>
      </c>
      <c r="F4757">
        <v>2752</v>
      </c>
      <c r="G4757">
        <v>40</v>
      </c>
      <c r="H4757">
        <v>0</v>
      </c>
      <c r="I4757" t="s">
        <v>666</v>
      </c>
      <c r="J4757" t="s">
        <v>655</v>
      </c>
      <c r="K4757" t="s">
        <v>656</v>
      </c>
      <c r="O4757">
        <v>0</v>
      </c>
      <c r="T4757" t="s">
        <v>1171</v>
      </c>
      <c r="U4757" t="s">
        <v>81</v>
      </c>
    </row>
    <row r="4758" spans="1:21" x14ac:dyDescent="0.25">
      <c r="A4758" s="33">
        <v>4779</v>
      </c>
      <c r="B4758" s="24">
        <v>44289</v>
      </c>
      <c r="C4758" t="s">
        <v>39</v>
      </c>
      <c r="D4758" t="s">
        <v>41</v>
      </c>
      <c r="E4758">
        <v>2000713890</v>
      </c>
      <c r="F4758">
        <v>2720</v>
      </c>
      <c r="G4758">
        <v>40</v>
      </c>
      <c r="H4758">
        <v>0</v>
      </c>
      <c r="I4758" t="s">
        <v>666</v>
      </c>
      <c r="J4758" t="s">
        <v>655</v>
      </c>
      <c r="K4758" t="s">
        <v>656</v>
      </c>
      <c r="O4758">
        <v>0</v>
      </c>
      <c r="T4758" t="s">
        <v>1171</v>
      </c>
      <c r="U4758" t="s">
        <v>81</v>
      </c>
    </row>
    <row r="4759" spans="1:21" x14ac:dyDescent="0.25">
      <c r="A4759" s="33">
        <v>4780</v>
      </c>
      <c r="B4759" s="24">
        <v>44289</v>
      </c>
      <c r="C4759" t="s">
        <v>39</v>
      </c>
      <c r="D4759" t="s">
        <v>41</v>
      </c>
      <c r="E4759">
        <v>2000722734</v>
      </c>
      <c r="F4759">
        <v>700</v>
      </c>
      <c r="G4759">
        <v>80</v>
      </c>
      <c r="H4759">
        <v>0</v>
      </c>
      <c r="I4759" t="s">
        <v>666</v>
      </c>
      <c r="J4759" t="s">
        <v>645</v>
      </c>
      <c r="K4759" t="s">
        <v>646</v>
      </c>
      <c r="O4759">
        <v>0</v>
      </c>
      <c r="U4759" t="s">
        <v>81</v>
      </c>
    </row>
    <row r="4760" spans="1:21" x14ac:dyDescent="0.25">
      <c r="A4760" s="33">
        <v>4781</v>
      </c>
      <c r="B4760" s="24">
        <v>44289</v>
      </c>
      <c r="C4760" t="s">
        <v>39</v>
      </c>
      <c r="D4760" t="s">
        <v>41</v>
      </c>
      <c r="E4760">
        <v>2000721968</v>
      </c>
      <c r="F4760">
        <v>3999</v>
      </c>
      <c r="G4760">
        <v>120</v>
      </c>
      <c r="H4760">
        <v>0</v>
      </c>
      <c r="I4760" t="s">
        <v>666</v>
      </c>
      <c r="J4760" t="s">
        <v>687</v>
      </c>
      <c r="K4760" t="s">
        <v>688</v>
      </c>
      <c r="O4760">
        <v>0</v>
      </c>
      <c r="U4760" t="s">
        <v>81</v>
      </c>
    </row>
    <row r="4761" spans="1:21" x14ac:dyDescent="0.25">
      <c r="A4761" s="33">
        <v>4782</v>
      </c>
      <c r="B4761" s="24">
        <v>44289</v>
      </c>
      <c r="C4761" t="s">
        <v>39</v>
      </c>
      <c r="D4761" t="s">
        <v>41</v>
      </c>
      <c r="E4761">
        <v>2000722841</v>
      </c>
      <c r="F4761">
        <v>1200</v>
      </c>
      <c r="G4761">
        <v>80</v>
      </c>
      <c r="H4761">
        <v>0</v>
      </c>
      <c r="I4761" t="s">
        <v>666</v>
      </c>
      <c r="J4761" t="s">
        <v>687</v>
      </c>
      <c r="K4761" t="s">
        <v>757</v>
      </c>
      <c r="O4761">
        <v>0</v>
      </c>
      <c r="U4761" t="s">
        <v>81</v>
      </c>
    </row>
    <row r="4762" spans="1:21" x14ac:dyDescent="0.25">
      <c r="A4762" s="33">
        <v>4783</v>
      </c>
      <c r="B4762" s="24">
        <v>44289</v>
      </c>
      <c r="C4762" t="s">
        <v>39</v>
      </c>
      <c r="D4762" t="s">
        <v>41</v>
      </c>
      <c r="E4762">
        <v>2000723292</v>
      </c>
      <c r="F4762">
        <v>730</v>
      </c>
      <c r="G4762">
        <v>80</v>
      </c>
      <c r="H4762">
        <v>0</v>
      </c>
      <c r="I4762" t="s">
        <v>666</v>
      </c>
      <c r="J4762" t="s">
        <v>645</v>
      </c>
      <c r="K4762" t="s">
        <v>718</v>
      </c>
      <c r="O4762">
        <v>0</v>
      </c>
      <c r="U4762" t="s">
        <v>81</v>
      </c>
    </row>
    <row r="4763" spans="1:21" x14ac:dyDescent="0.25">
      <c r="A4763" s="33">
        <v>4784</v>
      </c>
      <c r="B4763" s="24">
        <v>44289</v>
      </c>
      <c r="C4763" t="s">
        <v>39</v>
      </c>
      <c r="D4763" t="s">
        <v>41</v>
      </c>
      <c r="E4763">
        <v>2000722748</v>
      </c>
      <c r="F4763">
        <v>170</v>
      </c>
      <c r="G4763">
        <v>20</v>
      </c>
      <c r="H4763">
        <v>0</v>
      </c>
      <c r="I4763" t="s">
        <v>666</v>
      </c>
      <c r="J4763" t="s">
        <v>645</v>
      </c>
      <c r="K4763" t="s">
        <v>752</v>
      </c>
      <c r="O4763">
        <v>0</v>
      </c>
      <c r="U4763" t="s">
        <v>81</v>
      </c>
    </row>
    <row r="4764" spans="1:21" x14ac:dyDescent="0.25">
      <c r="A4764" s="33">
        <v>4785</v>
      </c>
      <c r="B4764" s="24">
        <v>44289</v>
      </c>
      <c r="C4764" t="s">
        <v>39</v>
      </c>
      <c r="D4764" t="s">
        <v>41</v>
      </c>
      <c r="E4764">
        <v>2000722086</v>
      </c>
      <c r="F4764">
        <v>2000</v>
      </c>
      <c r="G4764">
        <v>20</v>
      </c>
      <c r="H4764">
        <v>0</v>
      </c>
      <c r="I4764" t="s">
        <v>666</v>
      </c>
      <c r="J4764" t="s">
        <v>193</v>
      </c>
      <c r="K4764" t="s">
        <v>647</v>
      </c>
      <c r="O4764">
        <v>0</v>
      </c>
      <c r="U4764" t="s">
        <v>81</v>
      </c>
    </row>
    <row r="4765" spans="1:21" x14ac:dyDescent="0.25">
      <c r="A4765" s="33">
        <v>4786</v>
      </c>
      <c r="B4765" s="24">
        <v>44289</v>
      </c>
      <c r="C4765" t="s">
        <v>39</v>
      </c>
      <c r="D4765" t="s">
        <v>41</v>
      </c>
      <c r="E4765">
        <v>2000723473</v>
      </c>
      <c r="F4765">
        <v>264</v>
      </c>
      <c r="G4765">
        <v>80</v>
      </c>
      <c r="H4765">
        <v>0</v>
      </c>
      <c r="I4765" t="s">
        <v>666</v>
      </c>
      <c r="J4765" t="s">
        <v>645</v>
      </c>
      <c r="K4765" t="s">
        <v>720</v>
      </c>
      <c r="O4765">
        <v>0</v>
      </c>
      <c r="U4765" t="s">
        <v>81</v>
      </c>
    </row>
    <row r="4766" spans="1:21" x14ac:dyDescent="0.25">
      <c r="A4766" s="33">
        <v>4787</v>
      </c>
      <c r="B4766" s="24">
        <v>44289</v>
      </c>
      <c r="C4766" t="s">
        <v>39</v>
      </c>
      <c r="D4766" t="s">
        <v>51</v>
      </c>
      <c r="E4766">
        <v>2000722323</v>
      </c>
      <c r="F4766">
        <v>380</v>
      </c>
      <c r="G4766">
        <v>90</v>
      </c>
      <c r="H4766">
        <v>0</v>
      </c>
      <c r="I4766" t="s">
        <v>168</v>
      </c>
      <c r="J4766" t="s">
        <v>669</v>
      </c>
      <c r="K4766" t="s">
        <v>741</v>
      </c>
      <c r="O4766">
        <v>0</v>
      </c>
      <c r="U4766" t="s">
        <v>81</v>
      </c>
    </row>
    <row r="4767" spans="1:21" x14ac:dyDescent="0.25">
      <c r="A4767" s="33">
        <v>4788</v>
      </c>
      <c r="B4767" s="24">
        <v>44289</v>
      </c>
      <c r="C4767" t="s">
        <v>39</v>
      </c>
      <c r="D4767" t="s">
        <v>51</v>
      </c>
      <c r="E4767">
        <v>2000722323</v>
      </c>
      <c r="F4767">
        <v>550</v>
      </c>
      <c r="G4767">
        <v>70</v>
      </c>
      <c r="H4767">
        <v>0</v>
      </c>
      <c r="I4767" t="s">
        <v>168</v>
      </c>
      <c r="J4767" t="s">
        <v>709</v>
      </c>
      <c r="K4767" t="s">
        <v>743</v>
      </c>
      <c r="O4767">
        <v>0</v>
      </c>
      <c r="U4767" t="s">
        <v>81</v>
      </c>
    </row>
    <row r="4768" spans="1:21" x14ac:dyDescent="0.25">
      <c r="A4768" s="33">
        <v>4789</v>
      </c>
      <c r="B4768" s="24">
        <v>44289</v>
      </c>
      <c r="C4768" t="s">
        <v>39</v>
      </c>
      <c r="D4768" t="s">
        <v>51</v>
      </c>
      <c r="E4768">
        <v>2000722800</v>
      </c>
      <c r="F4768">
        <v>1000</v>
      </c>
      <c r="G4768">
        <v>100</v>
      </c>
      <c r="H4768">
        <v>0</v>
      </c>
      <c r="I4768" t="s">
        <v>168</v>
      </c>
      <c r="J4768" t="s">
        <v>673</v>
      </c>
      <c r="K4768" t="s">
        <v>672</v>
      </c>
      <c r="O4768">
        <v>0</v>
      </c>
      <c r="U4768" t="s">
        <v>81</v>
      </c>
    </row>
    <row r="4769" spans="1:21" x14ac:dyDescent="0.25">
      <c r="A4769" s="33">
        <v>4790</v>
      </c>
      <c r="B4769" s="24">
        <v>44289</v>
      </c>
      <c r="C4769" t="s">
        <v>39</v>
      </c>
      <c r="D4769" t="s">
        <v>51</v>
      </c>
      <c r="E4769">
        <v>2000722444</v>
      </c>
      <c r="F4769">
        <v>345</v>
      </c>
      <c r="G4769">
        <v>96</v>
      </c>
      <c r="H4769">
        <v>0</v>
      </c>
      <c r="I4769" t="s">
        <v>168</v>
      </c>
      <c r="J4769" t="s">
        <v>709</v>
      </c>
      <c r="K4769" t="s">
        <v>710</v>
      </c>
      <c r="O4769">
        <v>0</v>
      </c>
      <c r="U4769" t="s">
        <v>81</v>
      </c>
    </row>
    <row r="4770" spans="1:21" x14ac:dyDescent="0.25">
      <c r="A4770" s="33">
        <v>4791</v>
      </c>
      <c r="B4770" s="24">
        <v>44289</v>
      </c>
      <c r="C4770" t="s">
        <v>39</v>
      </c>
      <c r="D4770" t="s">
        <v>51</v>
      </c>
      <c r="E4770">
        <v>2000722794</v>
      </c>
      <c r="F4770">
        <v>346</v>
      </c>
      <c r="G4770">
        <v>100</v>
      </c>
      <c r="H4770">
        <v>0</v>
      </c>
      <c r="I4770" t="s">
        <v>168</v>
      </c>
      <c r="J4770" t="s">
        <v>673</v>
      </c>
      <c r="K4770" t="s">
        <v>708</v>
      </c>
      <c r="O4770">
        <v>0</v>
      </c>
      <c r="U4770" t="s">
        <v>81</v>
      </c>
    </row>
    <row r="4771" spans="1:21" x14ac:dyDescent="0.25">
      <c r="A4771" s="33">
        <v>4792</v>
      </c>
      <c r="B4771" s="24">
        <v>44289</v>
      </c>
      <c r="C4771" t="s">
        <v>181</v>
      </c>
      <c r="D4771" t="s">
        <v>41</v>
      </c>
      <c r="E4771">
        <v>2000721961</v>
      </c>
      <c r="F4771">
        <v>1000</v>
      </c>
      <c r="G4771">
        <v>788</v>
      </c>
      <c r="H4771">
        <v>0</v>
      </c>
      <c r="I4771" t="s">
        <v>706</v>
      </c>
      <c r="J4771" t="s">
        <v>174</v>
      </c>
      <c r="K4771" t="s">
        <v>205</v>
      </c>
      <c r="O4771">
        <v>0</v>
      </c>
      <c r="U4771" t="s">
        <v>81</v>
      </c>
    </row>
    <row r="4772" spans="1:21" x14ac:dyDescent="0.25">
      <c r="A4772" s="33">
        <v>4793</v>
      </c>
      <c r="B4772" s="24">
        <v>44289</v>
      </c>
      <c r="C4772" t="s">
        <v>181</v>
      </c>
      <c r="D4772" t="s">
        <v>41</v>
      </c>
      <c r="E4772">
        <v>2000723319</v>
      </c>
      <c r="F4772">
        <v>330</v>
      </c>
      <c r="G4772">
        <v>329</v>
      </c>
      <c r="H4772">
        <v>0</v>
      </c>
      <c r="I4772" t="s">
        <v>706</v>
      </c>
      <c r="J4772" t="s">
        <v>170</v>
      </c>
      <c r="K4772" t="s">
        <v>171</v>
      </c>
      <c r="O4772">
        <v>0</v>
      </c>
      <c r="U4772" t="s">
        <v>81</v>
      </c>
    </row>
    <row r="4773" spans="1:21" x14ac:dyDescent="0.25">
      <c r="A4773" s="33">
        <v>4794</v>
      </c>
      <c r="B4773" s="24">
        <v>44289</v>
      </c>
      <c r="C4773" t="s">
        <v>181</v>
      </c>
      <c r="D4773" t="s">
        <v>41</v>
      </c>
      <c r="E4773">
        <v>2000723243</v>
      </c>
      <c r="F4773">
        <v>800</v>
      </c>
      <c r="G4773">
        <v>100</v>
      </c>
      <c r="H4773">
        <v>0</v>
      </c>
      <c r="I4773" t="s">
        <v>706</v>
      </c>
      <c r="J4773" t="s">
        <v>196</v>
      </c>
      <c r="K4773" t="s">
        <v>682</v>
      </c>
      <c r="O4773">
        <v>0</v>
      </c>
      <c r="U4773" t="s">
        <v>81</v>
      </c>
    </row>
    <row r="4774" spans="1:21" x14ac:dyDescent="0.25">
      <c r="A4774" s="33">
        <v>4795</v>
      </c>
      <c r="B4774" s="24">
        <v>44289</v>
      </c>
      <c r="C4774" t="s">
        <v>181</v>
      </c>
      <c r="D4774" t="s">
        <v>41</v>
      </c>
      <c r="E4774">
        <v>2000723244</v>
      </c>
      <c r="F4774">
        <v>800</v>
      </c>
      <c r="G4774">
        <v>100</v>
      </c>
      <c r="H4774">
        <v>0</v>
      </c>
      <c r="I4774" t="s">
        <v>706</v>
      </c>
      <c r="J4774" t="s">
        <v>196</v>
      </c>
      <c r="K4774" t="s">
        <v>684</v>
      </c>
      <c r="O4774">
        <v>0</v>
      </c>
      <c r="U4774" t="s">
        <v>81</v>
      </c>
    </row>
    <row r="4775" spans="1:21" x14ac:dyDescent="0.25">
      <c r="A4775" s="33">
        <v>4796</v>
      </c>
      <c r="B4775" s="24">
        <v>44289</v>
      </c>
      <c r="C4775" t="s">
        <v>181</v>
      </c>
      <c r="D4775" t="s">
        <v>41</v>
      </c>
      <c r="E4775">
        <v>2000723470</v>
      </c>
      <c r="F4775">
        <v>800</v>
      </c>
      <c r="G4775">
        <v>150</v>
      </c>
      <c r="H4775">
        <v>0</v>
      </c>
      <c r="I4775" t="s">
        <v>706</v>
      </c>
      <c r="J4775" t="s">
        <v>196</v>
      </c>
      <c r="K4775" t="s">
        <v>685</v>
      </c>
      <c r="O4775">
        <v>0</v>
      </c>
      <c r="U4775" t="s">
        <v>81</v>
      </c>
    </row>
    <row r="4776" spans="1:21" x14ac:dyDescent="0.25">
      <c r="A4776" s="33">
        <v>4802</v>
      </c>
      <c r="B4776" s="24">
        <v>44289</v>
      </c>
      <c r="C4776" t="s">
        <v>181</v>
      </c>
      <c r="D4776" t="s">
        <v>41</v>
      </c>
      <c r="E4776">
        <v>2000722288</v>
      </c>
      <c r="F4776">
        <v>940</v>
      </c>
      <c r="G4776">
        <v>256</v>
      </c>
      <c r="H4776">
        <v>0</v>
      </c>
      <c r="I4776" t="s">
        <v>1172</v>
      </c>
      <c r="J4776" t="s">
        <v>203</v>
      </c>
      <c r="K4776" t="s">
        <v>891</v>
      </c>
      <c r="O4776">
        <v>0</v>
      </c>
      <c r="U4776" t="s">
        <v>81</v>
      </c>
    </row>
    <row r="4777" spans="1:21" x14ac:dyDescent="0.25">
      <c r="A4777" s="33">
        <v>4803</v>
      </c>
      <c r="B4777" s="24">
        <v>44289</v>
      </c>
      <c r="C4777" t="s">
        <v>181</v>
      </c>
      <c r="D4777" t="s">
        <v>41</v>
      </c>
      <c r="E4777">
        <v>2000723239</v>
      </c>
      <c r="F4777">
        <v>600</v>
      </c>
      <c r="G4777">
        <v>120</v>
      </c>
      <c r="H4777">
        <v>0</v>
      </c>
      <c r="I4777" t="s">
        <v>1172</v>
      </c>
      <c r="J4777" t="s">
        <v>174</v>
      </c>
      <c r="K4777" t="s">
        <v>662</v>
      </c>
      <c r="O4777">
        <v>0</v>
      </c>
      <c r="U4777" t="s">
        <v>81</v>
      </c>
    </row>
    <row r="4778" spans="1:21" x14ac:dyDescent="0.25">
      <c r="A4778" s="33">
        <v>4804</v>
      </c>
      <c r="B4778" s="24">
        <v>44289</v>
      </c>
      <c r="C4778" t="s">
        <v>181</v>
      </c>
      <c r="D4778" t="s">
        <v>41</v>
      </c>
      <c r="E4778">
        <v>2000722282</v>
      </c>
      <c r="F4778">
        <v>520</v>
      </c>
      <c r="G4778">
        <v>180</v>
      </c>
      <c r="H4778">
        <v>0</v>
      </c>
      <c r="I4778" t="s">
        <v>1172</v>
      </c>
      <c r="J4778" t="s">
        <v>203</v>
      </c>
      <c r="K4778" t="s">
        <v>638</v>
      </c>
      <c r="O4778">
        <v>0</v>
      </c>
      <c r="U4778" t="s">
        <v>81</v>
      </c>
    </row>
    <row r="4779" spans="1:21" x14ac:dyDescent="0.25">
      <c r="A4779" s="33">
        <v>4805</v>
      </c>
      <c r="B4779" s="24">
        <v>44289</v>
      </c>
      <c r="C4779" t="s">
        <v>181</v>
      </c>
      <c r="D4779" t="s">
        <v>41</v>
      </c>
      <c r="E4779">
        <v>2000721992</v>
      </c>
      <c r="F4779">
        <v>550</v>
      </c>
      <c r="G4779">
        <v>110</v>
      </c>
      <c r="H4779">
        <v>0</v>
      </c>
      <c r="I4779" t="s">
        <v>183</v>
      </c>
      <c r="J4779" t="s">
        <v>174</v>
      </c>
      <c r="K4779" t="s">
        <v>644</v>
      </c>
      <c r="O4779">
        <v>0</v>
      </c>
      <c r="U4779" t="s">
        <v>81</v>
      </c>
    </row>
    <row r="4780" spans="1:21" x14ac:dyDescent="0.25">
      <c r="A4780" s="33">
        <v>4806</v>
      </c>
      <c r="B4780" s="24">
        <v>44289</v>
      </c>
      <c r="C4780" t="s">
        <v>181</v>
      </c>
      <c r="D4780" t="s">
        <v>41</v>
      </c>
      <c r="E4780">
        <v>2000721993</v>
      </c>
      <c r="F4780">
        <v>160</v>
      </c>
      <c r="G4780">
        <v>120</v>
      </c>
      <c r="H4780">
        <v>0</v>
      </c>
      <c r="I4780" t="s">
        <v>183</v>
      </c>
      <c r="J4780" t="s">
        <v>174</v>
      </c>
      <c r="K4780" t="s">
        <v>811</v>
      </c>
      <c r="O4780">
        <v>0</v>
      </c>
      <c r="U4780" t="s">
        <v>81</v>
      </c>
    </row>
    <row r="4781" spans="1:21" x14ac:dyDescent="0.25">
      <c r="A4781" s="33">
        <v>4807</v>
      </c>
      <c r="B4781" s="24">
        <v>44289</v>
      </c>
      <c r="C4781" t="s">
        <v>181</v>
      </c>
      <c r="D4781" t="s">
        <v>41</v>
      </c>
      <c r="E4781">
        <v>2000722523</v>
      </c>
      <c r="F4781">
        <v>460</v>
      </c>
      <c r="G4781">
        <v>20</v>
      </c>
      <c r="H4781">
        <v>0</v>
      </c>
      <c r="I4781" t="s">
        <v>183</v>
      </c>
      <c r="J4781" t="s">
        <v>169</v>
      </c>
      <c r="K4781" t="s">
        <v>892</v>
      </c>
      <c r="O4781">
        <v>0</v>
      </c>
      <c r="U4781" t="s">
        <v>81</v>
      </c>
    </row>
    <row r="4782" spans="1:21" x14ac:dyDescent="0.25">
      <c r="A4782" s="33">
        <v>4808</v>
      </c>
      <c r="B4782" s="24">
        <v>44289</v>
      </c>
      <c r="C4782" t="s">
        <v>181</v>
      </c>
      <c r="D4782" t="s">
        <v>41</v>
      </c>
      <c r="E4782">
        <v>2000720034</v>
      </c>
      <c r="F4782">
        <v>2808</v>
      </c>
      <c r="G4782">
        <v>2024</v>
      </c>
      <c r="H4782">
        <v>0</v>
      </c>
      <c r="I4782" t="s">
        <v>183</v>
      </c>
      <c r="J4782" t="s">
        <v>745</v>
      </c>
      <c r="K4782" t="s">
        <v>1124</v>
      </c>
      <c r="O4782">
        <v>0</v>
      </c>
      <c r="U4782" t="s">
        <v>81</v>
      </c>
    </row>
    <row r="4783" spans="1:21" x14ac:dyDescent="0.25">
      <c r="A4783" s="33">
        <v>4809</v>
      </c>
      <c r="B4783" s="24">
        <v>44289</v>
      </c>
      <c r="C4783" t="s">
        <v>181</v>
      </c>
      <c r="D4783" t="s">
        <v>41</v>
      </c>
      <c r="E4783">
        <v>2000722256</v>
      </c>
      <c r="F4783">
        <v>1092</v>
      </c>
      <c r="G4783">
        <v>425</v>
      </c>
      <c r="H4783">
        <v>0</v>
      </c>
      <c r="I4783" t="s">
        <v>183</v>
      </c>
      <c r="J4783" t="s">
        <v>745</v>
      </c>
      <c r="K4783" t="s">
        <v>857</v>
      </c>
      <c r="O4783">
        <v>0</v>
      </c>
      <c r="U4783" t="s">
        <v>81</v>
      </c>
    </row>
    <row r="4784" spans="1:21" x14ac:dyDescent="0.25">
      <c r="A4784" s="33">
        <v>4810</v>
      </c>
      <c r="B4784" s="24">
        <v>44289</v>
      </c>
      <c r="C4784" t="s">
        <v>181</v>
      </c>
      <c r="D4784" t="s">
        <v>41</v>
      </c>
      <c r="E4784">
        <v>2000723236</v>
      </c>
      <c r="F4784">
        <v>1020</v>
      </c>
      <c r="G4784">
        <v>90</v>
      </c>
      <c r="H4784">
        <v>0</v>
      </c>
      <c r="I4784" t="s">
        <v>185</v>
      </c>
      <c r="J4784" t="s">
        <v>169</v>
      </c>
      <c r="K4784" t="s">
        <v>637</v>
      </c>
      <c r="O4784">
        <v>0</v>
      </c>
      <c r="U4784" t="s">
        <v>81</v>
      </c>
    </row>
    <row r="4785" spans="1:21" x14ac:dyDescent="0.25">
      <c r="A4785" s="33">
        <v>4811</v>
      </c>
      <c r="B4785" s="24">
        <v>44289</v>
      </c>
      <c r="C4785" t="s">
        <v>181</v>
      </c>
      <c r="D4785" t="s">
        <v>41</v>
      </c>
      <c r="E4785">
        <v>2000722086</v>
      </c>
      <c r="F4785">
        <v>2000</v>
      </c>
      <c r="G4785">
        <v>100</v>
      </c>
      <c r="H4785">
        <v>0</v>
      </c>
      <c r="I4785" t="s">
        <v>185</v>
      </c>
      <c r="J4785" t="s">
        <v>193</v>
      </c>
      <c r="K4785" t="s">
        <v>647</v>
      </c>
      <c r="O4785">
        <v>0</v>
      </c>
      <c r="U4785" t="s">
        <v>81</v>
      </c>
    </row>
    <row r="4786" spans="1:21" x14ac:dyDescent="0.25">
      <c r="A4786" s="33">
        <v>4812</v>
      </c>
      <c r="B4786" s="24">
        <v>44289</v>
      </c>
      <c r="C4786" t="s">
        <v>181</v>
      </c>
      <c r="D4786" t="s">
        <v>41</v>
      </c>
      <c r="E4786">
        <v>2000723242</v>
      </c>
      <c r="F4786">
        <v>800</v>
      </c>
      <c r="G4786">
        <v>80</v>
      </c>
      <c r="H4786">
        <v>0</v>
      </c>
      <c r="I4786" t="s">
        <v>185</v>
      </c>
      <c r="J4786" t="s">
        <v>196</v>
      </c>
      <c r="K4786" t="s">
        <v>648</v>
      </c>
      <c r="O4786">
        <v>0</v>
      </c>
      <c r="U4786" t="s">
        <v>81</v>
      </c>
    </row>
    <row r="4787" spans="1:21" x14ac:dyDescent="0.25">
      <c r="A4787" s="33">
        <v>4813</v>
      </c>
      <c r="B4787" s="24">
        <v>44289</v>
      </c>
      <c r="C4787" t="s">
        <v>181</v>
      </c>
      <c r="D4787" t="s">
        <v>41</v>
      </c>
      <c r="E4787">
        <v>2000722840</v>
      </c>
      <c r="F4787">
        <v>1200</v>
      </c>
      <c r="G4787">
        <v>80</v>
      </c>
      <c r="H4787">
        <v>0</v>
      </c>
      <c r="I4787" t="s">
        <v>185</v>
      </c>
      <c r="J4787" t="s">
        <v>687</v>
      </c>
      <c r="K4787" t="s">
        <v>898</v>
      </c>
      <c r="O4787">
        <v>0</v>
      </c>
      <c r="U4787" t="s">
        <v>81</v>
      </c>
    </row>
    <row r="4788" spans="1:21" x14ac:dyDescent="0.25">
      <c r="A4788" s="33">
        <v>4814</v>
      </c>
      <c r="B4788" s="24">
        <v>44289</v>
      </c>
      <c r="C4788" t="s">
        <v>181</v>
      </c>
      <c r="D4788" t="s">
        <v>41</v>
      </c>
      <c r="E4788">
        <v>2000722440</v>
      </c>
      <c r="F4788">
        <v>1812</v>
      </c>
      <c r="G4788">
        <v>120</v>
      </c>
      <c r="H4788">
        <v>0</v>
      </c>
      <c r="I4788" t="s">
        <v>185</v>
      </c>
      <c r="J4788" t="s">
        <v>655</v>
      </c>
      <c r="K4788" t="s">
        <v>656</v>
      </c>
      <c r="O4788">
        <v>0</v>
      </c>
      <c r="U4788" t="s">
        <v>81</v>
      </c>
    </row>
    <row r="4789" spans="1:21" x14ac:dyDescent="0.25">
      <c r="A4789" s="33">
        <v>4815</v>
      </c>
      <c r="B4789" s="24">
        <v>44289</v>
      </c>
      <c r="C4789" t="s">
        <v>181</v>
      </c>
      <c r="D4789" t="s">
        <v>41</v>
      </c>
      <c r="E4789">
        <v>2000723237</v>
      </c>
      <c r="F4789">
        <v>320</v>
      </c>
      <c r="G4789">
        <v>80</v>
      </c>
      <c r="H4789">
        <v>0</v>
      </c>
      <c r="I4789" t="s">
        <v>185</v>
      </c>
      <c r="J4789" t="s">
        <v>197</v>
      </c>
      <c r="K4789" t="s">
        <v>764</v>
      </c>
      <c r="O4789">
        <v>0</v>
      </c>
      <c r="U4789" t="s">
        <v>81</v>
      </c>
    </row>
    <row r="4790" spans="1:21" x14ac:dyDescent="0.25">
      <c r="A4790" s="33">
        <v>4816</v>
      </c>
      <c r="B4790" s="24">
        <v>44289</v>
      </c>
      <c r="C4790" t="s">
        <v>181</v>
      </c>
      <c r="D4790" t="s">
        <v>41</v>
      </c>
      <c r="E4790">
        <v>2000723245</v>
      </c>
      <c r="F4790">
        <v>400</v>
      </c>
      <c r="G4790">
        <v>80</v>
      </c>
      <c r="H4790">
        <v>0</v>
      </c>
      <c r="I4790" t="s">
        <v>185</v>
      </c>
      <c r="J4790" t="s">
        <v>195</v>
      </c>
      <c r="K4790" t="s">
        <v>887</v>
      </c>
      <c r="O4790">
        <v>0</v>
      </c>
      <c r="U4790" t="s">
        <v>81</v>
      </c>
    </row>
    <row r="4791" spans="1:21" x14ac:dyDescent="0.25">
      <c r="A4791" s="33">
        <v>4817</v>
      </c>
      <c r="B4791" s="24">
        <v>44289</v>
      </c>
      <c r="C4791" t="s">
        <v>181</v>
      </c>
      <c r="D4791" t="s">
        <v>41</v>
      </c>
      <c r="E4791">
        <v>2000722686</v>
      </c>
      <c r="F4791">
        <v>600</v>
      </c>
      <c r="G4791">
        <v>30</v>
      </c>
      <c r="H4791">
        <v>0</v>
      </c>
      <c r="I4791" t="s">
        <v>185</v>
      </c>
      <c r="J4791" t="s">
        <v>169</v>
      </c>
      <c r="K4791" t="s">
        <v>179</v>
      </c>
      <c r="O4791">
        <v>0</v>
      </c>
      <c r="U4791" t="s">
        <v>81</v>
      </c>
    </row>
    <row r="4792" spans="1:21" x14ac:dyDescent="0.25">
      <c r="A4792" s="33">
        <v>4818</v>
      </c>
      <c r="B4792" s="24">
        <v>44289</v>
      </c>
      <c r="C4792" t="s">
        <v>181</v>
      </c>
      <c r="D4792" t="s">
        <v>41</v>
      </c>
      <c r="E4792">
        <v>2000722807</v>
      </c>
      <c r="F4792">
        <v>440</v>
      </c>
      <c r="G4792">
        <v>440</v>
      </c>
      <c r="H4792">
        <v>0</v>
      </c>
      <c r="I4792" t="s">
        <v>198</v>
      </c>
      <c r="J4792" t="s">
        <v>745</v>
      </c>
      <c r="K4792" t="s">
        <v>746</v>
      </c>
      <c r="O4792">
        <v>0</v>
      </c>
      <c r="U4792" t="s">
        <v>81</v>
      </c>
    </row>
    <row r="4793" spans="1:21" x14ac:dyDescent="0.25">
      <c r="A4793" s="33">
        <v>4819</v>
      </c>
      <c r="B4793" s="24">
        <v>44289</v>
      </c>
      <c r="C4793" t="s">
        <v>181</v>
      </c>
      <c r="D4793" t="s">
        <v>41</v>
      </c>
      <c r="E4793">
        <v>2000722265</v>
      </c>
      <c r="F4793">
        <v>1800</v>
      </c>
      <c r="G4793">
        <v>80</v>
      </c>
      <c r="H4793">
        <v>0</v>
      </c>
      <c r="I4793" t="s">
        <v>198</v>
      </c>
      <c r="J4793" t="s">
        <v>745</v>
      </c>
      <c r="K4793" t="s">
        <v>746</v>
      </c>
      <c r="O4793">
        <v>0</v>
      </c>
      <c r="U4793" t="s">
        <v>81</v>
      </c>
    </row>
    <row r="4794" spans="1:21" x14ac:dyDescent="0.25">
      <c r="A4794" s="33">
        <v>4820</v>
      </c>
      <c r="B4794" s="24">
        <v>44289</v>
      </c>
      <c r="C4794" t="s">
        <v>181</v>
      </c>
      <c r="D4794" t="s">
        <v>41</v>
      </c>
      <c r="E4794">
        <v>2000722202</v>
      </c>
      <c r="F4794">
        <v>2800</v>
      </c>
      <c r="G4794">
        <v>200</v>
      </c>
      <c r="H4794">
        <v>0</v>
      </c>
      <c r="I4794" t="s">
        <v>198</v>
      </c>
      <c r="J4794" t="s">
        <v>645</v>
      </c>
      <c r="K4794" t="s">
        <v>756</v>
      </c>
      <c r="O4794">
        <v>0</v>
      </c>
      <c r="U4794" t="s">
        <v>81</v>
      </c>
    </row>
    <row r="4795" spans="1:21" x14ac:dyDescent="0.25">
      <c r="A4795" s="33">
        <v>4821</v>
      </c>
      <c r="B4795" s="24">
        <v>44289</v>
      </c>
      <c r="C4795" t="s">
        <v>181</v>
      </c>
      <c r="D4795" t="s">
        <v>41</v>
      </c>
      <c r="E4795">
        <v>2000722204</v>
      </c>
      <c r="F4795">
        <v>2800</v>
      </c>
      <c r="G4795">
        <v>300</v>
      </c>
      <c r="H4795">
        <v>0</v>
      </c>
      <c r="I4795" t="s">
        <v>198</v>
      </c>
      <c r="J4795" t="s">
        <v>645</v>
      </c>
      <c r="K4795" t="s">
        <v>762</v>
      </c>
      <c r="O4795">
        <v>0</v>
      </c>
      <c r="U4795" t="s">
        <v>81</v>
      </c>
    </row>
    <row r="4796" spans="1:21" x14ac:dyDescent="0.25">
      <c r="A4796" s="33">
        <v>4822</v>
      </c>
      <c r="B4796" s="24">
        <v>44289</v>
      </c>
      <c r="C4796" t="s">
        <v>181</v>
      </c>
      <c r="D4796" t="s">
        <v>41</v>
      </c>
      <c r="E4796">
        <v>2000722806</v>
      </c>
      <c r="F4796">
        <v>1044</v>
      </c>
      <c r="G4796">
        <v>990</v>
      </c>
      <c r="H4796">
        <v>0</v>
      </c>
      <c r="I4796" t="s">
        <v>198</v>
      </c>
      <c r="J4796" t="s">
        <v>745</v>
      </c>
      <c r="K4796" t="s">
        <v>849</v>
      </c>
      <c r="O4796">
        <v>0</v>
      </c>
      <c r="U4796" t="s">
        <v>81</v>
      </c>
    </row>
    <row r="4797" spans="1:21" x14ac:dyDescent="0.25">
      <c r="A4797" s="33">
        <v>4823</v>
      </c>
      <c r="B4797" s="24">
        <v>44289</v>
      </c>
      <c r="C4797" t="s">
        <v>181</v>
      </c>
      <c r="D4797" t="s">
        <v>41</v>
      </c>
      <c r="E4797">
        <v>2000722262</v>
      </c>
      <c r="F4797">
        <v>4200</v>
      </c>
      <c r="G4797">
        <v>240</v>
      </c>
      <c r="H4797">
        <v>0</v>
      </c>
      <c r="I4797" t="s">
        <v>198</v>
      </c>
      <c r="J4797" t="s">
        <v>199</v>
      </c>
      <c r="K4797" t="s">
        <v>660</v>
      </c>
      <c r="O4797">
        <v>0</v>
      </c>
      <c r="U4797" t="s">
        <v>81</v>
      </c>
    </row>
    <row r="4798" spans="1:21" x14ac:dyDescent="0.25">
      <c r="A4798" s="33">
        <v>4824</v>
      </c>
      <c r="B4798" s="24">
        <v>44289</v>
      </c>
      <c r="C4798" t="s">
        <v>181</v>
      </c>
      <c r="D4798" t="s">
        <v>41</v>
      </c>
      <c r="E4798">
        <v>2000722082</v>
      </c>
      <c r="F4798">
        <v>2000</v>
      </c>
      <c r="G4798">
        <v>150</v>
      </c>
      <c r="H4798">
        <v>0</v>
      </c>
      <c r="I4798" t="s">
        <v>198</v>
      </c>
      <c r="J4798" t="s">
        <v>193</v>
      </c>
      <c r="K4798" t="s">
        <v>176</v>
      </c>
      <c r="O4798">
        <v>0</v>
      </c>
      <c r="U4798" t="s">
        <v>81</v>
      </c>
    </row>
    <row r="4799" spans="1:21" x14ac:dyDescent="0.25">
      <c r="A4799" s="33">
        <v>4825</v>
      </c>
      <c r="B4799" s="24">
        <v>44289</v>
      </c>
      <c r="C4799" t="s">
        <v>181</v>
      </c>
      <c r="D4799" t="s">
        <v>41</v>
      </c>
      <c r="E4799">
        <v>2000722083</v>
      </c>
      <c r="F4799">
        <v>2000</v>
      </c>
      <c r="G4799">
        <v>150</v>
      </c>
      <c r="H4799">
        <v>0</v>
      </c>
      <c r="I4799" t="s">
        <v>198</v>
      </c>
      <c r="J4799" t="s">
        <v>193</v>
      </c>
      <c r="K4799" t="s">
        <v>683</v>
      </c>
      <c r="O4799">
        <v>0</v>
      </c>
      <c r="U4799" t="s">
        <v>81</v>
      </c>
    </row>
    <row r="4800" spans="1:21" x14ac:dyDescent="0.25">
      <c r="A4800" s="33">
        <v>4826</v>
      </c>
      <c r="B4800" s="24">
        <v>44289</v>
      </c>
      <c r="C4800" t="s">
        <v>181</v>
      </c>
      <c r="D4800" t="s">
        <v>41</v>
      </c>
      <c r="E4800">
        <v>2000722256</v>
      </c>
      <c r="F4800">
        <v>1092</v>
      </c>
      <c r="G4800">
        <v>665</v>
      </c>
      <c r="H4800">
        <v>1</v>
      </c>
      <c r="I4800" t="s">
        <v>680</v>
      </c>
      <c r="J4800" t="s">
        <v>745</v>
      </c>
      <c r="K4800" t="s">
        <v>857</v>
      </c>
      <c r="L4800" t="s">
        <v>105</v>
      </c>
      <c r="M4800" t="s">
        <v>1173</v>
      </c>
      <c r="N4800" t="s">
        <v>1174</v>
      </c>
      <c r="O4800">
        <v>1</v>
      </c>
      <c r="P4800" t="s">
        <v>1175</v>
      </c>
      <c r="Q4800" t="s">
        <v>1176</v>
      </c>
      <c r="S4800" s="36">
        <v>9.0277777777777776E-2</v>
      </c>
      <c r="U4800" t="s">
        <v>81</v>
      </c>
    </row>
    <row r="4801" spans="1:21" x14ac:dyDescent="0.25">
      <c r="A4801" s="33">
        <v>4827</v>
      </c>
      <c r="B4801" s="24">
        <v>44289</v>
      </c>
      <c r="C4801" t="s">
        <v>181</v>
      </c>
      <c r="D4801" t="s">
        <v>41</v>
      </c>
      <c r="E4801">
        <v>2000722261</v>
      </c>
      <c r="F4801">
        <v>1620</v>
      </c>
      <c r="G4801">
        <v>240</v>
      </c>
      <c r="H4801">
        <v>0</v>
      </c>
      <c r="I4801" t="s">
        <v>680</v>
      </c>
      <c r="J4801" t="s">
        <v>203</v>
      </c>
      <c r="K4801" t="s">
        <v>640</v>
      </c>
      <c r="O4801">
        <v>0</v>
      </c>
      <c r="U4801" t="s">
        <v>81</v>
      </c>
    </row>
    <row r="4802" spans="1:21" x14ac:dyDescent="0.25">
      <c r="A4802" s="33">
        <v>4828</v>
      </c>
      <c r="B4802" s="24">
        <v>44289</v>
      </c>
      <c r="C4802" t="s">
        <v>181</v>
      </c>
      <c r="D4802" t="s">
        <v>41</v>
      </c>
      <c r="E4802">
        <v>2000720034</v>
      </c>
      <c r="F4802">
        <v>2808</v>
      </c>
      <c r="G4802">
        <v>400</v>
      </c>
      <c r="H4802">
        <v>0</v>
      </c>
      <c r="I4802" t="s">
        <v>680</v>
      </c>
      <c r="J4802" t="s">
        <v>745</v>
      </c>
      <c r="K4802" t="s">
        <v>1124</v>
      </c>
      <c r="O4802">
        <v>0</v>
      </c>
      <c r="U4802" t="s">
        <v>81</v>
      </c>
    </row>
    <row r="4803" spans="1:21" x14ac:dyDescent="0.25">
      <c r="A4803" s="33">
        <v>4829</v>
      </c>
      <c r="B4803" s="24">
        <v>44289</v>
      </c>
      <c r="C4803" t="s">
        <v>181</v>
      </c>
      <c r="D4803" t="s">
        <v>41</v>
      </c>
      <c r="E4803">
        <v>2000723239</v>
      </c>
      <c r="F4803">
        <v>600</v>
      </c>
      <c r="G4803">
        <v>120</v>
      </c>
      <c r="H4803">
        <v>0</v>
      </c>
      <c r="I4803" t="s">
        <v>693</v>
      </c>
      <c r="J4803" t="s">
        <v>174</v>
      </c>
      <c r="K4803" t="s">
        <v>662</v>
      </c>
      <c r="O4803">
        <v>0</v>
      </c>
      <c r="U4803" t="s">
        <v>81</v>
      </c>
    </row>
    <row r="4804" spans="1:21" x14ac:dyDescent="0.25">
      <c r="A4804" s="33">
        <v>4830</v>
      </c>
      <c r="B4804" s="24">
        <v>44289</v>
      </c>
      <c r="C4804" t="s">
        <v>181</v>
      </c>
      <c r="D4804" t="s">
        <v>41</v>
      </c>
      <c r="E4804">
        <v>2000723235</v>
      </c>
      <c r="F4804">
        <v>160</v>
      </c>
      <c r="G4804">
        <v>3</v>
      </c>
      <c r="H4804">
        <v>0</v>
      </c>
      <c r="I4804" t="s">
        <v>693</v>
      </c>
      <c r="J4804" t="s">
        <v>174</v>
      </c>
      <c r="K4804" t="s">
        <v>931</v>
      </c>
      <c r="O4804">
        <v>0</v>
      </c>
      <c r="U4804" t="s">
        <v>81</v>
      </c>
    </row>
    <row r="4805" spans="1:21" x14ac:dyDescent="0.25">
      <c r="A4805" s="33">
        <v>4831</v>
      </c>
      <c r="B4805" s="24">
        <v>44289</v>
      </c>
      <c r="C4805" t="s">
        <v>181</v>
      </c>
      <c r="D4805" t="s">
        <v>51</v>
      </c>
      <c r="E4805">
        <v>2000722794</v>
      </c>
      <c r="F4805">
        <v>346</v>
      </c>
      <c r="G4805">
        <v>242</v>
      </c>
      <c r="H4805">
        <v>0</v>
      </c>
      <c r="I4805" t="s">
        <v>693</v>
      </c>
      <c r="J4805" t="s">
        <v>1177</v>
      </c>
      <c r="K4805" t="s">
        <v>708</v>
      </c>
      <c r="O4805">
        <v>0</v>
      </c>
      <c r="U4805" t="s">
        <v>81</v>
      </c>
    </row>
    <row r="4806" spans="1:21" x14ac:dyDescent="0.25">
      <c r="A4806" s="33">
        <v>4832</v>
      </c>
      <c r="B4806" s="24">
        <v>44289</v>
      </c>
      <c r="C4806" t="s">
        <v>181</v>
      </c>
      <c r="D4806" t="s">
        <v>51</v>
      </c>
      <c r="E4806">
        <v>2000722797</v>
      </c>
      <c r="F4806">
        <v>690</v>
      </c>
      <c r="G4806">
        <v>120</v>
      </c>
      <c r="H4806">
        <v>0</v>
      </c>
      <c r="I4806" t="s">
        <v>693</v>
      </c>
      <c r="J4806" t="s">
        <v>669</v>
      </c>
      <c r="K4806" t="s">
        <v>707</v>
      </c>
      <c r="O4806">
        <v>0</v>
      </c>
      <c r="U4806" t="s">
        <v>81</v>
      </c>
    </row>
    <row r="4807" spans="1:21" x14ac:dyDescent="0.25">
      <c r="A4807" s="33">
        <v>4833</v>
      </c>
      <c r="B4807" s="24">
        <v>44289</v>
      </c>
      <c r="C4807" t="s">
        <v>181</v>
      </c>
      <c r="D4807" t="s">
        <v>51</v>
      </c>
      <c r="E4807">
        <v>2000721877</v>
      </c>
      <c r="F4807">
        <v>600</v>
      </c>
      <c r="G4807">
        <v>10</v>
      </c>
      <c r="H4807">
        <v>0</v>
      </c>
      <c r="I4807" t="s">
        <v>693</v>
      </c>
      <c r="J4807" t="s">
        <v>669</v>
      </c>
      <c r="K4807" t="s">
        <v>707</v>
      </c>
      <c r="O4807">
        <v>0</v>
      </c>
      <c r="U4807" t="s">
        <v>81</v>
      </c>
    </row>
    <row r="4808" spans="1:21" x14ac:dyDescent="0.25">
      <c r="A4808" s="33">
        <v>4834</v>
      </c>
      <c r="B4808" s="24">
        <v>44289</v>
      </c>
      <c r="C4808" t="s">
        <v>181</v>
      </c>
      <c r="D4808" t="s">
        <v>51</v>
      </c>
      <c r="E4808">
        <v>2000722792</v>
      </c>
      <c r="F4808">
        <v>550</v>
      </c>
      <c r="G4808">
        <v>105</v>
      </c>
      <c r="H4808">
        <v>0</v>
      </c>
      <c r="I4808" t="s">
        <v>693</v>
      </c>
      <c r="J4808" t="s">
        <v>667</v>
      </c>
      <c r="K4808" t="s">
        <v>671</v>
      </c>
      <c r="O4808">
        <v>0</v>
      </c>
      <c r="U4808" t="s">
        <v>81</v>
      </c>
    </row>
    <row r="4809" spans="1:21" x14ac:dyDescent="0.25">
      <c r="A4809" s="33">
        <v>4835</v>
      </c>
      <c r="B4809" s="24">
        <v>44290</v>
      </c>
      <c r="C4809" t="s">
        <v>181</v>
      </c>
      <c r="D4809" t="s">
        <v>51</v>
      </c>
      <c r="E4809">
        <v>2000722797</v>
      </c>
      <c r="F4809">
        <v>690</v>
      </c>
      <c r="G4809">
        <v>100</v>
      </c>
      <c r="H4809">
        <v>0</v>
      </c>
      <c r="I4809" t="s">
        <v>1178</v>
      </c>
      <c r="J4809" t="s">
        <v>669</v>
      </c>
      <c r="K4809" t="s">
        <v>707</v>
      </c>
      <c r="O4809">
        <v>0</v>
      </c>
      <c r="U4809" t="s">
        <v>81</v>
      </c>
    </row>
    <row r="4810" spans="1:21" x14ac:dyDescent="0.25">
      <c r="A4810" s="33">
        <v>4836</v>
      </c>
      <c r="B4810" s="24">
        <v>44290</v>
      </c>
      <c r="C4810" t="s">
        <v>181</v>
      </c>
      <c r="D4810" t="s">
        <v>51</v>
      </c>
      <c r="E4810">
        <v>2000722797</v>
      </c>
      <c r="F4810">
        <v>690</v>
      </c>
      <c r="G4810">
        <v>160</v>
      </c>
      <c r="H4810">
        <v>0</v>
      </c>
      <c r="I4810" t="s">
        <v>693</v>
      </c>
      <c r="J4810" t="s">
        <v>669</v>
      </c>
      <c r="K4810" t="s">
        <v>707</v>
      </c>
      <c r="O4810">
        <v>0</v>
      </c>
      <c r="U4810" t="s">
        <v>81</v>
      </c>
    </row>
    <row r="4811" spans="1:21" ht="60" x14ac:dyDescent="0.25">
      <c r="A4811" s="33">
        <v>4837</v>
      </c>
      <c r="B4811" s="24">
        <v>44290</v>
      </c>
      <c r="C4811" t="s">
        <v>181</v>
      </c>
      <c r="D4811" t="s">
        <v>51</v>
      </c>
      <c r="E4811">
        <v>2000722318</v>
      </c>
      <c r="F4811">
        <v>1000</v>
      </c>
      <c r="G4811">
        <v>80</v>
      </c>
      <c r="H4811">
        <v>0</v>
      </c>
      <c r="I4811" t="s">
        <v>693</v>
      </c>
      <c r="J4811" t="s">
        <v>673</v>
      </c>
      <c r="K4811" t="s">
        <v>672</v>
      </c>
      <c r="O4811">
        <v>0</v>
      </c>
      <c r="T4811" s="62" t="s">
        <v>821</v>
      </c>
      <c r="U4811" t="s">
        <v>81</v>
      </c>
    </row>
    <row r="4812" spans="1:21" x14ac:dyDescent="0.25">
      <c r="A4812" s="33">
        <v>4838</v>
      </c>
      <c r="B4812" s="24">
        <v>44290</v>
      </c>
      <c r="C4812" t="s">
        <v>181</v>
      </c>
      <c r="D4812" t="s">
        <v>51</v>
      </c>
      <c r="E4812">
        <v>2000722791</v>
      </c>
      <c r="F4812">
        <v>550</v>
      </c>
      <c r="G4812">
        <v>105</v>
      </c>
      <c r="H4812">
        <v>0</v>
      </c>
      <c r="I4812" t="s">
        <v>693</v>
      </c>
      <c r="J4812" t="s">
        <v>667</v>
      </c>
      <c r="K4812" t="s">
        <v>671</v>
      </c>
      <c r="O4812">
        <v>0</v>
      </c>
      <c r="U4812" t="s">
        <v>81</v>
      </c>
    </row>
    <row r="4813" spans="1:21" x14ac:dyDescent="0.25">
      <c r="A4813" s="33">
        <v>4839</v>
      </c>
      <c r="B4813" s="24">
        <v>44290</v>
      </c>
      <c r="C4813" t="s">
        <v>181</v>
      </c>
      <c r="D4813" t="s">
        <v>51</v>
      </c>
      <c r="E4813">
        <v>2000722788</v>
      </c>
      <c r="F4813">
        <v>470</v>
      </c>
      <c r="G4813">
        <v>100</v>
      </c>
      <c r="H4813">
        <v>0</v>
      </c>
      <c r="I4813" t="s">
        <v>693</v>
      </c>
      <c r="J4813" t="s">
        <v>937</v>
      </c>
      <c r="K4813" t="s">
        <v>951</v>
      </c>
      <c r="O4813">
        <v>0</v>
      </c>
      <c r="U4813" t="s">
        <v>81</v>
      </c>
    </row>
    <row r="4814" spans="1:21" x14ac:dyDescent="0.25">
      <c r="A4814" s="33">
        <v>4840</v>
      </c>
      <c r="B4814" s="24">
        <v>44290</v>
      </c>
      <c r="C4814" t="s">
        <v>181</v>
      </c>
      <c r="D4814" t="s">
        <v>51</v>
      </c>
      <c r="E4814">
        <v>2000722291</v>
      </c>
      <c r="F4814">
        <v>1080</v>
      </c>
      <c r="G4814">
        <v>180</v>
      </c>
      <c r="H4814">
        <v>0</v>
      </c>
      <c r="I4814" t="s">
        <v>693</v>
      </c>
      <c r="J4814" t="s">
        <v>667</v>
      </c>
      <c r="K4814" t="s">
        <v>730</v>
      </c>
      <c r="O4814">
        <v>0</v>
      </c>
      <c r="U4814" t="s">
        <v>81</v>
      </c>
    </row>
    <row r="4815" spans="1:21" x14ac:dyDescent="0.25">
      <c r="A4815" s="33">
        <v>4841</v>
      </c>
      <c r="B4815" s="24">
        <v>44291</v>
      </c>
      <c r="C4815" t="s">
        <v>39</v>
      </c>
      <c r="D4815" t="s">
        <v>41</v>
      </c>
      <c r="E4815">
        <v>2000722657</v>
      </c>
      <c r="F4815">
        <v>800</v>
      </c>
      <c r="G4815">
        <v>160</v>
      </c>
      <c r="H4815">
        <v>0</v>
      </c>
      <c r="I4815" t="s">
        <v>642</v>
      </c>
      <c r="J4815" t="s">
        <v>172</v>
      </c>
      <c r="K4815" t="s">
        <v>173</v>
      </c>
      <c r="O4815">
        <v>0</v>
      </c>
      <c r="U4815" t="s">
        <v>81</v>
      </c>
    </row>
    <row r="4816" spans="1:21" x14ac:dyDescent="0.25">
      <c r="A4816" s="33">
        <v>4842</v>
      </c>
      <c r="B4816" s="24">
        <v>44291</v>
      </c>
      <c r="C4816" t="s">
        <v>39</v>
      </c>
      <c r="D4816" t="s">
        <v>41</v>
      </c>
      <c r="E4816">
        <v>2000723238</v>
      </c>
      <c r="F4816">
        <v>2000</v>
      </c>
      <c r="G4816">
        <v>130</v>
      </c>
      <c r="H4816">
        <v>0</v>
      </c>
      <c r="I4816" t="s">
        <v>642</v>
      </c>
      <c r="J4816" t="s">
        <v>172</v>
      </c>
      <c r="K4816" t="s">
        <v>692</v>
      </c>
      <c r="O4816">
        <v>0</v>
      </c>
      <c r="U4816" t="s">
        <v>81</v>
      </c>
    </row>
    <row r="4817" spans="1:21" x14ac:dyDescent="0.25">
      <c r="A4817" s="33">
        <v>4843</v>
      </c>
      <c r="B4817" s="24">
        <v>44291</v>
      </c>
      <c r="C4817" t="s">
        <v>39</v>
      </c>
      <c r="D4817" t="s">
        <v>41</v>
      </c>
      <c r="E4817">
        <v>2000722647</v>
      </c>
      <c r="F4817">
        <v>1800</v>
      </c>
      <c r="G4817">
        <v>100</v>
      </c>
      <c r="H4817">
        <v>0</v>
      </c>
      <c r="I4817" t="s">
        <v>642</v>
      </c>
      <c r="J4817" t="s">
        <v>193</v>
      </c>
      <c r="K4817" t="s">
        <v>647</v>
      </c>
      <c r="O4817">
        <v>0</v>
      </c>
      <c r="U4817" t="s">
        <v>81</v>
      </c>
    </row>
    <row r="4818" spans="1:21" x14ac:dyDescent="0.25">
      <c r="A4818" s="33">
        <v>4844</v>
      </c>
      <c r="B4818" s="24">
        <v>44291</v>
      </c>
      <c r="C4818" t="s">
        <v>39</v>
      </c>
      <c r="D4818" t="s">
        <v>41</v>
      </c>
      <c r="E4818">
        <v>2000723239</v>
      </c>
      <c r="F4818">
        <v>600</v>
      </c>
      <c r="G4818">
        <v>110</v>
      </c>
      <c r="H4818">
        <v>0</v>
      </c>
      <c r="I4818" t="s">
        <v>1065</v>
      </c>
      <c r="J4818" t="s">
        <v>174</v>
      </c>
      <c r="K4818" t="s">
        <v>662</v>
      </c>
      <c r="O4818">
        <v>0</v>
      </c>
      <c r="U4818" t="s">
        <v>81</v>
      </c>
    </row>
    <row r="4819" spans="1:21" x14ac:dyDescent="0.25">
      <c r="A4819" s="33">
        <v>4845</v>
      </c>
      <c r="B4819" s="24">
        <v>44291</v>
      </c>
      <c r="C4819" t="s">
        <v>39</v>
      </c>
      <c r="D4819" t="s">
        <v>41</v>
      </c>
      <c r="E4819">
        <v>2000723232</v>
      </c>
      <c r="F4819">
        <v>720</v>
      </c>
      <c r="G4819">
        <v>160</v>
      </c>
      <c r="H4819">
        <v>0</v>
      </c>
      <c r="I4819" t="s">
        <v>1065</v>
      </c>
      <c r="J4819" t="s">
        <v>174</v>
      </c>
      <c r="K4819" t="s">
        <v>662</v>
      </c>
      <c r="O4819">
        <v>0</v>
      </c>
      <c r="U4819" t="s">
        <v>81</v>
      </c>
    </row>
    <row r="4820" spans="1:21" x14ac:dyDescent="0.25">
      <c r="A4820" s="33">
        <v>4846</v>
      </c>
      <c r="B4820" s="24">
        <v>44291</v>
      </c>
      <c r="C4820" t="s">
        <v>39</v>
      </c>
      <c r="D4820" t="s">
        <v>51</v>
      </c>
      <c r="E4820">
        <v>2000722803</v>
      </c>
      <c r="F4820">
        <v>300</v>
      </c>
      <c r="G4820">
        <v>120</v>
      </c>
      <c r="H4820">
        <v>0</v>
      </c>
      <c r="I4820" t="s">
        <v>168</v>
      </c>
      <c r="J4820" t="s">
        <v>667</v>
      </c>
      <c r="K4820" t="s">
        <v>668</v>
      </c>
      <c r="O4820">
        <v>0</v>
      </c>
      <c r="U4820" t="s">
        <v>81</v>
      </c>
    </row>
    <row r="4821" spans="1:21" x14ac:dyDescent="0.25">
      <c r="A4821" s="33">
        <v>4847</v>
      </c>
      <c r="B4821" s="24">
        <v>44291</v>
      </c>
      <c r="C4821" t="s">
        <v>39</v>
      </c>
      <c r="D4821" t="s">
        <v>51</v>
      </c>
      <c r="E4821">
        <v>2000722318</v>
      </c>
      <c r="F4821">
        <v>1000</v>
      </c>
      <c r="G4821">
        <v>120</v>
      </c>
      <c r="H4821">
        <v>0</v>
      </c>
      <c r="I4821" t="s">
        <v>168</v>
      </c>
      <c r="J4821" t="s">
        <v>673</v>
      </c>
      <c r="K4821" t="s">
        <v>672</v>
      </c>
      <c r="O4821">
        <v>0</v>
      </c>
      <c r="U4821" t="s">
        <v>81</v>
      </c>
    </row>
    <row r="4822" spans="1:21" x14ac:dyDescent="0.25">
      <c r="A4822" s="33">
        <v>4848</v>
      </c>
      <c r="B4822" s="24">
        <v>44291</v>
      </c>
      <c r="C4822" t="s">
        <v>39</v>
      </c>
      <c r="D4822" t="s">
        <v>51</v>
      </c>
      <c r="E4822">
        <v>2000722797</v>
      </c>
      <c r="F4822">
        <v>690</v>
      </c>
      <c r="G4822">
        <v>290</v>
      </c>
      <c r="H4822">
        <v>0</v>
      </c>
      <c r="I4822" t="s">
        <v>168</v>
      </c>
      <c r="J4822" t="s">
        <v>669</v>
      </c>
      <c r="K4822" t="s">
        <v>707</v>
      </c>
      <c r="O4822">
        <v>0</v>
      </c>
      <c r="U4822" t="s">
        <v>81</v>
      </c>
    </row>
    <row r="4823" spans="1:21" x14ac:dyDescent="0.25">
      <c r="A4823" s="33">
        <v>4849</v>
      </c>
      <c r="B4823" s="24">
        <v>44291</v>
      </c>
      <c r="C4823" t="s">
        <v>39</v>
      </c>
      <c r="D4823" t="s">
        <v>51</v>
      </c>
      <c r="E4823">
        <v>2000722817</v>
      </c>
      <c r="F4823">
        <v>1440</v>
      </c>
      <c r="G4823">
        <v>150</v>
      </c>
      <c r="H4823">
        <v>0</v>
      </c>
      <c r="I4823" t="s">
        <v>168</v>
      </c>
      <c r="J4823" t="s">
        <v>667</v>
      </c>
      <c r="K4823" t="s">
        <v>730</v>
      </c>
      <c r="O4823">
        <v>0</v>
      </c>
      <c r="U4823" t="s">
        <v>81</v>
      </c>
    </row>
    <row r="4824" spans="1:21" x14ac:dyDescent="0.25">
      <c r="A4824" s="33">
        <v>4850</v>
      </c>
      <c r="B4824" s="24">
        <v>44291</v>
      </c>
      <c r="C4824" t="s">
        <v>39</v>
      </c>
      <c r="D4824" t="s">
        <v>51</v>
      </c>
      <c r="E4824">
        <v>2000722813</v>
      </c>
      <c r="F4824">
        <v>550</v>
      </c>
      <c r="G4824">
        <v>70</v>
      </c>
      <c r="H4824">
        <v>0</v>
      </c>
      <c r="I4824" t="s">
        <v>168</v>
      </c>
      <c r="J4824" t="s">
        <v>667</v>
      </c>
      <c r="K4824" t="s">
        <v>671</v>
      </c>
      <c r="O4824">
        <v>0</v>
      </c>
      <c r="U4824" t="s">
        <v>81</v>
      </c>
    </row>
    <row r="4825" spans="1:21" x14ac:dyDescent="0.25">
      <c r="A4825" s="33">
        <v>4851</v>
      </c>
      <c r="B4825" s="24">
        <v>44291</v>
      </c>
      <c r="C4825" t="s">
        <v>39</v>
      </c>
      <c r="D4825" t="s">
        <v>41</v>
      </c>
      <c r="E4825">
        <v>2000723239</v>
      </c>
      <c r="F4825">
        <v>600</v>
      </c>
      <c r="G4825">
        <v>80</v>
      </c>
      <c r="H4825">
        <v>0</v>
      </c>
      <c r="I4825" t="s">
        <v>178</v>
      </c>
      <c r="J4825" t="s">
        <v>174</v>
      </c>
      <c r="K4825" t="s">
        <v>662</v>
      </c>
      <c r="O4825">
        <v>0</v>
      </c>
      <c r="U4825" t="s">
        <v>81</v>
      </c>
    </row>
    <row r="4826" spans="1:21" x14ac:dyDescent="0.25">
      <c r="A4826" s="33">
        <v>4852</v>
      </c>
      <c r="B4826" s="24">
        <v>44291</v>
      </c>
      <c r="C4826" t="s">
        <v>39</v>
      </c>
      <c r="D4826" t="s">
        <v>41</v>
      </c>
      <c r="E4826">
        <v>2000721982</v>
      </c>
      <c r="F4826">
        <v>1270</v>
      </c>
      <c r="G4826">
        <v>321</v>
      </c>
      <c r="H4826">
        <v>0</v>
      </c>
      <c r="I4826" t="s">
        <v>178</v>
      </c>
      <c r="J4826" t="s">
        <v>174</v>
      </c>
      <c r="K4826" t="s">
        <v>177</v>
      </c>
      <c r="O4826">
        <v>0</v>
      </c>
      <c r="U4826" t="s">
        <v>81</v>
      </c>
    </row>
    <row r="4827" spans="1:21" x14ac:dyDescent="0.25">
      <c r="A4827" s="33">
        <v>4853</v>
      </c>
      <c r="B4827" s="24">
        <v>44291</v>
      </c>
      <c r="C4827" t="s">
        <v>39</v>
      </c>
      <c r="D4827" t="s">
        <v>41</v>
      </c>
      <c r="E4827">
        <v>2000723471</v>
      </c>
      <c r="F4827">
        <v>1304</v>
      </c>
      <c r="G4827">
        <v>400</v>
      </c>
      <c r="H4827">
        <v>0</v>
      </c>
      <c r="I4827" t="s">
        <v>178</v>
      </c>
      <c r="J4827" t="s">
        <v>174</v>
      </c>
      <c r="K4827" t="s">
        <v>763</v>
      </c>
      <c r="O4827">
        <v>0</v>
      </c>
      <c r="U4827" t="s">
        <v>81</v>
      </c>
    </row>
    <row r="4828" spans="1:21" x14ac:dyDescent="0.25">
      <c r="A4828" s="33">
        <v>4854</v>
      </c>
      <c r="B4828" s="24">
        <v>44291</v>
      </c>
      <c r="C4828" t="s">
        <v>39</v>
      </c>
      <c r="D4828" t="s">
        <v>41</v>
      </c>
      <c r="E4828">
        <v>2000722686</v>
      </c>
      <c r="F4828">
        <v>600</v>
      </c>
      <c r="G4828">
        <v>60</v>
      </c>
      <c r="H4828">
        <v>0</v>
      </c>
      <c r="I4828" t="s">
        <v>178</v>
      </c>
      <c r="J4828" t="s">
        <v>169</v>
      </c>
      <c r="K4828" t="s">
        <v>179</v>
      </c>
      <c r="O4828">
        <v>0</v>
      </c>
      <c r="U4828" t="s">
        <v>81</v>
      </c>
    </row>
    <row r="4829" spans="1:21" x14ac:dyDescent="0.25">
      <c r="A4829" s="33">
        <v>4855</v>
      </c>
      <c r="B4829" s="24">
        <v>44291</v>
      </c>
      <c r="C4829" t="s">
        <v>39</v>
      </c>
      <c r="D4829" t="s">
        <v>41</v>
      </c>
      <c r="E4829">
        <v>2000721982</v>
      </c>
      <c r="F4829">
        <v>1270</v>
      </c>
      <c r="G4829">
        <v>40</v>
      </c>
      <c r="H4829">
        <v>0</v>
      </c>
      <c r="I4829" t="s">
        <v>168</v>
      </c>
      <c r="J4829" t="s">
        <v>174</v>
      </c>
      <c r="K4829" t="s">
        <v>177</v>
      </c>
      <c r="O4829">
        <v>0</v>
      </c>
      <c r="U4829" t="s">
        <v>81</v>
      </c>
    </row>
    <row r="4830" spans="1:21" x14ac:dyDescent="0.25">
      <c r="A4830" s="33">
        <v>4856</v>
      </c>
      <c r="B4830" s="24">
        <v>44291</v>
      </c>
      <c r="C4830" t="s">
        <v>39</v>
      </c>
      <c r="D4830" t="s">
        <v>41</v>
      </c>
      <c r="E4830">
        <v>2000723289</v>
      </c>
      <c r="F4830">
        <v>7860</v>
      </c>
      <c r="G4830">
        <v>300</v>
      </c>
      <c r="H4830">
        <v>0</v>
      </c>
      <c r="I4830" t="s">
        <v>201</v>
      </c>
      <c r="J4830" t="s">
        <v>200</v>
      </c>
      <c r="K4830" t="s">
        <v>737</v>
      </c>
      <c r="O4830">
        <v>0</v>
      </c>
      <c r="U4830" t="s">
        <v>81</v>
      </c>
    </row>
    <row r="4831" spans="1:21" x14ac:dyDescent="0.25">
      <c r="A4831" s="33">
        <v>4857</v>
      </c>
      <c r="B4831" s="24">
        <v>44291</v>
      </c>
      <c r="C4831" t="s">
        <v>39</v>
      </c>
      <c r="D4831" t="s">
        <v>41</v>
      </c>
      <c r="E4831">
        <v>2000723709</v>
      </c>
      <c r="F4831">
        <v>400</v>
      </c>
      <c r="G4831">
        <v>150</v>
      </c>
      <c r="H4831">
        <v>0</v>
      </c>
      <c r="I4831" t="s">
        <v>201</v>
      </c>
      <c r="J4831" t="s">
        <v>195</v>
      </c>
      <c r="K4831" t="s">
        <v>819</v>
      </c>
      <c r="O4831">
        <v>0</v>
      </c>
      <c r="U4831" t="s">
        <v>81</v>
      </c>
    </row>
    <row r="4832" spans="1:21" x14ac:dyDescent="0.25">
      <c r="A4832" s="33">
        <v>4858</v>
      </c>
      <c r="B4832" s="24">
        <v>44291</v>
      </c>
      <c r="C4832" t="s">
        <v>39</v>
      </c>
      <c r="D4832" t="s">
        <v>41</v>
      </c>
      <c r="E4832">
        <v>2000723707</v>
      </c>
      <c r="F4832">
        <v>400</v>
      </c>
      <c r="G4832">
        <v>100</v>
      </c>
      <c r="H4832">
        <v>0</v>
      </c>
      <c r="I4832" t="s">
        <v>201</v>
      </c>
      <c r="J4832" t="s">
        <v>195</v>
      </c>
      <c r="K4832" t="s">
        <v>820</v>
      </c>
      <c r="O4832">
        <v>0</v>
      </c>
      <c r="U4832" t="s">
        <v>81</v>
      </c>
    </row>
    <row r="4833" spans="1:21" x14ac:dyDescent="0.25">
      <c r="A4833" s="33">
        <v>4859</v>
      </c>
      <c r="B4833" s="24">
        <v>44291</v>
      </c>
      <c r="C4833" t="s">
        <v>39</v>
      </c>
      <c r="D4833" t="s">
        <v>41</v>
      </c>
      <c r="E4833">
        <v>2000723708</v>
      </c>
      <c r="F4833">
        <v>400</v>
      </c>
      <c r="G4833">
        <v>150</v>
      </c>
      <c r="H4833">
        <v>0</v>
      </c>
      <c r="I4833" t="s">
        <v>201</v>
      </c>
      <c r="J4833" t="s">
        <v>195</v>
      </c>
      <c r="K4833" t="s">
        <v>818</v>
      </c>
      <c r="O4833">
        <v>0</v>
      </c>
      <c r="U4833" t="s">
        <v>81</v>
      </c>
    </row>
    <row r="4834" spans="1:21" x14ac:dyDescent="0.25">
      <c r="A4834" s="33">
        <v>4860</v>
      </c>
      <c r="B4834" s="24">
        <v>44291</v>
      </c>
      <c r="C4834" t="s">
        <v>39</v>
      </c>
      <c r="D4834" t="s">
        <v>41</v>
      </c>
      <c r="E4834">
        <v>2000723296</v>
      </c>
      <c r="F4834">
        <v>1200</v>
      </c>
      <c r="G4834">
        <v>150</v>
      </c>
      <c r="H4834">
        <v>0</v>
      </c>
      <c r="I4834" t="s">
        <v>201</v>
      </c>
      <c r="J4834" t="s">
        <v>645</v>
      </c>
      <c r="K4834" t="s">
        <v>739</v>
      </c>
      <c r="O4834">
        <v>0</v>
      </c>
      <c r="U4834" t="s">
        <v>81</v>
      </c>
    </row>
    <row r="4835" spans="1:21" x14ac:dyDescent="0.25">
      <c r="A4835" s="33">
        <v>4861</v>
      </c>
      <c r="B4835" s="24">
        <v>44291</v>
      </c>
      <c r="C4835" t="s">
        <v>39</v>
      </c>
      <c r="D4835" t="s">
        <v>41</v>
      </c>
      <c r="E4835">
        <v>2000723475</v>
      </c>
      <c r="F4835">
        <v>1050</v>
      </c>
      <c r="G4835">
        <v>150</v>
      </c>
      <c r="H4835">
        <v>0</v>
      </c>
      <c r="I4835" t="s">
        <v>201</v>
      </c>
      <c r="J4835" t="s">
        <v>169</v>
      </c>
      <c r="K4835" t="s">
        <v>847</v>
      </c>
      <c r="O4835">
        <v>0</v>
      </c>
      <c r="U4835" t="s">
        <v>81</v>
      </c>
    </row>
    <row r="4836" spans="1:21" x14ac:dyDescent="0.25">
      <c r="A4836" s="33">
        <v>4862</v>
      </c>
      <c r="B4836" s="24">
        <v>44291</v>
      </c>
      <c r="C4836" t="s">
        <v>39</v>
      </c>
      <c r="D4836" t="s">
        <v>41</v>
      </c>
      <c r="E4836">
        <v>2000722202</v>
      </c>
      <c r="F4836">
        <v>2800</v>
      </c>
      <c r="G4836">
        <v>200</v>
      </c>
      <c r="H4836">
        <v>0</v>
      </c>
      <c r="I4836" t="s">
        <v>201</v>
      </c>
      <c r="J4836" t="s">
        <v>645</v>
      </c>
      <c r="K4836" t="s">
        <v>756</v>
      </c>
      <c r="O4836">
        <v>0</v>
      </c>
      <c r="U4836" t="s">
        <v>81</v>
      </c>
    </row>
    <row r="4837" spans="1:21" x14ac:dyDescent="0.25">
      <c r="A4837" s="33">
        <v>4863</v>
      </c>
      <c r="B4837" s="24">
        <v>44291</v>
      </c>
      <c r="C4837" t="s">
        <v>39</v>
      </c>
      <c r="D4837" t="s">
        <v>41</v>
      </c>
      <c r="E4837">
        <v>2000722656</v>
      </c>
      <c r="F4837">
        <v>1800</v>
      </c>
      <c r="G4837">
        <v>300</v>
      </c>
      <c r="H4837">
        <v>0</v>
      </c>
      <c r="I4837" t="s">
        <v>201</v>
      </c>
      <c r="J4837" t="s">
        <v>172</v>
      </c>
      <c r="K4837" t="s">
        <v>725</v>
      </c>
      <c r="O4837">
        <v>0</v>
      </c>
      <c r="U4837" t="s">
        <v>81</v>
      </c>
    </row>
    <row r="4838" spans="1:21" x14ac:dyDescent="0.25">
      <c r="A4838" s="33">
        <v>4864</v>
      </c>
      <c r="B4838" s="24">
        <v>44291</v>
      </c>
      <c r="C4838" t="s">
        <v>39</v>
      </c>
      <c r="D4838" t="s">
        <v>41</v>
      </c>
      <c r="E4838">
        <v>2000722083</v>
      </c>
      <c r="F4838">
        <v>2000</v>
      </c>
      <c r="G4838">
        <v>150</v>
      </c>
      <c r="H4838">
        <v>0</v>
      </c>
      <c r="I4838" t="s">
        <v>201</v>
      </c>
      <c r="J4838" t="s">
        <v>193</v>
      </c>
      <c r="K4838" t="s">
        <v>683</v>
      </c>
      <c r="O4838">
        <v>0</v>
      </c>
      <c r="U4838" t="s">
        <v>81</v>
      </c>
    </row>
    <row r="4839" spans="1:21" x14ac:dyDescent="0.25">
      <c r="A4839" s="33">
        <v>4865</v>
      </c>
      <c r="B4839" s="24">
        <v>44291</v>
      </c>
      <c r="C4839" t="s">
        <v>39</v>
      </c>
      <c r="D4839" t="s">
        <v>41</v>
      </c>
      <c r="E4839">
        <v>2000722262</v>
      </c>
      <c r="F4839">
        <v>4200</v>
      </c>
      <c r="G4839">
        <v>240</v>
      </c>
      <c r="H4839">
        <v>0</v>
      </c>
      <c r="I4839" t="s">
        <v>201</v>
      </c>
      <c r="J4839" t="s">
        <v>199</v>
      </c>
      <c r="K4839" t="s">
        <v>660</v>
      </c>
      <c r="O4839">
        <v>0</v>
      </c>
      <c r="U4839" t="s">
        <v>81</v>
      </c>
    </row>
    <row r="4840" spans="1:21" x14ac:dyDescent="0.25">
      <c r="A4840" s="33">
        <v>4866</v>
      </c>
      <c r="B4840" s="24">
        <v>44291</v>
      </c>
      <c r="C4840" t="s">
        <v>39</v>
      </c>
      <c r="D4840" t="s">
        <v>41</v>
      </c>
      <c r="E4840">
        <v>2000722204</v>
      </c>
      <c r="F4840">
        <v>2800</v>
      </c>
      <c r="G4840">
        <v>150</v>
      </c>
      <c r="H4840">
        <v>0</v>
      </c>
      <c r="I4840" t="s">
        <v>201</v>
      </c>
      <c r="J4840" t="s">
        <v>645</v>
      </c>
      <c r="K4840" t="s">
        <v>658</v>
      </c>
      <c r="O4840">
        <v>0</v>
      </c>
      <c r="U4840" t="s">
        <v>81</v>
      </c>
    </row>
    <row r="4841" spans="1:21" x14ac:dyDescent="0.25">
      <c r="A4841" s="33">
        <v>4867</v>
      </c>
      <c r="B4841" s="24">
        <v>44291</v>
      </c>
      <c r="C4841" t="s">
        <v>39</v>
      </c>
      <c r="D4841" t="s">
        <v>41</v>
      </c>
      <c r="E4841">
        <v>2000722645</v>
      </c>
      <c r="F4841">
        <v>1800</v>
      </c>
      <c r="G4841">
        <v>160</v>
      </c>
      <c r="H4841">
        <v>0</v>
      </c>
      <c r="I4841" t="s">
        <v>201</v>
      </c>
      <c r="J4841" t="s">
        <v>193</v>
      </c>
      <c r="K4841" t="s">
        <v>650</v>
      </c>
      <c r="O4841">
        <v>0</v>
      </c>
      <c r="U4841" t="s">
        <v>81</v>
      </c>
    </row>
    <row r="4842" spans="1:21" x14ac:dyDescent="0.25">
      <c r="A4842" s="33">
        <v>4868</v>
      </c>
      <c r="B4842" s="24">
        <v>44291</v>
      </c>
      <c r="C4842" t="s">
        <v>39</v>
      </c>
      <c r="D4842" t="s">
        <v>41</v>
      </c>
      <c r="E4842">
        <v>2000722522</v>
      </c>
      <c r="F4842">
        <v>150</v>
      </c>
      <c r="G4842">
        <v>120</v>
      </c>
      <c r="H4842">
        <v>0</v>
      </c>
      <c r="I4842" t="s">
        <v>661</v>
      </c>
      <c r="J4842" t="s">
        <v>169</v>
      </c>
      <c r="K4842" t="s">
        <v>1179</v>
      </c>
      <c r="O4842">
        <v>0</v>
      </c>
      <c r="U4842" t="s">
        <v>81</v>
      </c>
    </row>
    <row r="4843" spans="1:21" x14ac:dyDescent="0.25">
      <c r="A4843" s="33">
        <v>4869</v>
      </c>
      <c r="B4843" s="24">
        <v>44291</v>
      </c>
      <c r="C4843" t="s">
        <v>39</v>
      </c>
      <c r="D4843" t="s">
        <v>41</v>
      </c>
      <c r="E4843">
        <v>2000723290</v>
      </c>
      <c r="F4843">
        <v>1800</v>
      </c>
      <c r="G4843">
        <v>140</v>
      </c>
      <c r="H4843">
        <v>0</v>
      </c>
      <c r="I4843" t="s">
        <v>661</v>
      </c>
      <c r="J4843" t="s">
        <v>169</v>
      </c>
      <c r="K4843" t="s">
        <v>190</v>
      </c>
      <c r="O4843">
        <v>0</v>
      </c>
      <c r="U4843" t="s">
        <v>81</v>
      </c>
    </row>
    <row r="4844" spans="1:21" x14ac:dyDescent="0.25">
      <c r="A4844" s="33">
        <v>4870</v>
      </c>
      <c r="B4844" s="24">
        <v>44291</v>
      </c>
      <c r="C4844" t="s">
        <v>39</v>
      </c>
      <c r="D4844" t="s">
        <v>41</v>
      </c>
      <c r="E4844">
        <v>2000722523</v>
      </c>
      <c r="F4844">
        <v>460</v>
      </c>
      <c r="G4844">
        <v>100</v>
      </c>
      <c r="H4844">
        <v>0</v>
      </c>
      <c r="I4844" t="s">
        <v>661</v>
      </c>
      <c r="J4844" t="s">
        <v>169</v>
      </c>
      <c r="K4844" t="s">
        <v>892</v>
      </c>
      <c r="O4844">
        <v>0</v>
      </c>
      <c r="U4844" t="s">
        <v>81</v>
      </c>
    </row>
    <row r="4845" spans="1:21" x14ac:dyDescent="0.25">
      <c r="A4845" s="33">
        <v>4871</v>
      </c>
      <c r="B4845" s="24">
        <v>44291</v>
      </c>
      <c r="C4845" t="s">
        <v>39</v>
      </c>
      <c r="D4845" t="s">
        <v>41</v>
      </c>
      <c r="E4845">
        <v>2000723232</v>
      </c>
      <c r="F4845">
        <v>720</v>
      </c>
      <c r="G4845">
        <v>320</v>
      </c>
      <c r="H4845">
        <v>1</v>
      </c>
      <c r="I4845" t="s">
        <v>191</v>
      </c>
      <c r="J4845" t="s">
        <v>174</v>
      </c>
      <c r="K4845" t="s">
        <v>662</v>
      </c>
      <c r="L4845" t="s">
        <v>121</v>
      </c>
      <c r="M4845" t="s">
        <v>1180</v>
      </c>
      <c r="N4845" t="s">
        <v>1181</v>
      </c>
      <c r="O4845">
        <v>1</v>
      </c>
      <c r="P4845" t="s">
        <v>1182</v>
      </c>
      <c r="Q4845" t="s">
        <v>1183</v>
      </c>
      <c r="R4845" t="s">
        <v>1184</v>
      </c>
      <c r="S4845" s="36">
        <v>0.66666666666666663</v>
      </c>
      <c r="U4845" t="s">
        <v>81</v>
      </c>
    </row>
    <row r="4846" spans="1:21" x14ac:dyDescent="0.25">
      <c r="A4846" s="33">
        <v>4872</v>
      </c>
      <c r="B4846" s="24">
        <v>44291</v>
      </c>
      <c r="C4846" t="s">
        <v>39</v>
      </c>
      <c r="D4846" t="s">
        <v>41</v>
      </c>
      <c r="E4846">
        <v>2000723239</v>
      </c>
      <c r="F4846">
        <v>600</v>
      </c>
      <c r="G4846">
        <v>160</v>
      </c>
      <c r="H4846">
        <v>0</v>
      </c>
      <c r="I4846" t="s">
        <v>191</v>
      </c>
      <c r="J4846" t="s">
        <v>174</v>
      </c>
      <c r="K4846" t="s">
        <v>662</v>
      </c>
      <c r="O4846">
        <v>0</v>
      </c>
      <c r="U4846" t="s">
        <v>81</v>
      </c>
    </row>
    <row r="4847" spans="1:21" x14ac:dyDescent="0.25">
      <c r="A4847" s="33">
        <v>4873</v>
      </c>
      <c r="B4847" s="24">
        <v>44291</v>
      </c>
      <c r="C4847" t="s">
        <v>39</v>
      </c>
      <c r="D4847" t="s">
        <v>41</v>
      </c>
      <c r="E4847">
        <v>2000721982</v>
      </c>
      <c r="F4847">
        <v>1270</v>
      </c>
      <c r="G4847">
        <v>440</v>
      </c>
      <c r="H4847">
        <v>0</v>
      </c>
      <c r="I4847" t="s">
        <v>191</v>
      </c>
      <c r="J4847" t="s">
        <v>174</v>
      </c>
      <c r="K4847" t="s">
        <v>177</v>
      </c>
      <c r="O4847">
        <v>0</v>
      </c>
      <c r="U4847" t="s">
        <v>81</v>
      </c>
    </row>
    <row r="4848" spans="1:21" x14ac:dyDescent="0.25">
      <c r="A4848" s="33">
        <v>4874</v>
      </c>
      <c r="B4848" s="24">
        <v>44291</v>
      </c>
      <c r="C4848" t="s">
        <v>39</v>
      </c>
      <c r="D4848" t="s">
        <v>41</v>
      </c>
      <c r="E4848">
        <v>2000722439</v>
      </c>
      <c r="F4848">
        <v>3200</v>
      </c>
      <c r="G4848">
        <v>160</v>
      </c>
      <c r="H4848">
        <v>0</v>
      </c>
      <c r="I4848" t="s">
        <v>666</v>
      </c>
      <c r="J4848" t="s">
        <v>200</v>
      </c>
      <c r="K4848" t="s">
        <v>653</v>
      </c>
      <c r="O4848">
        <v>0</v>
      </c>
      <c r="U4848" t="s">
        <v>81</v>
      </c>
    </row>
    <row r="4849" spans="1:21" x14ac:dyDescent="0.25">
      <c r="A4849" s="33">
        <v>4875</v>
      </c>
      <c r="B4849" s="24">
        <v>44291</v>
      </c>
      <c r="C4849" t="s">
        <v>39</v>
      </c>
      <c r="D4849" t="s">
        <v>41</v>
      </c>
      <c r="E4849">
        <v>2000723294</v>
      </c>
      <c r="F4849">
        <v>800</v>
      </c>
      <c r="G4849">
        <v>80</v>
      </c>
      <c r="H4849">
        <v>0</v>
      </c>
      <c r="I4849" t="s">
        <v>666</v>
      </c>
      <c r="J4849" t="s">
        <v>645</v>
      </c>
      <c r="K4849" t="s">
        <v>790</v>
      </c>
      <c r="O4849">
        <v>0</v>
      </c>
      <c r="U4849" t="s">
        <v>81</v>
      </c>
    </row>
    <row r="4850" spans="1:21" x14ac:dyDescent="0.25">
      <c r="A4850" s="33">
        <v>4876</v>
      </c>
      <c r="B4850" s="24">
        <v>44291</v>
      </c>
      <c r="C4850" t="s">
        <v>39</v>
      </c>
      <c r="D4850" t="s">
        <v>41</v>
      </c>
      <c r="E4850">
        <v>2000723300</v>
      </c>
      <c r="F4850">
        <v>1200</v>
      </c>
      <c r="G4850">
        <v>80</v>
      </c>
      <c r="H4850">
        <v>0</v>
      </c>
      <c r="I4850" t="s">
        <v>666</v>
      </c>
      <c r="J4850" t="s">
        <v>645</v>
      </c>
      <c r="K4850" t="s">
        <v>721</v>
      </c>
      <c r="O4850">
        <v>0</v>
      </c>
      <c r="U4850" t="s">
        <v>81</v>
      </c>
    </row>
    <row r="4851" spans="1:21" ht="30" x14ac:dyDescent="0.25">
      <c r="A4851" s="33">
        <v>4877</v>
      </c>
      <c r="B4851" s="24">
        <v>44291</v>
      </c>
      <c r="C4851" t="s">
        <v>39</v>
      </c>
      <c r="D4851" t="s">
        <v>41</v>
      </c>
      <c r="E4851">
        <v>2000723281</v>
      </c>
      <c r="F4851">
        <v>1200</v>
      </c>
      <c r="G4851">
        <v>80</v>
      </c>
      <c r="H4851">
        <v>0</v>
      </c>
      <c r="I4851" t="s">
        <v>666</v>
      </c>
      <c r="J4851" t="s">
        <v>687</v>
      </c>
      <c r="K4851" t="s">
        <v>757</v>
      </c>
      <c r="O4851">
        <v>0</v>
      </c>
      <c r="T4851" s="62" t="s">
        <v>723</v>
      </c>
      <c r="U4851" t="s">
        <v>81</v>
      </c>
    </row>
    <row r="4852" spans="1:21" x14ac:dyDescent="0.25">
      <c r="A4852" s="33">
        <v>4878</v>
      </c>
      <c r="B4852" s="24">
        <v>44291</v>
      </c>
      <c r="C4852" t="s">
        <v>39</v>
      </c>
      <c r="D4852" t="s">
        <v>41</v>
      </c>
      <c r="E4852">
        <v>2000723314</v>
      </c>
      <c r="F4852">
        <v>2688</v>
      </c>
      <c r="G4852">
        <v>120</v>
      </c>
      <c r="H4852">
        <v>0</v>
      </c>
      <c r="I4852" t="s">
        <v>666</v>
      </c>
      <c r="J4852" t="s">
        <v>655</v>
      </c>
      <c r="K4852" t="s">
        <v>656</v>
      </c>
      <c r="O4852">
        <v>0</v>
      </c>
      <c r="U4852" t="s">
        <v>81</v>
      </c>
    </row>
    <row r="4853" spans="1:21" x14ac:dyDescent="0.25">
      <c r="A4853" s="33">
        <v>4879</v>
      </c>
      <c r="B4853" s="24">
        <v>44291</v>
      </c>
      <c r="C4853" t="s">
        <v>39</v>
      </c>
      <c r="D4853" t="s">
        <v>41</v>
      </c>
      <c r="E4853">
        <v>2000721968</v>
      </c>
      <c r="F4853">
        <v>3999</v>
      </c>
      <c r="G4853">
        <v>120</v>
      </c>
      <c r="H4853">
        <v>0</v>
      </c>
      <c r="I4853" t="s">
        <v>666</v>
      </c>
      <c r="J4853" t="s">
        <v>687</v>
      </c>
      <c r="K4853" t="s">
        <v>688</v>
      </c>
      <c r="O4853">
        <v>0</v>
      </c>
      <c r="U4853" t="s">
        <v>81</v>
      </c>
    </row>
    <row r="4854" spans="1:21" x14ac:dyDescent="0.25">
      <c r="A4854" s="33">
        <v>4880</v>
      </c>
      <c r="B4854" s="24">
        <v>44291</v>
      </c>
      <c r="C4854" t="s">
        <v>39</v>
      </c>
      <c r="D4854" t="s">
        <v>41</v>
      </c>
      <c r="E4854">
        <v>2000723293</v>
      </c>
      <c r="F4854">
        <v>400</v>
      </c>
      <c r="G4854">
        <v>80</v>
      </c>
      <c r="H4854">
        <v>0</v>
      </c>
      <c r="I4854" t="s">
        <v>666</v>
      </c>
      <c r="J4854" t="s">
        <v>645</v>
      </c>
      <c r="K4854" t="s">
        <v>649</v>
      </c>
      <c r="O4854">
        <v>0</v>
      </c>
      <c r="U4854" t="s">
        <v>81</v>
      </c>
    </row>
    <row r="4855" spans="1:21" x14ac:dyDescent="0.25">
      <c r="A4855" s="33">
        <v>4881</v>
      </c>
      <c r="B4855" s="24">
        <v>44291</v>
      </c>
      <c r="C4855" t="s">
        <v>39</v>
      </c>
      <c r="D4855" t="s">
        <v>41</v>
      </c>
      <c r="E4855">
        <v>2000723306</v>
      </c>
      <c r="F4855">
        <v>2800</v>
      </c>
      <c r="G4855">
        <v>60</v>
      </c>
      <c r="H4855">
        <v>0</v>
      </c>
      <c r="I4855" t="s">
        <v>666</v>
      </c>
      <c r="J4855" t="s">
        <v>645</v>
      </c>
      <c r="K4855" t="s">
        <v>721</v>
      </c>
      <c r="O4855">
        <v>0</v>
      </c>
      <c r="U4855" t="s">
        <v>81</v>
      </c>
    </row>
    <row r="4856" spans="1:21" x14ac:dyDescent="0.25">
      <c r="A4856" s="33">
        <v>4882</v>
      </c>
      <c r="B4856" s="24">
        <v>44291</v>
      </c>
      <c r="C4856" t="s">
        <v>181</v>
      </c>
      <c r="D4856" t="s">
        <v>51</v>
      </c>
      <c r="E4856">
        <v>2000722814</v>
      </c>
      <c r="F4856">
        <v>550</v>
      </c>
      <c r="G4856">
        <v>105</v>
      </c>
      <c r="H4856">
        <v>0</v>
      </c>
      <c r="I4856" t="s">
        <v>693</v>
      </c>
      <c r="J4856" t="s">
        <v>667</v>
      </c>
      <c r="K4856" t="s">
        <v>671</v>
      </c>
      <c r="O4856">
        <v>0</v>
      </c>
      <c r="U4856" t="s">
        <v>81</v>
      </c>
    </row>
    <row r="4857" spans="1:21" x14ac:dyDescent="0.25">
      <c r="A4857" s="33">
        <v>4883</v>
      </c>
      <c r="B4857" s="24">
        <v>44291</v>
      </c>
      <c r="C4857" t="s">
        <v>181</v>
      </c>
      <c r="D4857" t="s">
        <v>51</v>
      </c>
      <c r="E4857">
        <v>2000722813</v>
      </c>
      <c r="F4857">
        <v>550</v>
      </c>
      <c r="G4857">
        <v>70</v>
      </c>
      <c r="H4857">
        <v>0</v>
      </c>
      <c r="I4857" t="s">
        <v>693</v>
      </c>
      <c r="J4857" t="s">
        <v>667</v>
      </c>
      <c r="K4857" t="s">
        <v>671</v>
      </c>
      <c r="O4857">
        <v>0</v>
      </c>
      <c r="U4857" t="s">
        <v>81</v>
      </c>
    </row>
    <row r="4858" spans="1:21" x14ac:dyDescent="0.25">
      <c r="A4858" s="33">
        <v>4884</v>
      </c>
      <c r="B4858" s="24">
        <v>44291</v>
      </c>
      <c r="C4858" t="s">
        <v>181</v>
      </c>
      <c r="D4858" t="s">
        <v>51</v>
      </c>
      <c r="E4858">
        <v>2000722829</v>
      </c>
      <c r="F4858">
        <v>600</v>
      </c>
      <c r="G4858">
        <v>100</v>
      </c>
      <c r="H4858">
        <v>0</v>
      </c>
      <c r="I4858" t="s">
        <v>693</v>
      </c>
      <c r="J4858" t="s">
        <v>669</v>
      </c>
      <c r="K4858" t="s">
        <v>712</v>
      </c>
      <c r="O4858">
        <v>0</v>
      </c>
      <c r="U4858" t="s">
        <v>81</v>
      </c>
    </row>
    <row r="4859" spans="1:21" x14ac:dyDescent="0.25">
      <c r="A4859" s="33">
        <v>4885</v>
      </c>
      <c r="B4859" s="24">
        <v>44291</v>
      </c>
      <c r="C4859" t="s">
        <v>181</v>
      </c>
      <c r="D4859" t="s">
        <v>51</v>
      </c>
      <c r="E4859">
        <v>2000722826</v>
      </c>
      <c r="F4859">
        <v>440</v>
      </c>
      <c r="G4859">
        <v>100</v>
      </c>
      <c r="H4859">
        <v>0</v>
      </c>
      <c r="I4859" t="s">
        <v>693</v>
      </c>
      <c r="J4859" t="s">
        <v>673</v>
      </c>
      <c r="K4859" t="s">
        <v>742</v>
      </c>
      <c r="O4859">
        <v>0</v>
      </c>
      <c r="U4859" t="s">
        <v>81</v>
      </c>
    </row>
    <row r="4860" spans="1:21" x14ac:dyDescent="0.25">
      <c r="A4860" s="33">
        <v>4886</v>
      </c>
      <c r="B4860" s="24">
        <v>44291</v>
      </c>
      <c r="C4860" t="s">
        <v>181</v>
      </c>
      <c r="D4860" t="s">
        <v>51</v>
      </c>
      <c r="E4860">
        <v>2000722866</v>
      </c>
      <c r="F4860">
        <v>240</v>
      </c>
      <c r="G4860">
        <v>75</v>
      </c>
      <c r="H4860">
        <v>0</v>
      </c>
      <c r="I4860" t="s">
        <v>693</v>
      </c>
      <c r="J4860" t="s">
        <v>779</v>
      </c>
      <c r="K4860" t="s">
        <v>780</v>
      </c>
      <c r="O4860">
        <v>0</v>
      </c>
      <c r="U4860" t="s">
        <v>81</v>
      </c>
    </row>
    <row r="4861" spans="1:21" x14ac:dyDescent="0.25">
      <c r="A4861" s="33">
        <v>4887</v>
      </c>
      <c r="B4861" s="24">
        <v>44291</v>
      </c>
      <c r="C4861" t="s">
        <v>181</v>
      </c>
      <c r="D4861" t="s">
        <v>51</v>
      </c>
      <c r="E4861">
        <v>2000722863</v>
      </c>
      <c r="F4861">
        <v>400</v>
      </c>
      <c r="G4861">
        <v>80</v>
      </c>
      <c r="H4861">
        <v>0</v>
      </c>
      <c r="I4861" t="s">
        <v>693</v>
      </c>
      <c r="J4861" t="s">
        <v>937</v>
      </c>
      <c r="K4861" t="s">
        <v>951</v>
      </c>
      <c r="O4861">
        <v>0</v>
      </c>
      <c r="U4861" t="s">
        <v>81</v>
      </c>
    </row>
    <row r="4862" spans="1:21" x14ac:dyDescent="0.25">
      <c r="A4862" s="33">
        <v>4888</v>
      </c>
      <c r="B4862" s="24">
        <v>44291</v>
      </c>
      <c r="C4862" t="s">
        <v>181</v>
      </c>
      <c r="D4862" t="s">
        <v>51</v>
      </c>
      <c r="E4862">
        <v>2000722866</v>
      </c>
      <c r="F4862">
        <v>240</v>
      </c>
      <c r="G4862">
        <v>120</v>
      </c>
      <c r="H4862">
        <v>0</v>
      </c>
      <c r="I4862" t="s">
        <v>184</v>
      </c>
      <c r="J4862" t="s">
        <v>779</v>
      </c>
      <c r="K4862" t="s">
        <v>780</v>
      </c>
      <c r="O4862">
        <v>0</v>
      </c>
      <c r="U4862" t="s">
        <v>81</v>
      </c>
    </row>
    <row r="4863" spans="1:21" ht="30" x14ac:dyDescent="0.25">
      <c r="A4863" s="33">
        <v>4889</v>
      </c>
      <c r="B4863" s="24">
        <v>44291</v>
      </c>
      <c r="C4863" t="s">
        <v>181</v>
      </c>
      <c r="D4863" t="s">
        <v>41</v>
      </c>
      <c r="E4863">
        <v>2000723306</v>
      </c>
      <c r="F4863">
        <v>2800</v>
      </c>
      <c r="G4863">
        <v>120</v>
      </c>
      <c r="H4863">
        <v>0</v>
      </c>
      <c r="I4863" t="s">
        <v>680</v>
      </c>
      <c r="J4863" t="s">
        <v>645</v>
      </c>
      <c r="K4863" t="s">
        <v>721</v>
      </c>
      <c r="O4863">
        <v>0</v>
      </c>
      <c r="T4863" s="62" t="s">
        <v>723</v>
      </c>
      <c r="U4863" t="s">
        <v>81</v>
      </c>
    </row>
    <row r="4864" spans="1:21" x14ac:dyDescent="0.25">
      <c r="A4864" s="33">
        <v>4890</v>
      </c>
      <c r="B4864" s="24">
        <v>44291</v>
      </c>
      <c r="C4864" t="s">
        <v>181</v>
      </c>
      <c r="D4864" t="s">
        <v>41</v>
      </c>
      <c r="E4864">
        <v>2000723311</v>
      </c>
      <c r="F4864">
        <v>1110</v>
      </c>
      <c r="G4864">
        <v>80</v>
      </c>
      <c r="H4864">
        <v>0</v>
      </c>
      <c r="I4864" t="s">
        <v>680</v>
      </c>
      <c r="J4864" t="s">
        <v>645</v>
      </c>
      <c r="K4864" t="s">
        <v>765</v>
      </c>
      <c r="O4864">
        <v>0</v>
      </c>
      <c r="U4864" t="s">
        <v>81</v>
      </c>
    </row>
    <row r="4865" spans="1:21" x14ac:dyDescent="0.25">
      <c r="A4865" s="33">
        <v>4891</v>
      </c>
      <c r="B4865" s="24">
        <v>44291</v>
      </c>
      <c r="C4865" t="s">
        <v>181</v>
      </c>
      <c r="D4865" t="s">
        <v>41</v>
      </c>
      <c r="E4865">
        <v>2000723312</v>
      </c>
      <c r="F4865">
        <v>500</v>
      </c>
      <c r="G4865">
        <v>80</v>
      </c>
      <c r="H4865">
        <v>0</v>
      </c>
      <c r="I4865" t="s">
        <v>680</v>
      </c>
      <c r="J4865" t="s">
        <v>645</v>
      </c>
      <c r="K4865" t="s">
        <v>753</v>
      </c>
      <c r="O4865">
        <v>0</v>
      </c>
      <c r="U4865" t="s">
        <v>81</v>
      </c>
    </row>
    <row r="4866" spans="1:21" x14ac:dyDescent="0.25">
      <c r="A4866" s="33">
        <v>4892</v>
      </c>
      <c r="B4866" s="24">
        <v>44291</v>
      </c>
      <c r="C4866" t="s">
        <v>181</v>
      </c>
      <c r="D4866" t="s">
        <v>41</v>
      </c>
      <c r="E4866">
        <v>2000723315</v>
      </c>
      <c r="F4866">
        <v>6000</v>
      </c>
      <c r="G4866">
        <v>200</v>
      </c>
      <c r="H4866">
        <v>0</v>
      </c>
      <c r="I4866" t="s">
        <v>680</v>
      </c>
      <c r="J4866" t="s">
        <v>200</v>
      </c>
      <c r="K4866" t="s">
        <v>653</v>
      </c>
      <c r="O4866">
        <v>0</v>
      </c>
      <c r="U4866" t="s">
        <v>81</v>
      </c>
    </row>
    <row r="4867" spans="1:21" x14ac:dyDescent="0.25">
      <c r="A4867" s="33">
        <v>4893</v>
      </c>
      <c r="B4867" s="24">
        <v>44291</v>
      </c>
      <c r="C4867" t="s">
        <v>181</v>
      </c>
      <c r="D4867" t="s">
        <v>41</v>
      </c>
      <c r="E4867">
        <v>2000722647</v>
      </c>
      <c r="F4867">
        <v>1800</v>
      </c>
      <c r="G4867">
        <v>20</v>
      </c>
      <c r="H4867">
        <v>0</v>
      </c>
      <c r="I4867" t="s">
        <v>680</v>
      </c>
      <c r="J4867" t="s">
        <v>193</v>
      </c>
      <c r="K4867" t="s">
        <v>647</v>
      </c>
      <c r="O4867">
        <v>0</v>
      </c>
      <c r="U4867" t="s">
        <v>81</v>
      </c>
    </row>
    <row r="4868" spans="1:21" x14ac:dyDescent="0.25">
      <c r="A4868" s="33">
        <v>4894</v>
      </c>
      <c r="B4868" s="24">
        <v>44291</v>
      </c>
      <c r="C4868" t="s">
        <v>181</v>
      </c>
      <c r="D4868" t="s">
        <v>41</v>
      </c>
      <c r="E4868">
        <v>2000723261</v>
      </c>
      <c r="F4868">
        <v>410</v>
      </c>
      <c r="G4868">
        <v>80</v>
      </c>
      <c r="H4868">
        <v>0</v>
      </c>
      <c r="I4868" t="s">
        <v>680</v>
      </c>
      <c r="J4868" t="s">
        <v>172</v>
      </c>
      <c r="K4868" t="s">
        <v>854</v>
      </c>
      <c r="O4868">
        <v>0</v>
      </c>
      <c r="U4868" t="s">
        <v>81</v>
      </c>
    </row>
    <row r="4869" spans="1:21" x14ac:dyDescent="0.25">
      <c r="A4869" s="33">
        <v>4895</v>
      </c>
      <c r="B4869" s="24">
        <v>44291</v>
      </c>
      <c r="C4869" t="s">
        <v>181</v>
      </c>
      <c r="D4869" t="s">
        <v>41</v>
      </c>
      <c r="E4869">
        <v>2000721982</v>
      </c>
      <c r="F4869">
        <v>1270</v>
      </c>
      <c r="G4869">
        <v>23</v>
      </c>
      <c r="H4869">
        <v>0</v>
      </c>
      <c r="I4869" t="s">
        <v>183</v>
      </c>
      <c r="J4869" t="s">
        <v>174</v>
      </c>
      <c r="K4869" t="s">
        <v>177</v>
      </c>
      <c r="O4869">
        <v>0</v>
      </c>
      <c r="U4869" t="s">
        <v>81</v>
      </c>
    </row>
    <row r="4870" spans="1:21" x14ac:dyDescent="0.25">
      <c r="A4870" s="33">
        <v>4896</v>
      </c>
      <c r="B4870" s="24">
        <v>44291</v>
      </c>
      <c r="C4870" t="s">
        <v>181</v>
      </c>
      <c r="D4870" t="s">
        <v>41</v>
      </c>
      <c r="E4870">
        <v>2000723271</v>
      </c>
      <c r="F4870">
        <v>320</v>
      </c>
      <c r="G4870">
        <v>68</v>
      </c>
      <c r="H4870">
        <v>0</v>
      </c>
      <c r="I4870" t="s">
        <v>183</v>
      </c>
      <c r="J4870" t="s">
        <v>174</v>
      </c>
      <c r="K4870" t="s">
        <v>177</v>
      </c>
      <c r="O4870">
        <v>0</v>
      </c>
      <c r="U4870" t="s">
        <v>81</v>
      </c>
    </row>
    <row r="4871" spans="1:21" x14ac:dyDescent="0.25">
      <c r="A4871" s="33">
        <v>4897</v>
      </c>
      <c r="B4871" s="24">
        <v>44291</v>
      </c>
      <c r="C4871" t="s">
        <v>181</v>
      </c>
      <c r="D4871" t="s">
        <v>41</v>
      </c>
      <c r="E4871">
        <v>2000721991</v>
      </c>
      <c r="F4871">
        <v>120</v>
      </c>
      <c r="G4871">
        <v>3</v>
      </c>
      <c r="H4871">
        <v>0</v>
      </c>
      <c r="I4871" t="s">
        <v>183</v>
      </c>
      <c r="J4871" t="s">
        <v>174</v>
      </c>
      <c r="K4871" t="s">
        <v>735</v>
      </c>
      <c r="O4871">
        <v>0</v>
      </c>
      <c r="U4871" t="s">
        <v>81</v>
      </c>
    </row>
    <row r="4872" spans="1:21" x14ac:dyDescent="0.25">
      <c r="A4872" s="33">
        <v>4898</v>
      </c>
      <c r="B4872" s="24">
        <v>44291</v>
      </c>
      <c r="C4872" t="s">
        <v>181</v>
      </c>
      <c r="D4872" t="s">
        <v>41</v>
      </c>
      <c r="E4872">
        <v>2000723472</v>
      </c>
      <c r="F4872">
        <v>680</v>
      </c>
      <c r="G4872">
        <v>640</v>
      </c>
      <c r="H4872">
        <v>0</v>
      </c>
      <c r="I4872" t="s">
        <v>183</v>
      </c>
      <c r="J4872" t="s">
        <v>174</v>
      </c>
      <c r="K4872" t="s">
        <v>717</v>
      </c>
      <c r="O4872">
        <v>0</v>
      </c>
      <c r="U4872" t="s">
        <v>81</v>
      </c>
    </row>
    <row r="4873" spans="1:21" x14ac:dyDescent="0.25">
      <c r="A4873" s="33">
        <v>4899</v>
      </c>
      <c r="B4873" s="24">
        <v>44291</v>
      </c>
      <c r="C4873" t="s">
        <v>181</v>
      </c>
      <c r="D4873" t="s">
        <v>41</v>
      </c>
      <c r="E4873">
        <v>2000724122</v>
      </c>
      <c r="F4873">
        <v>800</v>
      </c>
      <c r="G4873">
        <v>40</v>
      </c>
      <c r="H4873">
        <v>0</v>
      </c>
      <c r="I4873" t="s">
        <v>183</v>
      </c>
      <c r="J4873" t="s">
        <v>174</v>
      </c>
      <c r="K4873" t="s">
        <v>717</v>
      </c>
      <c r="O4873">
        <v>0</v>
      </c>
      <c r="U4873" t="s">
        <v>81</v>
      </c>
    </row>
    <row r="4874" spans="1:21" x14ac:dyDescent="0.25">
      <c r="A4874" s="33">
        <v>4900</v>
      </c>
      <c r="B4874" s="24">
        <v>44291</v>
      </c>
      <c r="C4874" t="s">
        <v>181</v>
      </c>
      <c r="D4874" t="s">
        <v>41</v>
      </c>
      <c r="E4874">
        <v>2000723471</v>
      </c>
      <c r="F4874">
        <v>1304</v>
      </c>
      <c r="G4874">
        <v>120</v>
      </c>
      <c r="H4874">
        <v>0</v>
      </c>
      <c r="I4874" t="s">
        <v>185</v>
      </c>
      <c r="J4874" t="s">
        <v>174</v>
      </c>
      <c r="K4874" t="s">
        <v>763</v>
      </c>
      <c r="O4874">
        <v>0</v>
      </c>
      <c r="U4874" t="s">
        <v>81</v>
      </c>
    </row>
    <row r="4875" spans="1:21" x14ac:dyDescent="0.25">
      <c r="A4875" s="33">
        <v>4901</v>
      </c>
      <c r="B4875" s="24">
        <v>44291</v>
      </c>
      <c r="C4875" t="s">
        <v>181</v>
      </c>
      <c r="D4875" t="s">
        <v>41</v>
      </c>
      <c r="E4875">
        <v>2000722685</v>
      </c>
      <c r="F4875">
        <v>660</v>
      </c>
      <c r="G4875">
        <v>90</v>
      </c>
      <c r="H4875">
        <v>0</v>
      </c>
      <c r="I4875" t="s">
        <v>185</v>
      </c>
      <c r="J4875" t="s">
        <v>174</v>
      </c>
      <c r="K4875" t="s">
        <v>776</v>
      </c>
      <c r="O4875">
        <v>0</v>
      </c>
      <c r="U4875" t="s">
        <v>81</v>
      </c>
    </row>
    <row r="4876" spans="1:21" x14ac:dyDescent="0.25">
      <c r="A4876" s="33">
        <v>4902</v>
      </c>
      <c r="B4876" s="24">
        <v>44291</v>
      </c>
      <c r="C4876" t="s">
        <v>181</v>
      </c>
      <c r="D4876" t="s">
        <v>41</v>
      </c>
      <c r="E4876">
        <v>2000723270</v>
      </c>
      <c r="F4876">
        <v>600</v>
      </c>
      <c r="G4876">
        <v>160</v>
      </c>
      <c r="H4876">
        <v>0</v>
      </c>
      <c r="I4876" t="s">
        <v>185</v>
      </c>
      <c r="J4876" t="s">
        <v>174</v>
      </c>
      <c r="K4876" t="s">
        <v>763</v>
      </c>
      <c r="O4876">
        <v>0</v>
      </c>
      <c r="U4876" t="s">
        <v>81</v>
      </c>
    </row>
    <row r="4877" spans="1:21" x14ac:dyDescent="0.25">
      <c r="A4877" s="33">
        <v>4903</v>
      </c>
      <c r="B4877" s="24">
        <v>44291</v>
      </c>
      <c r="C4877" t="s">
        <v>181</v>
      </c>
      <c r="D4877" t="s">
        <v>41</v>
      </c>
      <c r="E4877">
        <v>2000721962</v>
      </c>
      <c r="F4877">
        <v>1000</v>
      </c>
      <c r="G4877">
        <v>720</v>
      </c>
      <c r="H4877">
        <v>0</v>
      </c>
      <c r="I4877" t="s">
        <v>706</v>
      </c>
      <c r="J4877" t="s">
        <v>170</v>
      </c>
      <c r="K4877" t="s">
        <v>697</v>
      </c>
      <c r="O4877">
        <v>0</v>
      </c>
      <c r="U4877" t="s">
        <v>81</v>
      </c>
    </row>
    <row r="4878" spans="1:21" x14ac:dyDescent="0.25">
      <c r="A4878" s="33">
        <v>4904</v>
      </c>
      <c r="B4878" s="24">
        <v>44291</v>
      </c>
      <c r="C4878" t="s">
        <v>181</v>
      </c>
      <c r="D4878" t="s">
        <v>41</v>
      </c>
      <c r="E4878">
        <v>2000723471</v>
      </c>
      <c r="F4878">
        <v>1304</v>
      </c>
      <c r="G4878">
        <v>40</v>
      </c>
      <c r="H4878">
        <v>0</v>
      </c>
      <c r="I4878" t="s">
        <v>706</v>
      </c>
      <c r="J4878" t="s">
        <v>174</v>
      </c>
      <c r="K4878" t="s">
        <v>763</v>
      </c>
      <c r="O4878">
        <v>0</v>
      </c>
      <c r="U4878" t="s">
        <v>81</v>
      </c>
    </row>
    <row r="4879" spans="1:21" x14ac:dyDescent="0.25">
      <c r="A4879" s="33">
        <v>4905</v>
      </c>
      <c r="B4879" s="24">
        <v>44291</v>
      </c>
      <c r="C4879" t="s">
        <v>181</v>
      </c>
      <c r="D4879" t="s">
        <v>41</v>
      </c>
      <c r="E4879">
        <v>2000723270</v>
      </c>
      <c r="F4879">
        <v>600</v>
      </c>
      <c r="G4879">
        <v>80</v>
      </c>
      <c r="H4879">
        <v>0</v>
      </c>
      <c r="I4879" t="s">
        <v>706</v>
      </c>
      <c r="J4879" t="s">
        <v>174</v>
      </c>
      <c r="K4879" t="s">
        <v>763</v>
      </c>
      <c r="O4879">
        <v>0</v>
      </c>
      <c r="U4879" t="s">
        <v>81</v>
      </c>
    </row>
    <row r="4880" spans="1:21" x14ac:dyDescent="0.25">
      <c r="A4880" s="33">
        <v>4906</v>
      </c>
      <c r="B4880" s="24">
        <v>44291</v>
      </c>
      <c r="C4880" t="s">
        <v>181</v>
      </c>
      <c r="D4880" t="s">
        <v>41</v>
      </c>
      <c r="E4880">
        <v>2000721982</v>
      </c>
      <c r="F4880">
        <v>1270</v>
      </c>
      <c r="G4880">
        <v>80</v>
      </c>
      <c r="H4880">
        <v>0</v>
      </c>
      <c r="I4880" t="s">
        <v>184</v>
      </c>
      <c r="J4880" t="s">
        <v>174</v>
      </c>
      <c r="K4880" t="s">
        <v>177</v>
      </c>
      <c r="O4880">
        <v>0</v>
      </c>
      <c r="U4880" t="s">
        <v>81</v>
      </c>
    </row>
    <row r="4881" spans="1:21" x14ac:dyDescent="0.25">
      <c r="A4881" s="33">
        <v>4907</v>
      </c>
      <c r="B4881" s="24">
        <v>44291</v>
      </c>
      <c r="C4881" t="s">
        <v>181</v>
      </c>
      <c r="D4881" t="s">
        <v>41</v>
      </c>
      <c r="E4881">
        <v>2000723271</v>
      </c>
      <c r="F4881">
        <v>320</v>
      </c>
      <c r="G4881">
        <v>251</v>
      </c>
      <c r="H4881">
        <v>0</v>
      </c>
      <c r="I4881" t="s">
        <v>184</v>
      </c>
      <c r="J4881" t="s">
        <v>174</v>
      </c>
      <c r="K4881" t="s">
        <v>177</v>
      </c>
      <c r="O4881">
        <v>0</v>
      </c>
      <c r="U4881" t="s">
        <v>81</v>
      </c>
    </row>
    <row r="4882" spans="1:21" x14ac:dyDescent="0.25">
      <c r="A4882" s="33">
        <v>4908</v>
      </c>
      <c r="B4882" s="24">
        <v>44291</v>
      </c>
      <c r="C4882" t="s">
        <v>181</v>
      </c>
      <c r="D4882" t="s">
        <v>41</v>
      </c>
      <c r="E4882">
        <v>2000723471</v>
      </c>
      <c r="F4882">
        <v>1304</v>
      </c>
      <c r="G4882">
        <v>137</v>
      </c>
      <c r="H4882">
        <v>0</v>
      </c>
      <c r="I4882" t="s">
        <v>184</v>
      </c>
      <c r="J4882" t="s">
        <v>174</v>
      </c>
      <c r="K4882" t="s">
        <v>763</v>
      </c>
      <c r="O4882">
        <v>0</v>
      </c>
      <c r="U4882" t="s">
        <v>81</v>
      </c>
    </row>
    <row r="4883" spans="1:21" x14ac:dyDescent="0.25">
      <c r="A4883" s="33">
        <v>4909</v>
      </c>
      <c r="B4883" s="24">
        <v>44291</v>
      </c>
      <c r="C4883" t="s">
        <v>181</v>
      </c>
      <c r="D4883" t="s">
        <v>41</v>
      </c>
      <c r="E4883">
        <v>2000723270</v>
      </c>
      <c r="F4883">
        <v>600</v>
      </c>
      <c r="G4883">
        <v>20</v>
      </c>
      <c r="H4883">
        <v>0</v>
      </c>
      <c r="I4883" t="s">
        <v>184</v>
      </c>
      <c r="J4883" t="s">
        <v>174</v>
      </c>
      <c r="K4883" t="s">
        <v>763</v>
      </c>
      <c r="O4883">
        <v>0</v>
      </c>
      <c r="U4883" t="s">
        <v>81</v>
      </c>
    </row>
    <row r="4884" spans="1:21" x14ac:dyDescent="0.25">
      <c r="A4884" s="33">
        <v>4910</v>
      </c>
      <c r="B4884" s="24">
        <v>44291</v>
      </c>
      <c r="C4884" t="s">
        <v>181</v>
      </c>
      <c r="D4884" t="s">
        <v>41</v>
      </c>
      <c r="E4884">
        <v>2000722082</v>
      </c>
      <c r="F4884">
        <v>2000</v>
      </c>
      <c r="G4884">
        <v>200</v>
      </c>
      <c r="H4884">
        <v>0</v>
      </c>
      <c r="I4884" t="s">
        <v>198</v>
      </c>
      <c r="J4884" t="s">
        <v>193</v>
      </c>
      <c r="K4884" t="s">
        <v>176</v>
      </c>
      <c r="O4884">
        <v>0</v>
      </c>
      <c r="U4884" t="s">
        <v>81</v>
      </c>
    </row>
    <row r="4885" spans="1:21" x14ac:dyDescent="0.25">
      <c r="A4885" s="33">
        <v>4911</v>
      </c>
      <c r="B4885" s="24">
        <v>44291</v>
      </c>
      <c r="C4885" t="s">
        <v>181</v>
      </c>
      <c r="D4885" t="s">
        <v>41</v>
      </c>
      <c r="E4885">
        <v>2000722646</v>
      </c>
      <c r="F4885">
        <v>1800</v>
      </c>
      <c r="G4885">
        <v>200</v>
      </c>
      <c r="H4885">
        <v>0</v>
      </c>
      <c r="I4885" t="s">
        <v>198</v>
      </c>
      <c r="J4885" t="s">
        <v>193</v>
      </c>
      <c r="K4885" t="s">
        <v>686</v>
      </c>
      <c r="O4885">
        <v>0</v>
      </c>
      <c r="U4885" t="s">
        <v>81</v>
      </c>
    </row>
    <row r="4886" spans="1:21" x14ac:dyDescent="0.25">
      <c r="A4886" s="33">
        <v>4912</v>
      </c>
      <c r="B4886" s="24">
        <v>44291</v>
      </c>
      <c r="C4886" t="s">
        <v>181</v>
      </c>
      <c r="D4886" t="s">
        <v>41</v>
      </c>
      <c r="E4886">
        <v>2000722267</v>
      </c>
      <c r="F4886">
        <v>3609</v>
      </c>
      <c r="G4886">
        <v>300</v>
      </c>
      <c r="H4886">
        <v>0</v>
      </c>
      <c r="I4886" t="s">
        <v>198</v>
      </c>
      <c r="J4886" t="s">
        <v>169</v>
      </c>
      <c r="K4886" t="s">
        <v>652</v>
      </c>
      <c r="O4886">
        <v>0</v>
      </c>
      <c r="U4886" t="s">
        <v>81</v>
      </c>
    </row>
    <row r="4887" spans="1:21" x14ac:dyDescent="0.25">
      <c r="A4887" s="33">
        <v>4913</v>
      </c>
      <c r="B4887" s="24">
        <v>44291</v>
      </c>
      <c r="C4887" t="s">
        <v>181</v>
      </c>
      <c r="D4887" t="s">
        <v>41</v>
      </c>
      <c r="E4887">
        <v>2000723246</v>
      </c>
      <c r="F4887">
        <v>4210</v>
      </c>
      <c r="G4887">
        <v>240</v>
      </c>
      <c r="H4887">
        <v>0</v>
      </c>
      <c r="I4887" t="s">
        <v>198</v>
      </c>
      <c r="J4887" t="s">
        <v>199</v>
      </c>
      <c r="K4887" t="s">
        <v>660</v>
      </c>
      <c r="O4887">
        <v>0</v>
      </c>
      <c r="U4887" t="s">
        <v>81</v>
      </c>
    </row>
    <row r="4888" spans="1:21" x14ac:dyDescent="0.25">
      <c r="A4888" s="33">
        <v>4914</v>
      </c>
      <c r="B4888" s="24">
        <v>44291</v>
      </c>
      <c r="C4888" t="s">
        <v>181</v>
      </c>
      <c r="D4888" t="s">
        <v>41</v>
      </c>
      <c r="E4888">
        <v>2000722202</v>
      </c>
      <c r="F4888">
        <v>2800</v>
      </c>
      <c r="G4888">
        <v>300</v>
      </c>
      <c r="H4888">
        <v>0</v>
      </c>
      <c r="I4888" t="s">
        <v>198</v>
      </c>
      <c r="J4888" t="s">
        <v>645</v>
      </c>
      <c r="K4888" t="s">
        <v>756</v>
      </c>
      <c r="O4888">
        <v>0</v>
      </c>
      <c r="U4888" t="s">
        <v>81</v>
      </c>
    </row>
    <row r="4889" spans="1:21" x14ac:dyDescent="0.25">
      <c r="A4889" s="33">
        <v>4915</v>
      </c>
      <c r="B4889" s="24">
        <v>44291</v>
      </c>
      <c r="C4889" t="s">
        <v>181</v>
      </c>
      <c r="D4889" t="s">
        <v>41</v>
      </c>
      <c r="E4889">
        <v>2000723309</v>
      </c>
      <c r="F4889">
        <v>2800</v>
      </c>
      <c r="G4889">
        <v>200</v>
      </c>
      <c r="H4889">
        <v>0</v>
      </c>
      <c r="I4889" t="s">
        <v>198</v>
      </c>
      <c r="J4889" t="s">
        <v>645</v>
      </c>
      <c r="K4889" t="s">
        <v>739</v>
      </c>
      <c r="O4889">
        <v>0</v>
      </c>
      <c r="U4889" t="s">
        <v>81</v>
      </c>
    </row>
    <row r="4890" spans="1:21" x14ac:dyDescent="0.25">
      <c r="A4890" s="33">
        <v>4916</v>
      </c>
      <c r="B4890" s="24">
        <v>44291</v>
      </c>
      <c r="C4890" t="s">
        <v>181</v>
      </c>
      <c r="D4890" t="s">
        <v>41</v>
      </c>
      <c r="E4890">
        <v>2000723297</v>
      </c>
      <c r="F4890">
        <v>2000</v>
      </c>
      <c r="G4890">
        <v>200</v>
      </c>
      <c r="H4890">
        <v>0</v>
      </c>
      <c r="I4890" t="s">
        <v>198</v>
      </c>
      <c r="J4890" t="s">
        <v>172</v>
      </c>
      <c r="K4890" t="s">
        <v>725</v>
      </c>
      <c r="O4890">
        <v>0</v>
      </c>
      <c r="U4890" t="s">
        <v>81</v>
      </c>
    </row>
    <row r="4891" spans="1:21" x14ac:dyDescent="0.25">
      <c r="A4891" s="33">
        <v>4917</v>
      </c>
      <c r="B4891" s="24">
        <v>44291</v>
      </c>
      <c r="C4891" t="s">
        <v>181</v>
      </c>
      <c r="D4891" t="s">
        <v>41</v>
      </c>
      <c r="E4891">
        <v>2000723258</v>
      </c>
      <c r="F4891">
        <v>3200</v>
      </c>
      <c r="G4891">
        <v>400</v>
      </c>
      <c r="H4891">
        <v>0</v>
      </c>
      <c r="I4891" t="s">
        <v>198</v>
      </c>
      <c r="J4891" t="s">
        <v>203</v>
      </c>
      <c r="K4891" t="s">
        <v>788</v>
      </c>
      <c r="O4891">
        <v>0</v>
      </c>
      <c r="U4891" t="s">
        <v>81</v>
      </c>
    </row>
    <row r="4892" spans="1:21" x14ac:dyDescent="0.25">
      <c r="A4892" s="33">
        <v>4918</v>
      </c>
      <c r="B4892" s="24">
        <v>44291</v>
      </c>
      <c r="C4892" t="s">
        <v>181</v>
      </c>
      <c r="D4892" t="s">
        <v>41</v>
      </c>
      <c r="E4892">
        <v>2000723278</v>
      </c>
      <c r="F4892">
        <v>1800</v>
      </c>
      <c r="G4892">
        <v>150</v>
      </c>
      <c r="H4892">
        <v>0</v>
      </c>
      <c r="I4892" t="s">
        <v>198</v>
      </c>
      <c r="J4892" t="s">
        <v>195</v>
      </c>
      <c r="K4892" t="s">
        <v>210</v>
      </c>
      <c r="O4892">
        <v>0</v>
      </c>
      <c r="U4892" t="s">
        <v>81</v>
      </c>
    </row>
    <row r="4893" spans="1:21" x14ac:dyDescent="0.25">
      <c r="A4893" s="33">
        <v>4919</v>
      </c>
      <c r="B4893" s="24">
        <v>44348</v>
      </c>
      <c r="C4893" t="s">
        <v>181</v>
      </c>
      <c r="D4893" t="s">
        <v>51</v>
      </c>
      <c r="E4893">
        <v>2000200012</v>
      </c>
      <c r="F4893">
        <v>12</v>
      </c>
      <c r="G4893">
        <v>12</v>
      </c>
      <c r="H4893">
        <v>12</v>
      </c>
      <c r="I4893" t="s">
        <v>1187</v>
      </c>
      <c r="J4893" t="s">
        <v>1185</v>
      </c>
      <c r="K4893" t="s">
        <v>1186</v>
      </c>
      <c r="O4893">
        <v>12</v>
      </c>
      <c r="U4893" t="s">
        <v>81</v>
      </c>
    </row>
    <row r="4894" spans="1:21" x14ac:dyDescent="0.25">
      <c r="A4894" s="33">
        <v>4920</v>
      </c>
      <c r="B4894" s="24">
        <v>44348</v>
      </c>
      <c r="C4894" t="s">
        <v>181</v>
      </c>
      <c r="D4894" t="s">
        <v>51</v>
      </c>
      <c r="E4894">
        <v>2000200012</v>
      </c>
      <c r="F4894">
        <v>12</v>
      </c>
      <c r="G4894">
        <v>12</v>
      </c>
      <c r="H4894">
        <v>12</v>
      </c>
      <c r="I4894" t="s">
        <v>1187</v>
      </c>
      <c r="J4894" t="s">
        <v>1188</v>
      </c>
      <c r="K4894" t="s">
        <v>1188</v>
      </c>
      <c r="O4894">
        <v>12</v>
      </c>
      <c r="U4894" t="s">
        <v>81</v>
      </c>
    </row>
    <row r="4895" spans="1:21" x14ac:dyDescent="0.25">
      <c r="A4895" s="33">
        <v>4921</v>
      </c>
      <c r="B4895" s="24">
        <v>44229</v>
      </c>
      <c r="C4895" t="s">
        <v>39</v>
      </c>
      <c r="D4895" t="s">
        <v>41</v>
      </c>
      <c r="E4895">
        <v>2000714827</v>
      </c>
      <c r="F4895">
        <v>1650</v>
      </c>
      <c r="G4895">
        <v>200</v>
      </c>
      <c r="H4895">
        <v>0</v>
      </c>
      <c r="I4895" t="s">
        <v>680</v>
      </c>
      <c r="J4895" t="s">
        <v>193</v>
      </c>
      <c r="K4895" t="s">
        <v>176</v>
      </c>
      <c r="O4895">
        <v>0</v>
      </c>
      <c r="U4895" t="s">
        <v>81</v>
      </c>
    </row>
    <row r="4896" spans="1:21" x14ac:dyDescent="0.25">
      <c r="A4896" s="33">
        <v>4922</v>
      </c>
      <c r="B4896" s="24">
        <v>44229</v>
      </c>
      <c r="C4896" t="s">
        <v>39</v>
      </c>
      <c r="D4896" t="s">
        <v>41</v>
      </c>
      <c r="E4896">
        <v>2000714127</v>
      </c>
      <c r="F4896">
        <v>3008</v>
      </c>
      <c r="G4896">
        <v>1000</v>
      </c>
      <c r="H4896">
        <v>0</v>
      </c>
      <c r="I4896" t="s">
        <v>680</v>
      </c>
      <c r="J4896" t="s">
        <v>203</v>
      </c>
      <c r="K4896" t="s">
        <v>788</v>
      </c>
      <c r="O4896">
        <v>0</v>
      </c>
      <c r="U4896" t="s">
        <v>81</v>
      </c>
    </row>
    <row r="4897" spans="1:21" x14ac:dyDescent="0.25">
      <c r="A4897" s="33">
        <v>4923</v>
      </c>
      <c r="B4897" s="24">
        <v>44208</v>
      </c>
      <c r="C4897" t="s">
        <v>39</v>
      </c>
      <c r="D4897" t="s">
        <v>41</v>
      </c>
      <c r="E4897">
        <v>2000709307</v>
      </c>
      <c r="F4897">
        <v>440</v>
      </c>
      <c r="G4897">
        <v>280</v>
      </c>
      <c r="H4897">
        <v>0</v>
      </c>
      <c r="I4897" t="s">
        <v>183</v>
      </c>
      <c r="J4897" t="s">
        <v>174</v>
      </c>
      <c r="K4897" t="s">
        <v>735</v>
      </c>
      <c r="O4897">
        <v>0</v>
      </c>
      <c r="U4897" t="s">
        <v>81</v>
      </c>
    </row>
    <row r="4898" spans="1:21" x14ac:dyDescent="0.25">
      <c r="A4898" s="33">
        <v>4924</v>
      </c>
      <c r="B4898" s="24">
        <v>44202</v>
      </c>
      <c r="C4898" t="s">
        <v>39</v>
      </c>
      <c r="D4898" t="s">
        <v>41</v>
      </c>
      <c r="E4898">
        <v>2000705818</v>
      </c>
      <c r="F4898">
        <v>5424</v>
      </c>
      <c r="G4898">
        <v>200</v>
      </c>
      <c r="H4898">
        <v>0</v>
      </c>
      <c r="I4898" t="s">
        <v>185</v>
      </c>
      <c r="J4898" t="s">
        <v>200</v>
      </c>
      <c r="K4898" t="s">
        <v>653</v>
      </c>
      <c r="O4898">
        <v>0</v>
      </c>
      <c r="U4898" t="s">
        <v>81</v>
      </c>
    </row>
    <row r="4899" spans="1:21" x14ac:dyDescent="0.25">
      <c r="A4899" s="33">
        <v>4925</v>
      </c>
      <c r="B4899" s="24">
        <v>44202</v>
      </c>
      <c r="C4899" t="s">
        <v>39</v>
      </c>
      <c r="D4899" t="s">
        <v>41</v>
      </c>
      <c r="E4899">
        <v>2000707320</v>
      </c>
      <c r="F4899">
        <v>822</v>
      </c>
      <c r="G4899">
        <v>80</v>
      </c>
      <c r="H4899">
        <v>0</v>
      </c>
      <c r="I4899" t="s">
        <v>185</v>
      </c>
      <c r="J4899" t="s">
        <v>645</v>
      </c>
      <c r="K4899" t="s">
        <v>734</v>
      </c>
      <c r="O4899">
        <v>0</v>
      </c>
      <c r="U4899" t="s">
        <v>81</v>
      </c>
    </row>
    <row r="4987" spans="20:20" x14ac:dyDescent="0.25">
      <c r="T4987" s="62"/>
    </row>
    <row r="4994" spans="20:20" x14ac:dyDescent="0.25">
      <c r="T4994" s="62"/>
    </row>
    <row r="5170" spans="20:20" x14ac:dyDescent="0.25">
      <c r="T5170" s="62"/>
    </row>
    <row r="5191" spans="20:20" x14ac:dyDescent="0.25">
      <c r="T5191" s="62"/>
    </row>
    <row r="5192" spans="20:20" x14ac:dyDescent="0.25">
      <c r="T5192" s="62"/>
    </row>
    <row r="5280" spans="20:20" x14ac:dyDescent="0.25">
      <c r="T5280" s="62"/>
    </row>
    <row r="5517" spans="20:20" x14ac:dyDescent="0.25">
      <c r="T5517" s="62"/>
    </row>
    <row r="5648" spans="20:20" x14ac:dyDescent="0.25">
      <c r="T5648" s="62"/>
    </row>
    <row r="5649" spans="20:20" x14ac:dyDescent="0.25">
      <c r="T5649" s="62"/>
    </row>
    <row r="5657" spans="20:20" x14ac:dyDescent="0.25">
      <c r="T5657" s="62"/>
    </row>
    <row r="5759" spans="20:20" x14ac:dyDescent="0.25">
      <c r="T5759" s="62"/>
    </row>
    <row r="5769" spans="20:20" x14ac:dyDescent="0.25">
      <c r="T5769" s="62"/>
    </row>
    <row r="5787" spans="20:20" x14ac:dyDescent="0.25">
      <c r="T5787" s="62"/>
    </row>
    <row r="5902" spans="20:20" x14ac:dyDescent="0.25">
      <c r="T5902" s="62"/>
    </row>
    <row r="5903" spans="20:20" x14ac:dyDescent="0.25">
      <c r="T5903" s="62"/>
    </row>
    <row r="5904" spans="20:20" x14ac:dyDescent="0.25">
      <c r="T5904" s="62"/>
    </row>
    <row r="5905" spans="20:20" x14ac:dyDescent="0.25">
      <c r="T5905" s="62"/>
    </row>
    <row r="6091" spans="20:20" x14ac:dyDescent="0.25">
      <c r="T6091" s="62"/>
    </row>
    <row r="6100" spans="20:20" x14ac:dyDescent="0.25">
      <c r="T6100" s="62"/>
    </row>
    <row r="6651" spans="20:20" x14ac:dyDescent="0.25">
      <c r="T6651" s="62"/>
    </row>
    <row r="7222" spans="20:20" x14ac:dyDescent="0.25">
      <c r="T7222" s="62"/>
    </row>
    <row r="7223" spans="20:20" x14ac:dyDescent="0.25">
      <c r="T7223" s="62"/>
    </row>
    <row r="7224" spans="20:20" x14ac:dyDescent="0.25">
      <c r="T7224" s="62"/>
    </row>
    <row r="7225" spans="20:20" x14ac:dyDescent="0.25">
      <c r="T7225" s="62"/>
    </row>
    <row r="7226" spans="20:20" x14ac:dyDescent="0.25">
      <c r="T7226" s="62"/>
    </row>
    <row r="7227" spans="20:20" x14ac:dyDescent="0.25">
      <c r="T7227" s="62"/>
    </row>
    <row r="7308" spans="20:20" x14ac:dyDescent="0.25">
      <c r="T7308" s="62"/>
    </row>
    <row r="7316" spans="20:20" x14ac:dyDescent="0.25">
      <c r="T7316" s="62"/>
    </row>
    <row r="7317" spans="20:20" x14ac:dyDescent="0.25">
      <c r="T7317" s="62"/>
    </row>
    <row r="7318" spans="20:20" x14ac:dyDescent="0.25">
      <c r="T7318" s="62"/>
    </row>
    <row r="7319" spans="20:20" x14ac:dyDescent="0.25">
      <c r="T7319" s="62"/>
    </row>
    <row r="7425" spans="20:20" x14ac:dyDescent="0.25">
      <c r="T7425" s="62"/>
    </row>
    <row r="7632" spans="20:20" x14ac:dyDescent="0.25">
      <c r="T7632" s="62"/>
    </row>
    <row r="7748" spans="20:20" x14ac:dyDescent="0.25">
      <c r="T7748" s="62"/>
    </row>
    <row r="7798" spans="20:20" x14ac:dyDescent="0.25">
      <c r="T7798" s="62"/>
    </row>
    <row r="7809" spans="20:20" x14ac:dyDescent="0.25">
      <c r="T7809" s="62"/>
    </row>
    <row r="7842" spans="10:10" x14ac:dyDescent="0.25">
      <c r="J7842" s="65"/>
    </row>
    <row r="8086" spans="20:20" x14ac:dyDescent="0.25">
      <c r="T8086" s="62"/>
    </row>
    <row r="8282" spans="20:20" x14ac:dyDescent="0.25">
      <c r="T8282" s="62"/>
    </row>
    <row r="8512" spans="20:20" x14ac:dyDescent="0.25">
      <c r="T8512" s="62"/>
    </row>
    <row r="8642" spans="20:20" x14ac:dyDescent="0.25">
      <c r="T8642" s="62"/>
    </row>
    <row r="8715" spans="20:20" x14ac:dyDescent="0.25">
      <c r="T8715" s="62"/>
    </row>
    <row r="8716" spans="20:20" x14ac:dyDescent="0.25">
      <c r="T8716" s="62"/>
    </row>
    <row r="8880" spans="20:20" x14ac:dyDescent="0.25">
      <c r="T8880" s="62"/>
    </row>
    <row r="9128" spans="20:20" x14ac:dyDescent="0.25">
      <c r="T9128" s="62"/>
    </row>
    <row r="9554" spans="20:20" x14ac:dyDescent="0.25">
      <c r="T9554" s="62"/>
    </row>
    <row r="9557" spans="20:20" x14ac:dyDescent="0.25">
      <c r="T9557" s="62"/>
    </row>
    <row r="9574" spans="20:20" x14ac:dyDescent="0.25">
      <c r="T9574" s="62"/>
    </row>
    <row r="9575" spans="20:20" x14ac:dyDescent="0.25">
      <c r="T9575" s="62"/>
    </row>
    <row r="9579" spans="20:20" x14ac:dyDescent="0.25">
      <c r="T9579" s="62"/>
    </row>
    <row r="9835" spans="20:20" x14ac:dyDescent="0.25">
      <c r="T9835" s="62"/>
    </row>
    <row r="9893" spans="20:20" x14ac:dyDescent="0.25">
      <c r="T9893" s="62"/>
    </row>
    <row r="9894" spans="20:20" x14ac:dyDescent="0.25">
      <c r="T9894" s="62"/>
    </row>
    <row r="9901" spans="20:20" x14ac:dyDescent="0.25">
      <c r="T9901" s="62"/>
    </row>
    <row r="9902" spans="20:20" x14ac:dyDescent="0.25">
      <c r="T9902" s="62"/>
    </row>
    <row r="9903" spans="20:20" x14ac:dyDescent="0.25">
      <c r="T9903" s="62"/>
    </row>
    <row r="9904" spans="20:20" x14ac:dyDescent="0.25">
      <c r="T9904" s="62"/>
    </row>
    <row r="10317" spans="20:20" x14ac:dyDescent="0.25">
      <c r="T10317" s="62"/>
    </row>
    <row r="10318" spans="20:20" x14ac:dyDescent="0.25">
      <c r="T10318" s="62"/>
    </row>
    <row r="10319" spans="20:20" x14ac:dyDescent="0.25">
      <c r="T10319" s="62"/>
    </row>
    <row r="10336" spans="20:20" x14ac:dyDescent="0.25">
      <c r="T10336" s="62"/>
    </row>
    <row r="10496" spans="20:20" x14ac:dyDescent="0.25">
      <c r="T10496" s="62"/>
    </row>
    <row r="10505" spans="20:20" x14ac:dyDescent="0.25">
      <c r="T10505" s="62"/>
    </row>
    <row r="10683" spans="20:20" x14ac:dyDescent="0.25">
      <c r="T10683" s="62"/>
    </row>
    <row r="10684" spans="20:20" x14ac:dyDescent="0.25">
      <c r="T10684" s="62"/>
    </row>
    <row r="10808" spans="20:20" x14ac:dyDescent="0.25">
      <c r="T10808" s="62"/>
    </row>
    <row r="11250" spans="20:20" x14ac:dyDescent="0.25">
      <c r="T11250" s="62"/>
    </row>
    <row r="11251" spans="20:20" x14ac:dyDescent="0.25">
      <c r="T11251" s="62"/>
    </row>
    <row r="11277" spans="20:20" x14ac:dyDescent="0.25">
      <c r="T11277" s="62"/>
    </row>
    <row r="11320" spans="20:20" x14ac:dyDescent="0.25">
      <c r="T11320" s="62"/>
    </row>
    <row r="11372" spans="20:20" x14ac:dyDescent="0.25">
      <c r="T11372" s="62"/>
    </row>
    <row r="11399" spans="20:20" x14ac:dyDescent="0.25">
      <c r="T11399" s="62"/>
    </row>
    <row r="11478" spans="20:20" x14ac:dyDescent="0.25">
      <c r="T11478" s="62"/>
    </row>
    <row r="11507" spans="20:20" x14ac:dyDescent="0.25">
      <c r="T11507" s="62"/>
    </row>
    <row r="11563" spans="20:20" x14ac:dyDescent="0.25">
      <c r="T11563" s="62"/>
    </row>
    <row r="11577" spans="20:20" x14ac:dyDescent="0.25">
      <c r="T11577" s="62"/>
    </row>
    <row r="11578" spans="20:20" x14ac:dyDescent="0.25">
      <c r="T11578" s="62"/>
    </row>
    <row r="11579" spans="20:20" x14ac:dyDescent="0.25">
      <c r="T11579" s="62"/>
    </row>
    <row r="11580" spans="20:20" x14ac:dyDescent="0.25">
      <c r="T11580" s="62"/>
    </row>
    <row r="11581" spans="20:20" x14ac:dyDescent="0.25">
      <c r="T11581" s="62"/>
    </row>
    <row r="11582" spans="20:20" x14ac:dyDescent="0.25">
      <c r="T11582" s="62"/>
    </row>
    <row r="11593" spans="20:20" x14ac:dyDescent="0.25">
      <c r="T11593" s="62"/>
    </row>
    <row r="11789" spans="20:20" x14ac:dyDescent="0.25">
      <c r="T11789" s="62"/>
    </row>
    <row r="11843" spans="20:20" x14ac:dyDescent="0.25">
      <c r="T11843" s="62"/>
    </row>
    <row r="11846" spans="20:20" x14ac:dyDescent="0.25">
      <c r="T11846" s="62"/>
    </row>
    <row r="11885" spans="20:20" x14ac:dyDescent="0.25">
      <c r="T11885" s="62"/>
    </row>
    <row r="11886" spans="20:20" x14ac:dyDescent="0.25">
      <c r="T11886" s="62"/>
    </row>
    <row r="11941" spans="20:20" x14ac:dyDescent="0.25">
      <c r="T11941" s="62"/>
    </row>
    <row r="12004" spans="20:20" x14ac:dyDescent="0.25">
      <c r="T12004" s="62"/>
    </row>
    <row r="12013" spans="20:20" x14ac:dyDescent="0.25">
      <c r="T12013" s="62"/>
    </row>
    <row r="12160" spans="20:20" x14ac:dyDescent="0.25">
      <c r="T12160" s="62"/>
    </row>
    <row r="12161" spans="20:20" x14ac:dyDescent="0.25">
      <c r="T12161" s="62"/>
    </row>
    <row r="12162" spans="20:20" x14ac:dyDescent="0.25">
      <c r="T12162" s="62"/>
    </row>
    <row r="12209" spans="20:20" x14ac:dyDescent="0.25">
      <c r="T12209" s="62"/>
    </row>
    <row r="12267" spans="20:20" x14ac:dyDescent="0.25">
      <c r="T12267" s="62"/>
    </row>
    <row r="12405" spans="20:20" x14ac:dyDescent="0.25">
      <c r="T12405" s="62"/>
    </row>
    <row r="12579" spans="20:20" x14ac:dyDescent="0.25">
      <c r="T12579" s="62"/>
    </row>
    <row r="12741" spans="20:20" x14ac:dyDescent="0.25">
      <c r="T12741" s="62"/>
    </row>
    <row r="12785" spans="20:20" x14ac:dyDescent="0.25">
      <c r="T12785" s="62"/>
    </row>
    <row r="12786" spans="20:20" x14ac:dyDescent="0.25">
      <c r="T12786" s="62"/>
    </row>
    <row r="12788" spans="20:20" x14ac:dyDescent="0.25">
      <c r="T12788" s="62"/>
    </row>
    <row r="12789" spans="20:20" x14ac:dyDescent="0.25">
      <c r="T12789" s="62"/>
    </row>
    <row r="12793" spans="20:20" x14ac:dyDescent="0.25">
      <c r="T12793" s="62"/>
    </row>
    <row r="12794" spans="20:20" x14ac:dyDescent="0.25">
      <c r="T12794" s="62"/>
    </row>
    <row r="12809" spans="20:20" x14ac:dyDescent="0.25">
      <c r="T12809" s="62"/>
    </row>
    <row r="12810" spans="20:20" x14ac:dyDescent="0.25">
      <c r="T12810" s="62"/>
    </row>
    <row r="12863" spans="20:20" x14ac:dyDescent="0.25">
      <c r="T12863" s="62"/>
    </row>
    <row r="12954" spans="20:20" x14ac:dyDescent="0.25">
      <c r="T12954" s="62"/>
    </row>
    <row r="13095" spans="20:20" x14ac:dyDescent="0.25">
      <c r="T13095" s="62"/>
    </row>
    <row r="13170" spans="20:20" x14ac:dyDescent="0.25">
      <c r="T13170" s="62"/>
    </row>
    <row r="13174" spans="20:20" x14ac:dyDescent="0.25">
      <c r="T13174" s="62"/>
    </row>
    <row r="13205" spans="20:20" x14ac:dyDescent="0.25">
      <c r="T13205" s="62"/>
    </row>
    <row r="13305" spans="20:20" x14ac:dyDescent="0.25">
      <c r="T13305" s="62"/>
    </row>
    <row r="13343" spans="20:20" x14ac:dyDescent="0.25">
      <c r="T13343" s="62"/>
    </row>
    <row r="13384" spans="20:20" x14ac:dyDescent="0.25">
      <c r="T13384" s="62"/>
    </row>
    <row r="13431" spans="20:20" x14ac:dyDescent="0.25">
      <c r="T13431" s="62"/>
    </row>
    <row r="13565" spans="20:20" x14ac:dyDescent="0.25">
      <c r="T13565" s="62"/>
    </row>
    <row r="13643" spans="20:20" x14ac:dyDescent="0.25">
      <c r="T13643" s="62"/>
    </row>
    <row r="13665" spans="20:20" x14ac:dyDescent="0.25">
      <c r="T13665" s="62"/>
    </row>
    <row r="13669" spans="20:20" x14ac:dyDescent="0.25">
      <c r="T13669" s="62"/>
    </row>
    <row r="13670" spans="20:20" x14ac:dyDescent="0.25">
      <c r="T13670" s="62"/>
    </row>
    <row r="13680" spans="20:20" x14ac:dyDescent="0.25">
      <c r="T13680" s="62"/>
    </row>
    <row r="13734" spans="20:20" x14ac:dyDescent="0.25">
      <c r="T13734" s="62"/>
    </row>
    <row r="13754" spans="20:20" x14ac:dyDescent="0.25">
      <c r="T13754" s="62"/>
    </row>
    <row r="13795" spans="20:20" x14ac:dyDescent="0.25">
      <c r="T13795" s="62"/>
    </row>
    <row r="13877" spans="20:20" x14ac:dyDescent="0.25">
      <c r="T13877" s="62"/>
    </row>
    <row r="13967" spans="20:20" x14ac:dyDescent="0.25">
      <c r="T13967" s="62"/>
    </row>
  </sheetData>
  <conditionalFormatting sqref="A4 A7 A10 A13 A16 A19 A22 A25 A28 A31 A34 A37 A40 A43 A46 A49 A52 A55 A58 A61 A64 A67 A70 A73 A76 A79 A82 A85 A88 A91 A94 A97 A100 A103 A106 A109 A112 A115 A118 A121 A124 A127 A130 A133 A136 A139">
    <cfRule type="duplicateValues" dxfId="3" priority="1"/>
    <cfRule type="duplicateValues" dxfId="2" priority="2"/>
    <cfRule type="duplicateValues" dxfId="1" priority="3"/>
    <cfRule type="duplicateValues" dxfId="0" priority="4"/>
  </conditionalFormatting>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R12"/>
  <sheetViews>
    <sheetView workbookViewId="0">
      <selection sqref="A1:AR12"/>
    </sheetView>
  </sheetViews>
  <sheetFormatPr defaultRowHeight="15" x14ac:dyDescent="0.25"/>
  <cols>
    <col min="1" max="1" width="5" bestFit="1" customWidth="1"/>
    <col min="2" max="2" width="11.28515625" bestFit="1" customWidth="1"/>
    <col min="3" max="3" width="5.140625" bestFit="1" customWidth="1"/>
    <col min="4" max="4" width="7.7109375" bestFit="1" customWidth="1"/>
    <col min="5" max="5" width="11" bestFit="1" customWidth="1"/>
    <col min="6" max="6" width="7.85546875" bestFit="1" customWidth="1"/>
    <col min="7" max="7" width="12.5703125" bestFit="1" customWidth="1"/>
    <col min="8" max="8" width="7.28515625" bestFit="1" customWidth="1"/>
    <col min="9" max="9" width="9.28515625" bestFit="1" customWidth="1"/>
    <col min="10" max="10" width="8.7109375" bestFit="1" customWidth="1"/>
    <col min="11" max="11" width="9.5703125" bestFit="1" customWidth="1"/>
    <col min="12" max="12" width="9.7109375" bestFit="1" customWidth="1"/>
    <col min="13" max="13" width="7.140625" bestFit="1" customWidth="1"/>
    <col min="14" max="14" width="8.42578125" bestFit="1" customWidth="1"/>
    <col min="15" max="15" width="11" bestFit="1" customWidth="1"/>
    <col min="16" max="16" width="10" bestFit="1" customWidth="1"/>
    <col min="17" max="17" width="9.85546875" bestFit="1" customWidth="1"/>
    <col min="18" max="18" width="14" bestFit="1" customWidth="1"/>
    <col min="19" max="19" width="11.7109375" bestFit="1" customWidth="1"/>
    <col min="20" max="21" width="7.7109375" bestFit="1" customWidth="1"/>
    <col min="22" max="22" width="8.7109375" bestFit="1" customWidth="1"/>
    <col min="23" max="23" width="4.5703125" bestFit="1" customWidth="1"/>
    <col min="24" max="24" width="4.28515625" bestFit="1" customWidth="1"/>
    <col min="25" max="25" width="3.7109375" bestFit="1" customWidth="1"/>
    <col min="26" max="26" width="10.5703125" bestFit="1" customWidth="1"/>
    <col min="27" max="27" width="13.28515625" bestFit="1" customWidth="1"/>
    <col min="28" max="28" width="8.28515625" bestFit="1" customWidth="1"/>
    <col min="29" max="29" width="10.85546875" bestFit="1" customWidth="1"/>
    <col min="30" max="30" width="10.140625" bestFit="1" customWidth="1"/>
    <col min="31" max="31" width="7.28515625" bestFit="1" customWidth="1"/>
    <col min="32" max="32" width="15.5703125" bestFit="1" customWidth="1"/>
    <col min="33" max="33" width="13.42578125" bestFit="1" customWidth="1"/>
    <col min="34" max="34" width="11" bestFit="1" customWidth="1"/>
    <col min="35" max="35" width="18.7109375" bestFit="1" customWidth="1"/>
    <col min="36" max="36" width="14.5703125" bestFit="1" customWidth="1"/>
    <col min="37" max="37" width="18.85546875" bestFit="1" customWidth="1"/>
    <col min="38" max="38" width="7.7109375" bestFit="1" customWidth="1"/>
    <col min="39" max="39" width="10.28515625" bestFit="1" customWidth="1"/>
    <col min="40" max="44" width="4.5703125" bestFit="1" customWidth="1"/>
  </cols>
  <sheetData>
    <row r="1" spans="1:44" x14ac:dyDescent="0.25">
      <c r="A1" t="s">
        <v>93</v>
      </c>
      <c r="B1" s="24" t="s">
        <v>0</v>
      </c>
      <c r="C1" t="s">
        <v>1</v>
      </c>
      <c r="D1" t="s">
        <v>2</v>
      </c>
      <c r="E1" t="s">
        <v>3</v>
      </c>
      <c r="F1" t="s">
        <v>4</v>
      </c>
      <c r="G1" t="s">
        <v>5</v>
      </c>
      <c r="H1" t="s">
        <v>6</v>
      </c>
      <c r="I1" t="s">
        <v>7</v>
      </c>
      <c r="J1" t="s">
        <v>8</v>
      </c>
      <c r="K1" t="s">
        <v>9</v>
      </c>
      <c r="L1" t="s">
        <v>10</v>
      </c>
      <c r="M1" t="s">
        <v>11</v>
      </c>
      <c r="N1" t="s">
        <v>12</v>
      </c>
      <c r="O1" t="s">
        <v>13</v>
      </c>
      <c r="P1" t="s">
        <v>16</v>
      </c>
      <c r="Q1" t="s">
        <v>17</v>
      </c>
      <c r="R1" t="s">
        <v>18</v>
      </c>
      <c r="S1" s="36" t="s">
        <v>20</v>
      </c>
      <c r="T1" t="s">
        <v>33</v>
      </c>
      <c r="U1" t="s">
        <v>80</v>
      </c>
      <c r="V1" t="s">
        <v>82</v>
      </c>
      <c r="W1" t="s">
        <v>14</v>
      </c>
      <c r="X1" t="s">
        <v>15</v>
      </c>
      <c r="Y1" t="s">
        <v>19</v>
      </c>
      <c r="Z1" t="s">
        <v>21</v>
      </c>
      <c r="AA1" t="s">
        <v>22</v>
      </c>
      <c r="AB1" t="s">
        <v>23</v>
      </c>
      <c r="AC1" t="s">
        <v>24</v>
      </c>
      <c r="AD1" t="s">
        <v>25</v>
      </c>
      <c r="AE1" t="s">
        <v>26</v>
      </c>
      <c r="AF1" t="s">
        <v>27</v>
      </c>
      <c r="AG1" t="s">
        <v>28</v>
      </c>
      <c r="AH1" t="s">
        <v>29</v>
      </c>
      <c r="AI1" t="s">
        <v>30</v>
      </c>
      <c r="AJ1" t="s">
        <v>31</v>
      </c>
      <c r="AK1" t="s">
        <v>32</v>
      </c>
      <c r="AL1" t="s">
        <v>33</v>
      </c>
      <c r="AM1" t="s">
        <v>34</v>
      </c>
      <c r="AN1" t="s">
        <v>79</v>
      </c>
      <c r="AO1" t="s">
        <v>35</v>
      </c>
      <c r="AP1" t="s">
        <v>36</v>
      </c>
      <c r="AQ1" t="s">
        <v>37</v>
      </c>
      <c r="AR1" t="s">
        <v>38</v>
      </c>
    </row>
    <row r="2" spans="1:44" x14ac:dyDescent="0.25">
      <c r="A2">
        <v>146</v>
      </c>
      <c r="B2" s="24">
        <v>44202</v>
      </c>
      <c r="C2" t="s">
        <v>39</v>
      </c>
      <c r="D2" t="s">
        <v>41</v>
      </c>
      <c r="E2">
        <v>2000706285</v>
      </c>
      <c r="F2">
        <v>2000</v>
      </c>
      <c r="G2">
        <v>40</v>
      </c>
      <c r="H2">
        <v>0</v>
      </c>
      <c r="I2" t="s">
        <v>185</v>
      </c>
      <c r="J2" t="s">
        <v>193</v>
      </c>
      <c r="K2" t="s">
        <v>647</v>
      </c>
      <c r="O2">
        <v>0</v>
      </c>
      <c r="S2" s="36"/>
      <c r="U2" t="s">
        <v>81</v>
      </c>
    </row>
    <row r="3" spans="1:44" x14ac:dyDescent="0.25">
      <c r="A3">
        <v>147</v>
      </c>
      <c r="B3" s="24">
        <v>44202</v>
      </c>
      <c r="C3" t="s">
        <v>39</v>
      </c>
      <c r="D3" t="s">
        <v>41</v>
      </c>
      <c r="E3">
        <v>2000707067</v>
      </c>
      <c r="F3">
        <v>1200</v>
      </c>
      <c r="G3">
        <v>80</v>
      </c>
      <c r="H3">
        <v>0</v>
      </c>
      <c r="I3" t="s">
        <v>185</v>
      </c>
      <c r="J3" t="s">
        <v>687</v>
      </c>
      <c r="K3" t="s">
        <v>705</v>
      </c>
      <c r="O3">
        <v>0</v>
      </c>
      <c r="S3" s="36"/>
      <c r="U3" t="s">
        <v>81</v>
      </c>
    </row>
    <row r="4" spans="1:44" x14ac:dyDescent="0.25">
      <c r="A4">
        <v>148</v>
      </c>
      <c r="B4" s="24">
        <v>44202</v>
      </c>
      <c r="C4" t="s">
        <v>39</v>
      </c>
      <c r="D4" t="s">
        <v>41</v>
      </c>
      <c r="E4">
        <v>2000706622</v>
      </c>
      <c r="F4">
        <v>2672</v>
      </c>
      <c r="G4">
        <v>120</v>
      </c>
      <c r="H4">
        <v>0</v>
      </c>
      <c r="I4" t="s">
        <v>185</v>
      </c>
      <c r="J4" t="s">
        <v>655</v>
      </c>
      <c r="K4" t="s">
        <v>656</v>
      </c>
      <c r="O4">
        <v>0</v>
      </c>
      <c r="S4" s="36"/>
      <c r="U4" t="s">
        <v>81</v>
      </c>
    </row>
    <row r="5" spans="1:44" x14ac:dyDescent="0.25">
      <c r="A5">
        <v>149</v>
      </c>
      <c r="B5" s="24">
        <v>44202</v>
      </c>
      <c r="C5" t="s">
        <v>39</v>
      </c>
      <c r="D5" t="s">
        <v>41</v>
      </c>
      <c r="E5">
        <v>2000706620</v>
      </c>
      <c r="F5">
        <v>880</v>
      </c>
      <c r="G5">
        <v>40</v>
      </c>
      <c r="H5">
        <v>0</v>
      </c>
      <c r="I5" t="s">
        <v>185</v>
      </c>
      <c r="J5" t="s">
        <v>169</v>
      </c>
      <c r="K5" t="s">
        <v>663</v>
      </c>
      <c r="O5">
        <v>0</v>
      </c>
      <c r="S5" s="36"/>
      <c r="U5" t="s">
        <v>81</v>
      </c>
    </row>
    <row r="6" spans="1:44" x14ac:dyDescent="0.25">
      <c r="A6">
        <v>150</v>
      </c>
      <c r="B6" s="24">
        <v>44202</v>
      </c>
      <c r="C6" t="s">
        <v>39</v>
      </c>
      <c r="D6" t="s">
        <v>41</v>
      </c>
      <c r="E6">
        <v>2000706594</v>
      </c>
      <c r="F6">
        <v>117</v>
      </c>
      <c r="G6">
        <v>20</v>
      </c>
      <c r="H6">
        <v>0</v>
      </c>
      <c r="I6" t="s">
        <v>185</v>
      </c>
      <c r="J6" t="s">
        <v>216</v>
      </c>
      <c r="K6" t="s">
        <v>733</v>
      </c>
      <c r="O6">
        <v>0</v>
      </c>
      <c r="S6" s="36"/>
      <c r="U6" t="s">
        <v>81</v>
      </c>
    </row>
    <row r="7" spans="1:44" x14ac:dyDescent="0.25">
      <c r="A7">
        <v>151</v>
      </c>
      <c r="B7" s="24">
        <v>44202</v>
      </c>
      <c r="C7" t="s">
        <v>39</v>
      </c>
      <c r="D7" t="s">
        <v>41</v>
      </c>
      <c r="E7">
        <v>2000707320</v>
      </c>
      <c r="F7">
        <v>822</v>
      </c>
      <c r="G7">
        <v>80</v>
      </c>
      <c r="H7">
        <v>0</v>
      </c>
      <c r="I7" t="s">
        <v>185</v>
      </c>
      <c r="J7" t="s">
        <v>645</v>
      </c>
      <c r="K7" t="s">
        <v>734</v>
      </c>
      <c r="O7">
        <v>0</v>
      </c>
      <c r="S7" s="36"/>
      <c r="U7" t="s">
        <v>81</v>
      </c>
    </row>
    <row r="8" spans="1:44" x14ac:dyDescent="0.25">
      <c r="A8">
        <v>152</v>
      </c>
      <c r="B8" s="24">
        <v>44202</v>
      </c>
      <c r="C8" t="s">
        <v>39</v>
      </c>
      <c r="D8" t="s">
        <v>41</v>
      </c>
      <c r="E8">
        <v>2000706250</v>
      </c>
      <c r="F8">
        <v>2100</v>
      </c>
      <c r="G8">
        <v>30</v>
      </c>
      <c r="H8">
        <v>0</v>
      </c>
      <c r="I8" t="s">
        <v>185</v>
      </c>
      <c r="J8" t="s">
        <v>169</v>
      </c>
      <c r="K8" t="s">
        <v>179</v>
      </c>
      <c r="O8">
        <v>0</v>
      </c>
      <c r="S8" s="36"/>
      <c r="U8" t="s">
        <v>81</v>
      </c>
    </row>
    <row r="9" spans="1:44" x14ac:dyDescent="0.25">
      <c r="A9">
        <v>153</v>
      </c>
      <c r="B9" s="24">
        <v>44202</v>
      </c>
      <c r="C9" t="s">
        <v>39</v>
      </c>
      <c r="D9" t="s">
        <v>41</v>
      </c>
      <c r="E9">
        <v>2000705818</v>
      </c>
      <c r="F9">
        <v>5424</v>
      </c>
      <c r="G9">
        <v>200</v>
      </c>
      <c r="H9">
        <v>0</v>
      </c>
      <c r="I9" t="s">
        <v>185</v>
      </c>
      <c r="J9" t="s">
        <v>200</v>
      </c>
      <c r="K9" t="s">
        <v>653</v>
      </c>
      <c r="O9">
        <v>0</v>
      </c>
      <c r="S9" s="36"/>
      <c r="U9" t="s">
        <v>81</v>
      </c>
    </row>
    <row r="10" spans="1:44" x14ac:dyDescent="0.25">
      <c r="A10">
        <v>154</v>
      </c>
      <c r="B10" s="24">
        <v>44202</v>
      </c>
      <c r="C10" t="s">
        <v>39</v>
      </c>
      <c r="D10" t="s">
        <v>41</v>
      </c>
      <c r="E10">
        <v>2000706781</v>
      </c>
      <c r="F10">
        <v>2000</v>
      </c>
      <c r="G10">
        <v>80</v>
      </c>
      <c r="H10">
        <v>0</v>
      </c>
      <c r="I10" t="s">
        <v>185</v>
      </c>
      <c r="J10" t="s">
        <v>193</v>
      </c>
      <c r="K10" t="s">
        <v>647</v>
      </c>
      <c r="O10">
        <v>0</v>
      </c>
      <c r="S10" s="36"/>
      <c r="U10" t="s">
        <v>81</v>
      </c>
    </row>
    <row r="11" spans="1:44" x14ac:dyDescent="0.25">
      <c r="A11">
        <v>4924</v>
      </c>
      <c r="B11" s="24">
        <v>44202</v>
      </c>
      <c r="C11" t="s">
        <v>39</v>
      </c>
      <c r="D11" t="s">
        <v>41</v>
      </c>
      <c r="E11">
        <v>2000705818</v>
      </c>
      <c r="F11">
        <v>5424</v>
      </c>
      <c r="G11">
        <v>200</v>
      </c>
      <c r="H11">
        <v>0</v>
      </c>
      <c r="I11" t="s">
        <v>185</v>
      </c>
      <c r="J11" t="s">
        <v>200</v>
      </c>
      <c r="K11" t="s">
        <v>653</v>
      </c>
      <c r="O11">
        <v>0</v>
      </c>
      <c r="S11" s="36"/>
      <c r="U11" t="s">
        <v>81</v>
      </c>
    </row>
    <row r="12" spans="1:44" x14ac:dyDescent="0.25">
      <c r="A12">
        <v>4925</v>
      </c>
      <c r="B12" s="24">
        <v>44202</v>
      </c>
      <c r="C12" t="s">
        <v>39</v>
      </c>
      <c r="D12" t="s">
        <v>41</v>
      </c>
      <c r="E12">
        <v>2000707320</v>
      </c>
      <c r="F12">
        <v>822</v>
      </c>
      <c r="G12">
        <v>80</v>
      </c>
      <c r="H12">
        <v>0</v>
      </c>
      <c r="I12" t="s">
        <v>185</v>
      </c>
      <c r="J12" t="s">
        <v>645</v>
      </c>
      <c r="K12" t="s">
        <v>734</v>
      </c>
      <c r="O12">
        <v>0</v>
      </c>
      <c r="S12" s="36"/>
      <c r="U12" t="s">
        <v>81</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outlinePr summaryBelow="0"/>
  </sheetPr>
  <dimension ref="C1:E15"/>
  <sheetViews>
    <sheetView showGridLines="0" workbookViewId="0">
      <selection activeCell="E12" sqref="E12"/>
    </sheetView>
  </sheetViews>
  <sheetFormatPr defaultColWidth="9.140625" defaultRowHeight="14.25" outlineLevelRow="1" x14ac:dyDescent="0.2"/>
  <cols>
    <col min="1" max="2" width="9.140625" style="11"/>
    <col min="3" max="3" width="15.7109375" style="11" customWidth="1"/>
    <col min="4" max="4" width="12.42578125" style="11" bestFit="1" customWidth="1"/>
    <col min="5" max="5" width="14.28515625" style="11" customWidth="1"/>
    <col min="6" max="16384" width="9.140625" style="11"/>
  </cols>
  <sheetData>
    <row r="1" spans="3:5" ht="15" x14ac:dyDescent="0.25">
      <c r="C1" s="14" t="s">
        <v>0</v>
      </c>
      <c r="D1" s="14"/>
      <c r="E1" s="15"/>
    </row>
    <row r="2" spans="3:5" x14ac:dyDescent="0.2">
      <c r="C2" s="12"/>
      <c r="D2" s="12"/>
      <c r="E2" s="12"/>
    </row>
    <row r="3" spans="3:5" ht="15" x14ac:dyDescent="0.25">
      <c r="C3" s="16" t="s">
        <v>2</v>
      </c>
      <c r="D3" s="17"/>
      <c r="E3" s="25">
        <f>IFERROR(IF(D3="",SUMIFS(Temp1!$G:$G,Temp1!B:B,"="&amp;'RPT1'!E1),SUMIFS(Temp1!$G:$G,Temp1!$D:$D,'RPT1'!D3,Temp1!B:B,"="&amp;'RPT1'!E1)),0)</f>
        <v>0</v>
      </c>
    </row>
    <row r="4" spans="3:5" ht="15" x14ac:dyDescent="0.25">
      <c r="C4" s="18" t="s">
        <v>91</v>
      </c>
      <c r="D4" s="64"/>
      <c r="E4" s="26">
        <f>IFERROR(SUMIFS(Temp1!$G:$G,Temp1!J:J,'RPT1'!D4,Temp1!B:B,"="&amp;'RPT1'!E1),0)</f>
        <v>0</v>
      </c>
    </row>
    <row r="5" spans="3:5" ht="15" x14ac:dyDescent="0.25">
      <c r="C5" s="16" t="s">
        <v>9</v>
      </c>
      <c r="D5" s="17"/>
      <c r="E5" s="27">
        <f>IFERROR(SUMIFS(Temp1!$G:$G,Temp1!K:K,'RPT1'!D5,Temp1!B:B,"="&amp;'RPT1'!E1),0)</f>
        <v>0</v>
      </c>
    </row>
    <row r="6" spans="3:5" ht="15" x14ac:dyDescent="0.25">
      <c r="C6" s="19" t="s">
        <v>86</v>
      </c>
      <c r="D6" s="20"/>
      <c r="E6" s="28">
        <f>E7+E8</f>
        <v>0</v>
      </c>
    </row>
    <row r="7" spans="3:5" ht="15" outlineLevel="1" x14ac:dyDescent="0.25">
      <c r="C7" s="10"/>
      <c r="D7" s="13"/>
      <c r="E7" s="29">
        <f>IFERROR(SUMIFS(Temp1!$G:$G,Temp1!C:C,'RPT1'!D7,Temp1!$D:$D,'RPT1'!D3,Temp1!B:B,"="&amp;'RPT1'!E1),0)</f>
        <v>0</v>
      </c>
    </row>
    <row r="8" spans="3:5" ht="15" outlineLevel="1" x14ac:dyDescent="0.25">
      <c r="C8" s="10"/>
      <c r="D8" s="13"/>
      <c r="E8" s="29">
        <f>IFERROR(SUMIFS(Temp1!$G:$G,Temp1!C:C,'RPT1'!D8,Temp1!$D:$D,'RPT1'!D3,Temp1!B:B,"="&amp;'RPT1'!E1),0)</f>
        <v>0</v>
      </c>
    </row>
    <row r="9" spans="3:5" ht="15" x14ac:dyDescent="0.25">
      <c r="C9" s="16" t="s">
        <v>7</v>
      </c>
      <c r="D9" s="17"/>
      <c r="E9" s="27">
        <f>IFERROR(SUMIFS(Temp1!$G:$G,Temp1!I:I,'RPT1'!D9,Temp1!B:B,"="&amp;'RPT1'!E1),0)</f>
        <v>0</v>
      </c>
    </row>
    <row r="10" spans="3:5" ht="15" x14ac:dyDescent="0.25">
      <c r="C10" s="21" t="s">
        <v>92</v>
      </c>
      <c r="D10" s="22"/>
      <c r="E10" s="30">
        <f>E11+E12+E13</f>
        <v>0</v>
      </c>
    </row>
    <row r="11" spans="3:5" ht="15" outlineLevel="1" x14ac:dyDescent="0.25">
      <c r="C11" s="10"/>
      <c r="D11" s="13" t="s">
        <v>81</v>
      </c>
      <c r="E11" s="29">
        <f>IFERROR(SUMIFS(Temp1!$G:$G,Temp1!U:U,'RPT1'!D11,Temp1!B:B,"="&amp;'RPT1'!E1),0)</f>
        <v>0</v>
      </c>
    </row>
    <row r="12" spans="3:5" ht="15" outlineLevel="1" x14ac:dyDescent="0.25">
      <c r="C12" s="10"/>
      <c r="D12" s="13" t="s">
        <v>83</v>
      </c>
      <c r="E12" s="29">
        <f>IFERROR(SUMIFS(Temp1!$G:$G,Temp1!U:U,'RPT1'!D12,Temp1!B:B,"="&amp;'RPT1'!E1),0)</f>
        <v>0</v>
      </c>
    </row>
    <row r="13" spans="3:5" ht="15" outlineLevel="1" x14ac:dyDescent="0.25">
      <c r="C13" s="10"/>
      <c r="D13" s="13" t="s">
        <v>84</v>
      </c>
      <c r="E13" s="29">
        <f>IFERROR(SUMIFS(Temp1!$G:$G,Temp1!U:U,'RPT1'!D13,Temp1!B:B,"="&amp;'RPT1'!E1),0)</f>
        <v>0</v>
      </c>
    </row>
    <row r="14" spans="3:5" ht="15" x14ac:dyDescent="0.25">
      <c r="C14" s="16" t="s">
        <v>6</v>
      </c>
      <c r="D14" s="17"/>
      <c r="E14" s="25">
        <f>IFERROR(SUMIFS(Temp1!H:H,Temp1!B:B,"="&amp;'RPT1'!E1),0)</f>
        <v>0</v>
      </c>
    </row>
    <row r="15" spans="3:5" ht="15" x14ac:dyDescent="0.25">
      <c r="C15" s="21" t="s">
        <v>85</v>
      </c>
      <c r="D15" s="22"/>
      <c r="E15" s="34">
        <f>IFERROR(E14/E3*1000000,0)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tabColor theme="0" tint="-0.34998626667073579"/>
  </sheetPr>
  <dimension ref="A1:N374"/>
  <sheetViews>
    <sheetView topLeftCell="A363" workbookViewId="0">
      <selection activeCell="M28" sqref="M28"/>
    </sheetView>
  </sheetViews>
  <sheetFormatPr defaultRowHeight="15" x14ac:dyDescent="0.25"/>
  <cols>
    <col min="12" max="12" width="4" bestFit="1" customWidth="1"/>
    <col min="13" max="13" width="17" bestFit="1" customWidth="1"/>
  </cols>
  <sheetData>
    <row r="1" spans="1:14" ht="15.75" thickBot="1" x14ac:dyDescent="0.3">
      <c r="A1" s="7" t="s">
        <v>42</v>
      </c>
      <c r="B1" s="7" t="s">
        <v>43</v>
      </c>
      <c r="C1" s="7" t="s">
        <v>44</v>
      </c>
      <c r="D1" s="7" t="s">
        <v>45</v>
      </c>
      <c r="E1" s="7" t="s">
        <v>46</v>
      </c>
      <c r="H1" s="31" t="s">
        <v>94</v>
      </c>
      <c r="I1" t="s">
        <v>95</v>
      </c>
      <c r="J1" t="s">
        <v>96</v>
      </c>
      <c r="L1" t="s">
        <v>96</v>
      </c>
      <c r="M1" t="s">
        <v>9</v>
      </c>
      <c r="N1" t="s">
        <v>91</v>
      </c>
    </row>
    <row r="2" spans="1:14" x14ac:dyDescent="0.25">
      <c r="A2" s="8" t="s">
        <v>47</v>
      </c>
      <c r="B2" s="8" t="s">
        <v>41</v>
      </c>
      <c r="C2" s="9" t="s">
        <v>40</v>
      </c>
      <c r="D2" s="8" t="s">
        <v>40</v>
      </c>
      <c r="E2" s="8">
        <v>50</v>
      </c>
      <c r="H2" t="s">
        <v>97</v>
      </c>
      <c r="J2">
        <v>1</v>
      </c>
      <c r="L2">
        <v>1</v>
      </c>
      <c r="M2" t="s">
        <v>219</v>
      </c>
      <c r="N2" t="s">
        <v>220</v>
      </c>
    </row>
    <row r="3" spans="1:14" x14ac:dyDescent="0.25">
      <c r="A3" s="4" t="s">
        <v>48</v>
      </c>
      <c r="B3" s="4" t="s">
        <v>49</v>
      </c>
      <c r="C3" s="5" t="s">
        <v>40</v>
      </c>
      <c r="D3" s="4" t="s">
        <v>40</v>
      </c>
      <c r="E3" s="4">
        <v>50</v>
      </c>
      <c r="H3" t="s">
        <v>98</v>
      </c>
      <c r="I3" t="s">
        <v>99</v>
      </c>
      <c r="J3">
        <v>2</v>
      </c>
      <c r="L3">
        <v>2</v>
      </c>
      <c r="M3" t="s">
        <v>221</v>
      </c>
      <c r="N3" t="s">
        <v>220</v>
      </c>
    </row>
    <row r="4" spans="1:14" x14ac:dyDescent="0.25">
      <c r="A4" s="2" t="s">
        <v>50</v>
      </c>
      <c r="B4" s="2" t="s">
        <v>51</v>
      </c>
      <c r="C4" s="3" t="s">
        <v>40</v>
      </c>
      <c r="D4" s="2" t="s">
        <v>40</v>
      </c>
      <c r="E4" s="2">
        <v>50</v>
      </c>
      <c r="H4" t="s">
        <v>100</v>
      </c>
      <c r="J4">
        <v>3</v>
      </c>
      <c r="L4">
        <v>3</v>
      </c>
      <c r="M4" t="s">
        <v>222</v>
      </c>
      <c r="N4" t="s">
        <v>220</v>
      </c>
    </row>
    <row r="5" spans="1:14" hidden="1" x14ac:dyDescent="0.25">
      <c r="A5" s="4" t="s">
        <v>56</v>
      </c>
      <c r="B5" s="4" t="s">
        <v>57</v>
      </c>
      <c r="C5" s="5" t="s">
        <v>55</v>
      </c>
      <c r="D5" s="4" t="s">
        <v>55</v>
      </c>
      <c r="E5" s="4">
        <v>50</v>
      </c>
      <c r="H5" t="s">
        <v>88</v>
      </c>
      <c r="I5" t="s">
        <v>101</v>
      </c>
      <c r="J5">
        <v>4</v>
      </c>
      <c r="L5">
        <v>4</v>
      </c>
      <c r="M5" t="s">
        <v>223</v>
      </c>
      <c r="N5" t="s">
        <v>220</v>
      </c>
    </row>
    <row r="6" spans="1:14" hidden="1" x14ac:dyDescent="0.25">
      <c r="A6" s="2" t="s">
        <v>58</v>
      </c>
      <c r="B6" s="2" t="s">
        <v>59</v>
      </c>
      <c r="C6" s="3" t="s">
        <v>55</v>
      </c>
      <c r="D6" s="2" t="s">
        <v>55</v>
      </c>
      <c r="E6" s="2">
        <v>50</v>
      </c>
      <c r="H6" t="s">
        <v>102</v>
      </c>
      <c r="J6">
        <v>5</v>
      </c>
      <c r="L6">
        <v>5</v>
      </c>
      <c r="M6" t="s">
        <v>224</v>
      </c>
      <c r="N6" t="s">
        <v>225</v>
      </c>
    </row>
    <row r="7" spans="1:14" hidden="1" x14ac:dyDescent="0.25">
      <c r="A7" s="6">
        <v>92000</v>
      </c>
      <c r="B7" s="4" t="s">
        <v>72</v>
      </c>
      <c r="C7" s="5" t="s">
        <v>55</v>
      </c>
      <c r="D7" s="4" t="s">
        <v>55</v>
      </c>
      <c r="E7" s="4">
        <v>50</v>
      </c>
      <c r="H7" t="s">
        <v>103</v>
      </c>
      <c r="J7">
        <v>6</v>
      </c>
      <c r="L7">
        <v>6</v>
      </c>
      <c r="M7" t="s">
        <v>226</v>
      </c>
      <c r="N7" t="s">
        <v>225</v>
      </c>
    </row>
    <row r="8" spans="1:14" hidden="1" x14ac:dyDescent="0.25">
      <c r="A8" s="2"/>
      <c r="B8" s="2" t="s">
        <v>78</v>
      </c>
      <c r="C8" s="3" t="s">
        <v>54</v>
      </c>
      <c r="D8" s="2" t="s">
        <v>55</v>
      </c>
      <c r="E8" s="2">
        <v>50</v>
      </c>
      <c r="H8" t="s">
        <v>104</v>
      </c>
      <c r="J8">
        <v>7</v>
      </c>
      <c r="L8">
        <v>7</v>
      </c>
      <c r="M8" t="s">
        <v>227</v>
      </c>
      <c r="N8" t="s">
        <v>225</v>
      </c>
    </row>
    <row r="9" spans="1:14" hidden="1" x14ac:dyDescent="0.25">
      <c r="A9" s="4" t="s">
        <v>52</v>
      </c>
      <c r="B9" s="4" t="s">
        <v>53</v>
      </c>
      <c r="C9" s="5" t="s">
        <v>54</v>
      </c>
      <c r="D9" s="4" t="s">
        <v>55</v>
      </c>
      <c r="E9" s="4">
        <v>10</v>
      </c>
      <c r="H9" t="s">
        <v>105</v>
      </c>
      <c r="J9">
        <v>8</v>
      </c>
      <c r="L9">
        <v>8</v>
      </c>
      <c r="M9" t="s">
        <v>228</v>
      </c>
      <c r="N9" t="s">
        <v>225</v>
      </c>
    </row>
    <row r="10" spans="1:14" hidden="1" x14ac:dyDescent="0.25">
      <c r="A10" s="2" t="s">
        <v>60</v>
      </c>
      <c r="B10" s="2" t="s">
        <v>61</v>
      </c>
      <c r="C10" s="3" t="s">
        <v>54</v>
      </c>
      <c r="D10" s="2" t="s">
        <v>55</v>
      </c>
      <c r="E10" s="2">
        <v>10</v>
      </c>
      <c r="H10" t="s">
        <v>106</v>
      </c>
      <c r="J10">
        <v>9</v>
      </c>
      <c r="L10">
        <v>9</v>
      </c>
      <c r="M10" t="s">
        <v>229</v>
      </c>
      <c r="N10" t="s">
        <v>225</v>
      </c>
    </row>
    <row r="11" spans="1:14" hidden="1" x14ac:dyDescent="0.25">
      <c r="A11" s="4" t="s">
        <v>62</v>
      </c>
      <c r="B11" s="4" t="s">
        <v>63</v>
      </c>
      <c r="C11" s="5" t="s">
        <v>54</v>
      </c>
      <c r="D11" s="4" t="s">
        <v>55</v>
      </c>
      <c r="E11" s="4">
        <v>10</v>
      </c>
      <c r="H11" t="s">
        <v>107</v>
      </c>
      <c r="J11">
        <v>10</v>
      </c>
      <c r="L11">
        <v>10</v>
      </c>
      <c r="M11" t="s">
        <v>230</v>
      </c>
      <c r="N11" t="s">
        <v>225</v>
      </c>
    </row>
    <row r="12" spans="1:14" hidden="1" x14ac:dyDescent="0.25">
      <c r="A12" s="2" t="s">
        <v>64</v>
      </c>
      <c r="B12" s="2" t="s">
        <v>65</v>
      </c>
      <c r="C12" s="3" t="s">
        <v>54</v>
      </c>
      <c r="D12" s="2" t="s">
        <v>55</v>
      </c>
      <c r="E12" s="2">
        <v>10</v>
      </c>
      <c r="H12" t="s">
        <v>108</v>
      </c>
      <c r="I12" t="s">
        <v>109</v>
      </c>
      <c r="J12">
        <v>11</v>
      </c>
      <c r="L12">
        <v>11</v>
      </c>
      <c r="M12" t="s">
        <v>231</v>
      </c>
      <c r="N12" t="s">
        <v>225</v>
      </c>
    </row>
    <row r="13" spans="1:14" hidden="1" x14ac:dyDescent="0.25">
      <c r="A13" s="4" t="s">
        <v>66</v>
      </c>
      <c r="B13" s="4" t="s">
        <v>67</v>
      </c>
      <c r="C13" s="5" t="s">
        <v>54</v>
      </c>
      <c r="D13" s="4" t="s">
        <v>55</v>
      </c>
      <c r="E13" s="4">
        <v>10</v>
      </c>
      <c r="H13" t="s">
        <v>110</v>
      </c>
      <c r="I13" t="s">
        <v>111</v>
      </c>
      <c r="J13">
        <v>12</v>
      </c>
      <c r="L13">
        <v>12</v>
      </c>
      <c r="M13" t="s">
        <v>232</v>
      </c>
      <c r="N13" t="s">
        <v>225</v>
      </c>
    </row>
    <row r="14" spans="1:14" hidden="1" x14ac:dyDescent="0.25">
      <c r="A14" s="2" t="s">
        <v>68</v>
      </c>
      <c r="B14" s="2" t="s">
        <v>69</v>
      </c>
      <c r="C14" s="3" t="s">
        <v>54</v>
      </c>
      <c r="D14" s="2" t="s">
        <v>55</v>
      </c>
      <c r="E14" s="2">
        <v>10</v>
      </c>
      <c r="H14" t="s">
        <v>112</v>
      </c>
      <c r="I14" t="s">
        <v>113</v>
      </c>
      <c r="J14">
        <v>13</v>
      </c>
      <c r="L14">
        <v>13</v>
      </c>
      <c r="M14" t="s">
        <v>233</v>
      </c>
      <c r="N14" t="s">
        <v>225</v>
      </c>
    </row>
    <row r="15" spans="1:14" hidden="1" x14ac:dyDescent="0.25">
      <c r="A15" s="4" t="s">
        <v>70</v>
      </c>
      <c r="B15" s="4" t="s">
        <v>71</v>
      </c>
      <c r="C15" s="5" t="s">
        <v>54</v>
      </c>
      <c r="D15" s="4" t="s">
        <v>55</v>
      </c>
      <c r="E15" s="4">
        <v>10</v>
      </c>
      <c r="H15" t="s">
        <v>87</v>
      </c>
      <c r="J15">
        <v>14</v>
      </c>
      <c r="L15">
        <v>14</v>
      </c>
      <c r="M15" t="s">
        <v>234</v>
      </c>
      <c r="N15" t="s">
        <v>225</v>
      </c>
    </row>
    <row r="16" spans="1:14" hidden="1" x14ac:dyDescent="0.25">
      <c r="A16" s="2" t="s">
        <v>73</v>
      </c>
      <c r="B16" s="2" t="s">
        <v>74</v>
      </c>
      <c r="C16" s="3" t="s">
        <v>75</v>
      </c>
      <c r="D16" s="2" t="s">
        <v>75</v>
      </c>
      <c r="E16" s="2">
        <v>50</v>
      </c>
      <c r="H16" t="s">
        <v>114</v>
      </c>
      <c r="I16" t="s">
        <v>115</v>
      </c>
      <c r="J16">
        <v>15</v>
      </c>
      <c r="L16">
        <v>15</v>
      </c>
      <c r="M16" t="s">
        <v>235</v>
      </c>
      <c r="N16" t="s">
        <v>225</v>
      </c>
    </row>
    <row r="17" spans="1:14" hidden="1" x14ac:dyDescent="0.25">
      <c r="A17" s="4" t="s">
        <v>76</v>
      </c>
      <c r="B17" s="4" t="s">
        <v>77</v>
      </c>
      <c r="C17" s="5" t="s">
        <v>75</v>
      </c>
      <c r="D17" s="4" t="s">
        <v>75</v>
      </c>
      <c r="E17" s="4">
        <v>50</v>
      </c>
      <c r="H17" t="s">
        <v>116</v>
      </c>
      <c r="J17">
        <v>16</v>
      </c>
      <c r="L17">
        <v>16</v>
      </c>
      <c r="M17" t="s">
        <v>236</v>
      </c>
      <c r="N17" t="s">
        <v>225</v>
      </c>
    </row>
    <row r="18" spans="1:14" x14ac:dyDescent="0.25">
      <c r="H18" t="s">
        <v>89</v>
      </c>
      <c r="J18">
        <v>17</v>
      </c>
      <c r="L18">
        <v>17</v>
      </c>
      <c r="M18" t="s">
        <v>237</v>
      </c>
      <c r="N18" t="s">
        <v>225</v>
      </c>
    </row>
    <row r="19" spans="1:14" x14ac:dyDescent="0.25">
      <c r="H19" t="s">
        <v>117</v>
      </c>
      <c r="J19">
        <v>18</v>
      </c>
      <c r="L19">
        <v>18</v>
      </c>
      <c r="M19" t="s">
        <v>238</v>
      </c>
      <c r="N19" t="s">
        <v>225</v>
      </c>
    </row>
    <row r="20" spans="1:14" x14ac:dyDescent="0.25">
      <c r="H20" t="s">
        <v>118</v>
      </c>
      <c r="J20">
        <v>19</v>
      </c>
      <c r="L20">
        <v>19</v>
      </c>
      <c r="M20" t="s">
        <v>239</v>
      </c>
      <c r="N20" t="s">
        <v>225</v>
      </c>
    </row>
    <row r="21" spans="1:14" x14ac:dyDescent="0.25">
      <c r="H21" t="s">
        <v>119</v>
      </c>
      <c r="I21" t="s">
        <v>120</v>
      </c>
      <c r="J21">
        <v>20</v>
      </c>
      <c r="L21">
        <v>20</v>
      </c>
      <c r="M21" t="s">
        <v>240</v>
      </c>
      <c r="N21" t="s">
        <v>241</v>
      </c>
    </row>
    <row r="22" spans="1:14" x14ac:dyDescent="0.25">
      <c r="H22" t="s">
        <v>121</v>
      </c>
      <c r="I22" t="s">
        <v>122</v>
      </c>
      <c r="J22">
        <v>21</v>
      </c>
      <c r="L22">
        <v>21</v>
      </c>
      <c r="M22" t="s">
        <v>242</v>
      </c>
      <c r="N22" t="s">
        <v>241</v>
      </c>
    </row>
    <row r="23" spans="1:14" x14ac:dyDescent="0.25">
      <c r="H23" t="s">
        <v>123</v>
      </c>
      <c r="I23" t="s">
        <v>124</v>
      </c>
      <c r="J23">
        <v>22</v>
      </c>
      <c r="L23">
        <v>22</v>
      </c>
      <c r="M23" t="s">
        <v>243</v>
      </c>
      <c r="N23" t="s">
        <v>241</v>
      </c>
    </row>
    <row r="24" spans="1:14" x14ac:dyDescent="0.25">
      <c r="H24" t="s">
        <v>125</v>
      </c>
      <c r="J24">
        <v>23</v>
      </c>
      <c r="L24">
        <v>23</v>
      </c>
      <c r="M24" t="s">
        <v>244</v>
      </c>
      <c r="N24" t="s">
        <v>241</v>
      </c>
    </row>
    <row r="25" spans="1:14" x14ac:dyDescent="0.25">
      <c r="H25" t="s">
        <v>90</v>
      </c>
      <c r="I25" t="s">
        <v>126</v>
      </c>
      <c r="J25">
        <v>24</v>
      </c>
      <c r="L25">
        <v>24</v>
      </c>
      <c r="M25" t="s">
        <v>245</v>
      </c>
      <c r="N25" t="s">
        <v>241</v>
      </c>
    </row>
    <row r="26" spans="1:14" x14ac:dyDescent="0.25">
      <c r="H26" t="s">
        <v>127</v>
      </c>
      <c r="J26">
        <v>25</v>
      </c>
      <c r="L26">
        <v>25</v>
      </c>
      <c r="M26" t="s">
        <v>246</v>
      </c>
      <c r="N26" t="s">
        <v>241</v>
      </c>
    </row>
    <row r="27" spans="1:14" x14ac:dyDescent="0.25">
      <c r="H27" t="s">
        <v>128</v>
      </c>
      <c r="I27" t="s">
        <v>129</v>
      </c>
      <c r="J27">
        <v>26</v>
      </c>
      <c r="L27">
        <v>26</v>
      </c>
      <c r="M27" t="s">
        <v>247</v>
      </c>
      <c r="N27" t="s">
        <v>241</v>
      </c>
    </row>
    <row r="28" spans="1:14" x14ac:dyDescent="0.25">
      <c r="H28" t="s">
        <v>130</v>
      </c>
      <c r="I28" t="s">
        <v>131</v>
      </c>
      <c r="J28">
        <v>27</v>
      </c>
      <c r="L28">
        <v>27</v>
      </c>
      <c r="M28" t="s">
        <v>248</v>
      </c>
      <c r="N28" t="s">
        <v>241</v>
      </c>
    </row>
    <row r="29" spans="1:14" x14ac:dyDescent="0.25">
      <c r="H29" t="s">
        <v>132</v>
      </c>
      <c r="I29" t="s">
        <v>133</v>
      </c>
      <c r="J29">
        <v>28</v>
      </c>
      <c r="L29">
        <v>28</v>
      </c>
      <c r="M29" t="s">
        <v>249</v>
      </c>
      <c r="N29" t="s">
        <v>241</v>
      </c>
    </row>
    <row r="30" spans="1:14" x14ac:dyDescent="0.25">
      <c r="H30" t="s">
        <v>134</v>
      </c>
      <c r="I30" t="s">
        <v>135</v>
      </c>
      <c r="J30">
        <v>29</v>
      </c>
      <c r="L30">
        <v>29</v>
      </c>
      <c r="M30" t="s">
        <v>250</v>
      </c>
      <c r="N30" t="s">
        <v>193</v>
      </c>
    </row>
    <row r="31" spans="1:14" x14ac:dyDescent="0.25">
      <c r="H31" t="s">
        <v>136</v>
      </c>
      <c r="I31" t="s">
        <v>137</v>
      </c>
      <c r="J31">
        <v>30</v>
      </c>
      <c r="L31">
        <v>30</v>
      </c>
      <c r="M31" t="s">
        <v>251</v>
      </c>
      <c r="N31" t="s">
        <v>193</v>
      </c>
    </row>
    <row r="32" spans="1:14" x14ac:dyDescent="0.25">
      <c r="H32" t="s">
        <v>138</v>
      </c>
      <c r="J32">
        <v>31</v>
      </c>
      <c r="L32">
        <v>31</v>
      </c>
      <c r="M32" t="s">
        <v>252</v>
      </c>
      <c r="N32" t="s">
        <v>193</v>
      </c>
    </row>
    <row r="33" spans="8:14" x14ac:dyDescent="0.25">
      <c r="H33" t="s">
        <v>139</v>
      </c>
      <c r="I33" t="s">
        <v>140</v>
      </c>
      <c r="J33">
        <v>32</v>
      </c>
      <c r="L33">
        <v>32</v>
      </c>
      <c r="M33" t="s">
        <v>253</v>
      </c>
      <c r="N33" t="s">
        <v>193</v>
      </c>
    </row>
    <row r="34" spans="8:14" x14ac:dyDescent="0.25">
      <c r="H34" t="s">
        <v>141</v>
      </c>
      <c r="I34" t="s">
        <v>142</v>
      </c>
      <c r="J34">
        <v>33</v>
      </c>
      <c r="L34">
        <v>33</v>
      </c>
      <c r="M34" t="s">
        <v>254</v>
      </c>
      <c r="N34" t="s">
        <v>193</v>
      </c>
    </row>
    <row r="35" spans="8:14" x14ac:dyDescent="0.25">
      <c r="L35">
        <v>34</v>
      </c>
      <c r="M35" t="s">
        <v>255</v>
      </c>
      <c r="N35" t="s">
        <v>193</v>
      </c>
    </row>
    <row r="36" spans="8:14" x14ac:dyDescent="0.25">
      <c r="L36">
        <v>35</v>
      </c>
      <c r="M36" t="s">
        <v>256</v>
      </c>
      <c r="N36" t="s">
        <v>257</v>
      </c>
    </row>
    <row r="37" spans="8:14" x14ac:dyDescent="0.25">
      <c r="L37">
        <v>36</v>
      </c>
      <c r="M37" t="s">
        <v>258</v>
      </c>
      <c r="N37" t="s">
        <v>257</v>
      </c>
    </row>
    <row r="38" spans="8:14" x14ac:dyDescent="0.25">
      <c r="L38">
        <v>37</v>
      </c>
      <c r="M38" t="s">
        <v>259</v>
      </c>
      <c r="N38" t="s">
        <v>257</v>
      </c>
    </row>
    <row r="39" spans="8:14" x14ac:dyDescent="0.25">
      <c r="L39">
        <v>38</v>
      </c>
      <c r="M39" t="s">
        <v>260</v>
      </c>
      <c r="N39" t="s">
        <v>257</v>
      </c>
    </row>
    <row r="40" spans="8:14" x14ac:dyDescent="0.25">
      <c r="L40">
        <v>39</v>
      </c>
      <c r="M40" t="s">
        <v>261</v>
      </c>
      <c r="N40" t="s">
        <v>257</v>
      </c>
    </row>
    <row r="41" spans="8:14" x14ac:dyDescent="0.25">
      <c r="L41">
        <v>40</v>
      </c>
      <c r="M41" t="s">
        <v>262</v>
      </c>
      <c r="N41" t="s">
        <v>263</v>
      </c>
    </row>
    <row r="42" spans="8:14" x14ac:dyDescent="0.25">
      <c r="L42">
        <v>41</v>
      </c>
      <c r="M42" t="s">
        <v>264</v>
      </c>
      <c r="N42" t="s">
        <v>265</v>
      </c>
    </row>
    <row r="43" spans="8:14" x14ac:dyDescent="0.25">
      <c r="L43">
        <v>42</v>
      </c>
      <c r="M43" t="s">
        <v>266</v>
      </c>
      <c r="N43" t="s">
        <v>265</v>
      </c>
    </row>
    <row r="44" spans="8:14" x14ac:dyDescent="0.25">
      <c r="L44">
        <v>43</v>
      </c>
      <c r="M44" t="s">
        <v>267</v>
      </c>
      <c r="N44" t="s">
        <v>265</v>
      </c>
    </row>
    <row r="45" spans="8:14" x14ac:dyDescent="0.25">
      <c r="L45">
        <v>44</v>
      </c>
      <c r="M45" t="s">
        <v>268</v>
      </c>
      <c r="N45" t="s">
        <v>265</v>
      </c>
    </row>
    <row r="46" spans="8:14" x14ac:dyDescent="0.25">
      <c r="L46">
        <v>45</v>
      </c>
      <c r="M46" t="s">
        <v>269</v>
      </c>
      <c r="N46" t="s">
        <v>265</v>
      </c>
    </row>
    <row r="47" spans="8:14" x14ac:dyDescent="0.25">
      <c r="L47">
        <v>46</v>
      </c>
      <c r="M47" t="s">
        <v>270</v>
      </c>
      <c r="N47" t="s">
        <v>265</v>
      </c>
    </row>
    <row r="48" spans="8:14" x14ac:dyDescent="0.25">
      <c r="L48">
        <v>47</v>
      </c>
      <c r="M48" t="s">
        <v>271</v>
      </c>
      <c r="N48" t="s">
        <v>272</v>
      </c>
    </row>
    <row r="49" spans="12:14" x14ac:dyDescent="0.25">
      <c r="L49">
        <v>48</v>
      </c>
      <c r="M49" t="s">
        <v>273</v>
      </c>
      <c r="N49" t="s">
        <v>272</v>
      </c>
    </row>
    <row r="50" spans="12:14" x14ac:dyDescent="0.25">
      <c r="L50">
        <v>49</v>
      </c>
      <c r="M50" t="s">
        <v>274</v>
      </c>
      <c r="N50" t="s">
        <v>272</v>
      </c>
    </row>
    <row r="51" spans="12:14" x14ac:dyDescent="0.25">
      <c r="L51">
        <v>50</v>
      </c>
      <c r="M51" t="s">
        <v>275</v>
      </c>
      <c r="N51" t="s">
        <v>272</v>
      </c>
    </row>
    <row r="52" spans="12:14" x14ac:dyDescent="0.25">
      <c r="L52">
        <v>51</v>
      </c>
      <c r="M52" t="s">
        <v>276</v>
      </c>
      <c r="N52" t="s">
        <v>272</v>
      </c>
    </row>
    <row r="53" spans="12:14" x14ac:dyDescent="0.25">
      <c r="L53">
        <v>52</v>
      </c>
      <c r="M53" t="s">
        <v>277</v>
      </c>
      <c r="N53" t="s">
        <v>272</v>
      </c>
    </row>
    <row r="54" spans="12:14" x14ac:dyDescent="0.25">
      <c r="L54">
        <v>53</v>
      </c>
      <c r="M54" t="s">
        <v>278</v>
      </c>
      <c r="N54" t="s">
        <v>272</v>
      </c>
    </row>
    <row r="55" spans="12:14" x14ac:dyDescent="0.25">
      <c r="L55">
        <v>54</v>
      </c>
      <c r="M55" t="s">
        <v>279</v>
      </c>
      <c r="N55" t="s">
        <v>272</v>
      </c>
    </row>
    <row r="56" spans="12:14" x14ac:dyDescent="0.25">
      <c r="L56">
        <v>55</v>
      </c>
      <c r="M56" t="s">
        <v>280</v>
      </c>
      <c r="N56" t="s">
        <v>272</v>
      </c>
    </row>
    <row r="57" spans="12:14" x14ac:dyDescent="0.25">
      <c r="L57">
        <v>56</v>
      </c>
      <c r="M57" t="s">
        <v>281</v>
      </c>
      <c r="N57" t="s">
        <v>272</v>
      </c>
    </row>
    <row r="58" spans="12:14" x14ac:dyDescent="0.25">
      <c r="L58">
        <v>57</v>
      </c>
      <c r="M58" t="s">
        <v>282</v>
      </c>
      <c r="N58" t="s">
        <v>272</v>
      </c>
    </row>
    <row r="59" spans="12:14" x14ac:dyDescent="0.25">
      <c r="L59">
        <v>58</v>
      </c>
      <c r="M59" t="s">
        <v>283</v>
      </c>
      <c r="N59" t="s">
        <v>272</v>
      </c>
    </row>
    <row r="60" spans="12:14" x14ac:dyDescent="0.25">
      <c r="L60">
        <v>59</v>
      </c>
      <c r="M60" t="s">
        <v>284</v>
      </c>
      <c r="N60" t="s">
        <v>272</v>
      </c>
    </row>
    <row r="61" spans="12:14" x14ac:dyDescent="0.25">
      <c r="L61">
        <v>60</v>
      </c>
      <c r="M61" t="s">
        <v>285</v>
      </c>
      <c r="N61" t="s">
        <v>286</v>
      </c>
    </row>
    <row r="62" spans="12:14" x14ac:dyDescent="0.25">
      <c r="L62">
        <v>61</v>
      </c>
      <c r="M62" t="s">
        <v>287</v>
      </c>
      <c r="N62" t="s">
        <v>286</v>
      </c>
    </row>
    <row r="63" spans="12:14" x14ac:dyDescent="0.25">
      <c r="L63">
        <v>62</v>
      </c>
      <c r="M63" t="s">
        <v>288</v>
      </c>
      <c r="N63" t="s">
        <v>286</v>
      </c>
    </row>
    <row r="64" spans="12:14" x14ac:dyDescent="0.25">
      <c r="L64">
        <v>63</v>
      </c>
      <c r="M64" t="s">
        <v>289</v>
      </c>
      <c r="N64" t="s">
        <v>286</v>
      </c>
    </row>
    <row r="65" spans="12:14" x14ac:dyDescent="0.25">
      <c r="L65">
        <v>64</v>
      </c>
      <c r="M65" t="s">
        <v>290</v>
      </c>
      <c r="N65" t="s">
        <v>291</v>
      </c>
    </row>
    <row r="66" spans="12:14" x14ac:dyDescent="0.25">
      <c r="L66">
        <v>65</v>
      </c>
      <c r="M66" t="s">
        <v>292</v>
      </c>
      <c r="N66" t="s">
        <v>291</v>
      </c>
    </row>
    <row r="67" spans="12:14" x14ac:dyDescent="0.25">
      <c r="L67">
        <v>66</v>
      </c>
      <c r="M67" t="s">
        <v>293</v>
      </c>
      <c r="N67" t="s">
        <v>291</v>
      </c>
    </row>
    <row r="68" spans="12:14" x14ac:dyDescent="0.25">
      <c r="L68">
        <v>67</v>
      </c>
      <c r="M68" t="s">
        <v>294</v>
      </c>
      <c r="N68" t="s">
        <v>291</v>
      </c>
    </row>
    <row r="69" spans="12:14" x14ac:dyDescent="0.25">
      <c r="L69">
        <v>68</v>
      </c>
      <c r="M69" t="s">
        <v>295</v>
      </c>
      <c r="N69" t="s">
        <v>291</v>
      </c>
    </row>
    <row r="70" spans="12:14" x14ac:dyDescent="0.25">
      <c r="L70">
        <v>69</v>
      </c>
      <c r="M70" t="s">
        <v>296</v>
      </c>
      <c r="N70" t="s">
        <v>291</v>
      </c>
    </row>
    <row r="71" spans="12:14" x14ac:dyDescent="0.25">
      <c r="L71">
        <v>70</v>
      </c>
      <c r="M71" t="s">
        <v>297</v>
      </c>
      <c r="N71" t="s">
        <v>298</v>
      </c>
    </row>
    <row r="72" spans="12:14" x14ac:dyDescent="0.25">
      <c r="L72">
        <v>71</v>
      </c>
      <c r="M72" t="s">
        <v>299</v>
      </c>
      <c r="N72" t="s">
        <v>298</v>
      </c>
    </row>
    <row r="73" spans="12:14" x14ac:dyDescent="0.25">
      <c r="L73">
        <v>72</v>
      </c>
      <c r="M73" t="s">
        <v>300</v>
      </c>
      <c r="N73" t="s">
        <v>298</v>
      </c>
    </row>
    <row r="74" spans="12:14" x14ac:dyDescent="0.25">
      <c r="L74">
        <v>73</v>
      </c>
      <c r="M74" t="s">
        <v>301</v>
      </c>
      <c r="N74" t="s">
        <v>192</v>
      </c>
    </row>
    <row r="75" spans="12:14" x14ac:dyDescent="0.25">
      <c r="L75">
        <v>74</v>
      </c>
      <c r="M75" t="s">
        <v>302</v>
      </c>
      <c r="N75" t="s">
        <v>192</v>
      </c>
    </row>
    <row r="76" spans="12:14" x14ac:dyDescent="0.25">
      <c r="L76">
        <v>75</v>
      </c>
      <c r="M76" t="s">
        <v>303</v>
      </c>
      <c r="N76" t="s">
        <v>192</v>
      </c>
    </row>
    <row r="77" spans="12:14" x14ac:dyDescent="0.25">
      <c r="L77">
        <v>76</v>
      </c>
      <c r="M77" t="s">
        <v>304</v>
      </c>
      <c r="N77" t="s">
        <v>192</v>
      </c>
    </row>
    <row r="78" spans="12:14" x14ac:dyDescent="0.25">
      <c r="L78">
        <v>77</v>
      </c>
      <c r="M78" t="s">
        <v>305</v>
      </c>
      <c r="N78" t="s">
        <v>192</v>
      </c>
    </row>
    <row r="79" spans="12:14" x14ac:dyDescent="0.25">
      <c r="L79">
        <v>78</v>
      </c>
      <c r="M79" t="s">
        <v>306</v>
      </c>
      <c r="N79" t="s">
        <v>192</v>
      </c>
    </row>
    <row r="80" spans="12:14" x14ac:dyDescent="0.25">
      <c r="L80">
        <v>79</v>
      </c>
      <c r="M80" t="s">
        <v>307</v>
      </c>
      <c r="N80" t="s">
        <v>192</v>
      </c>
    </row>
    <row r="81" spans="12:14" x14ac:dyDescent="0.25">
      <c r="L81">
        <v>80</v>
      </c>
      <c r="M81" t="s">
        <v>308</v>
      </c>
      <c r="N81" t="s">
        <v>192</v>
      </c>
    </row>
    <row r="82" spans="12:14" x14ac:dyDescent="0.25">
      <c r="L82">
        <v>81</v>
      </c>
      <c r="M82" t="s">
        <v>309</v>
      </c>
      <c r="N82" t="s">
        <v>192</v>
      </c>
    </row>
    <row r="83" spans="12:14" x14ac:dyDescent="0.25">
      <c r="L83">
        <v>82</v>
      </c>
      <c r="M83" t="s">
        <v>310</v>
      </c>
      <c r="N83" t="s">
        <v>311</v>
      </c>
    </row>
    <row r="84" spans="12:14" x14ac:dyDescent="0.25">
      <c r="L84">
        <v>83</v>
      </c>
      <c r="M84" t="s">
        <v>312</v>
      </c>
      <c r="N84" t="s">
        <v>311</v>
      </c>
    </row>
    <row r="85" spans="12:14" x14ac:dyDescent="0.25">
      <c r="L85">
        <v>84</v>
      </c>
      <c r="M85" t="s">
        <v>313</v>
      </c>
      <c r="N85" t="s">
        <v>311</v>
      </c>
    </row>
    <row r="86" spans="12:14" x14ac:dyDescent="0.25">
      <c r="L86">
        <v>85</v>
      </c>
      <c r="M86" t="s">
        <v>314</v>
      </c>
      <c r="N86" t="s">
        <v>311</v>
      </c>
    </row>
    <row r="87" spans="12:14" x14ac:dyDescent="0.25">
      <c r="L87">
        <v>86</v>
      </c>
      <c r="M87" t="s">
        <v>315</v>
      </c>
      <c r="N87" t="s">
        <v>311</v>
      </c>
    </row>
    <row r="88" spans="12:14" x14ac:dyDescent="0.25">
      <c r="L88">
        <v>87</v>
      </c>
      <c r="M88" t="s">
        <v>316</v>
      </c>
      <c r="N88" t="s">
        <v>311</v>
      </c>
    </row>
    <row r="89" spans="12:14" x14ac:dyDescent="0.25">
      <c r="L89">
        <v>88</v>
      </c>
      <c r="M89" t="s">
        <v>317</v>
      </c>
      <c r="N89" t="s">
        <v>311</v>
      </c>
    </row>
    <row r="90" spans="12:14" x14ac:dyDescent="0.25">
      <c r="L90">
        <v>89</v>
      </c>
      <c r="M90" t="s">
        <v>318</v>
      </c>
      <c r="N90" t="s">
        <v>311</v>
      </c>
    </row>
    <row r="91" spans="12:14" x14ac:dyDescent="0.25">
      <c r="L91">
        <v>90</v>
      </c>
      <c r="M91" t="s">
        <v>319</v>
      </c>
      <c r="N91" t="s">
        <v>311</v>
      </c>
    </row>
    <row r="92" spans="12:14" x14ac:dyDescent="0.25">
      <c r="L92">
        <v>91</v>
      </c>
      <c r="M92" t="s">
        <v>320</v>
      </c>
      <c r="N92" t="s">
        <v>311</v>
      </c>
    </row>
    <row r="93" spans="12:14" x14ac:dyDescent="0.25">
      <c r="L93">
        <v>92</v>
      </c>
      <c r="M93" t="s">
        <v>321</v>
      </c>
      <c r="N93" t="s">
        <v>311</v>
      </c>
    </row>
    <row r="94" spans="12:14" x14ac:dyDescent="0.25">
      <c r="L94">
        <v>93</v>
      </c>
      <c r="M94" t="s">
        <v>322</v>
      </c>
      <c r="N94" t="s">
        <v>311</v>
      </c>
    </row>
    <row r="95" spans="12:14" x14ac:dyDescent="0.25">
      <c r="L95">
        <v>94</v>
      </c>
      <c r="M95" t="s">
        <v>323</v>
      </c>
      <c r="N95" t="s">
        <v>311</v>
      </c>
    </row>
    <row r="96" spans="12:14" x14ac:dyDescent="0.25">
      <c r="L96">
        <v>95</v>
      </c>
      <c r="M96" t="s">
        <v>324</v>
      </c>
      <c r="N96" t="s">
        <v>311</v>
      </c>
    </row>
    <row r="97" spans="12:14" x14ac:dyDescent="0.25">
      <c r="L97">
        <v>96</v>
      </c>
      <c r="M97" t="s">
        <v>325</v>
      </c>
      <c r="N97" t="s">
        <v>311</v>
      </c>
    </row>
    <row r="98" spans="12:14" x14ac:dyDescent="0.25">
      <c r="L98">
        <v>97</v>
      </c>
      <c r="M98" t="s">
        <v>326</v>
      </c>
      <c r="N98" t="s">
        <v>311</v>
      </c>
    </row>
    <row r="99" spans="12:14" x14ac:dyDescent="0.25">
      <c r="L99">
        <v>98</v>
      </c>
      <c r="M99" t="s">
        <v>327</v>
      </c>
      <c r="N99" t="s">
        <v>328</v>
      </c>
    </row>
    <row r="100" spans="12:14" x14ac:dyDescent="0.25">
      <c r="L100">
        <v>99</v>
      </c>
      <c r="M100" t="s">
        <v>329</v>
      </c>
      <c r="N100" t="s">
        <v>328</v>
      </c>
    </row>
    <row r="101" spans="12:14" x14ac:dyDescent="0.25">
      <c r="L101">
        <v>100</v>
      </c>
      <c r="M101" t="s">
        <v>330</v>
      </c>
      <c r="N101" t="s">
        <v>328</v>
      </c>
    </row>
    <row r="102" spans="12:14" x14ac:dyDescent="0.25">
      <c r="L102">
        <v>101</v>
      </c>
      <c r="M102" t="s">
        <v>331</v>
      </c>
      <c r="N102" t="s">
        <v>328</v>
      </c>
    </row>
    <row r="103" spans="12:14" x14ac:dyDescent="0.25">
      <c r="L103">
        <v>102</v>
      </c>
      <c r="M103" t="s">
        <v>332</v>
      </c>
      <c r="N103" t="s">
        <v>328</v>
      </c>
    </row>
    <row r="104" spans="12:14" x14ac:dyDescent="0.25">
      <c r="L104">
        <v>103</v>
      </c>
      <c r="M104" t="s">
        <v>333</v>
      </c>
      <c r="N104" t="s">
        <v>328</v>
      </c>
    </row>
    <row r="105" spans="12:14" x14ac:dyDescent="0.25">
      <c r="L105">
        <v>104</v>
      </c>
      <c r="M105" t="s">
        <v>334</v>
      </c>
      <c r="N105" t="s">
        <v>328</v>
      </c>
    </row>
    <row r="106" spans="12:14" x14ac:dyDescent="0.25">
      <c r="L106">
        <v>105</v>
      </c>
      <c r="M106" t="s">
        <v>335</v>
      </c>
      <c r="N106" t="s">
        <v>336</v>
      </c>
    </row>
    <row r="107" spans="12:14" x14ac:dyDescent="0.25">
      <c r="L107">
        <v>106</v>
      </c>
      <c r="M107" t="s">
        <v>337</v>
      </c>
      <c r="N107" t="s">
        <v>338</v>
      </c>
    </row>
    <row r="108" spans="12:14" x14ac:dyDescent="0.25">
      <c r="L108">
        <v>107</v>
      </c>
      <c r="M108" t="s">
        <v>339</v>
      </c>
      <c r="N108" t="s">
        <v>340</v>
      </c>
    </row>
    <row r="109" spans="12:14" x14ac:dyDescent="0.25">
      <c r="L109">
        <v>108</v>
      </c>
      <c r="M109" t="s">
        <v>341</v>
      </c>
      <c r="N109" t="s">
        <v>340</v>
      </c>
    </row>
    <row r="110" spans="12:14" x14ac:dyDescent="0.25">
      <c r="L110">
        <v>109</v>
      </c>
      <c r="M110" t="s">
        <v>342</v>
      </c>
      <c r="N110" t="s">
        <v>340</v>
      </c>
    </row>
    <row r="111" spans="12:14" x14ac:dyDescent="0.25">
      <c r="L111">
        <v>110</v>
      </c>
      <c r="M111" t="s">
        <v>343</v>
      </c>
      <c r="N111" t="s">
        <v>340</v>
      </c>
    </row>
    <row r="112" spans="12:14" x14ac:dyDescent="0.25">
      <c r="L112">
        <v>111</v>
      </c>
      <c r="M112" t="s">
        <v>344</v>
      </c>
      <c r="N112" t="s">
        <v>340</v>
      </c>
    </row>
    <row r="113" spans="12:14" x14ac:dyDescent="0.25">
      <c r="L113">
        <v>112</v>
      </c>
      <c r="M113" t="s">
        <v>345</v>
      </c>
      <c r="N113" t="s">
        <v>202</v>
      </c>
    </row>
    <row r="114" spans="12:14" x14ac:dyDescent="0.25">
      <c r="L114">
        <v>113</v>
      </c>
      <c r="M114" t="s">
        <v>346</v>
      </c>
      <c r="N114" t="s">
        <v>202</v>
      </c>
    </row>
    <row r="115" spans="12:14" x14ac:dyDescent="0.25">
      <c r="L115">
        <v>114</v>
      </c>
      <c r="M115" t="s">
        <v>347</v>
      </c>
      <c r="N115" t="s">
        <v>202</v>
      </c>
    </row>
    <row r="116" spans="12:14" x14ac:dyDescent="0.25">
      <c r="L116">
        <v>115</v>
      </c>
      <c r="M116" t="s">
        <v>348</v>
      </c>
      <c r="N116" t="s">
        <v>202</v>
      </c>
    </row>
    <row r="117" spans="12:14" x14ac:dyDescent="0.25">
      <c r="L117">
        <v>116</v>
      </c>
      <c r="M117" t="s">
        <v>349</v>
      </c>
      <c r="N117" t="s">
        <v>202</v>
      </c>
    </row>
    <row r="118" spans="12:14" x14ac:dyDescent="0.25">
      <c r="L118">
        <v>117</v>
      </c>
      <c r="M118" t="s">
        <v>350</v>
      </c>
      <c r="N118" t="s">
        <v>202</v>
      </c>
    </row>
    <row r="119" spans="12:14" x14ac:dyDescent="0.25">
      <c r="L119">
        <v>118</v>
      </c>
      <c r="M119" t="s">
        <v>351</v>
      </c>
      <c r="N119" t="s">
        <v>352</v>
      </c>
    </row>
    <row r="120" spans="12:14" x14ac:dyDescent="0.25">
      <c r="L120">
        <v>119</v>
      </c>
      <c r="M120" t="s">
        <v>353</v>
      </c>
      <c r="N120" t="s">
        <v>216</v>
      </c>
    </row>
    <row r="121" spans="12:14" x14ac:dyDescent="0.25">
      <c r="L121">
        <v>120</v>
      </c>
      <c r="M121" t="s">
        <v>354</v>
      </c>
      <c r="N121" t="s">
        <v>216</v>
      </c>
    </row>
    <row r="122" spans="12:14" x14ac:dyDescent="0.25">
      <c r="L122">
        <v>121</v>
      </c>
      <c r="M122" t="s">
        <v>355</v>
      </c>
      <c r="N122" t="s">
        <v>216</v>
      </c>
    </row>
    <row r="123" spans="12:14" x14ac:dyDescent="0.25">
      <c r="L123">
        <v>122</v>
      </c>
      <c r="M123" t="s">
        <v>356</v>
      </c>
      <c r="N123" t="s">
        <v>216</v>
      </c>
    </row>
    <row r="124" spans="12:14" x14ac:dyDescent="0.25">
      <c r="L124">
        <v>123</v>
      </c>
      <c r="M124" t="s">
        <v>357</v>
      </c>
      <c r="N124" t="s">
        <v>216</v>
      </c>
    </row>
    <row r="125" spans="12:14" x14ac:dyDescent="0.25">
      <c r="L125">
        <v>124</v>
      </c>
      <c r="M125" t="s">
        <v>358</v>
      </c>
      <c r="N125" t="s">
        <v>359</v>
      </c>
    </row>
    <row r="126" spans="12:14" x14ac:dyDescent="0.25">
      <c r="L126">
        <v>125</v>
      </c>
      <c r="M126" t="s">
        <v>360</v>
      </c>
      <c r="N126" t="s">
        <v>359</v>
      </c>
    </row>
    <row r="127" spans="12:14" x14ac:dyDescent="0.25">
      <c r="L127">
        <v>126</v>
      </c>
      <c r="M127" t="s">
        <v>361</v>
      </c>
      <c r="N127" t="s">
        <v>359</v>
      </c>
    </row>
    <row r="128" spans="12:14" x14ac:dyDescent="0.25">
      <c r="L128">
        <v>127</v>
      </c>
      <c r="M128" t="s">
        <v>362</v>
      </c>
      <c r="N128" t="s">
        <v>359</v>
      </c>
    </row>
    <row r="129" spans="12:14" x14ac:dyDescent="0.25">
      <c r="L129">
        <v>128</v>
      </c>
      <c r="M129" t="s">
        <v>363</v>
      </c>
      <c r="N129" t="s">
        <v>359</v>
      </c>
    </row>
    <row r="130" spans="12:14" x14ac:dyDescent="0.25">
      <c r="L130">
        <v>129</v>
      </c>
      <c r="M130" t="s">
        <v>364</v>
      </c>
      <c r="N130" t="s">
        <v>359</v>
      </c>
    </row>
    <row r="131" spans="12:14" x14ac:dyDescent="0.25">
      <c r="L131">
        <v>130</v>
      </c>
      <c r="M131" t="s">
        <v>365</v>
      </c>
      <c r="N131" t="s">
        <v>359</v>
      </c>
    </row>
    <row r="132" spans="12:14" x14ac:dyDescent="0.25">
      <c r="L132">
        <v>131</v>
      </c>
      <c r="M132" t="s">
        <v>366</v>
      </c>
      <c r="N132" t="s">
        <v>359</v>
      </c>
    </row>
    <row r="133" spans="12:14" x14ac:dyDescent="0.25">
      <c r="L133">
        <v>132</v>
      </c>
      <c r="M133" t="s">
        <v>367</v>
      </c>
      <c r="N133" t="s">
        <v>359</v>
      </c>
    </row>
    <row r="134" spans="12:14" x14ac:dyDescent="0.25">
      <c r="L134">
        <v>133</v>
      </c>
      <c r="M134" t="s">
        <v>368</v>
      </c>
      <c r="N134" t="s">
        <v>359</v>
      </c>
    </row>
    <row r="135" spans="12:14" x14ac:dyDescent="0.25">
      <c r="L135">
        <v>134</v>
      </c>
      <c r="M135" t="s">
        <v>369</v>
      </c>
      <c r="N135" t="s">
        <v>370</v>
      </c>
    </row>
    <row r="136" spans="12:14" x14ac:dyDescent="0.25">
      <c r="L136">
        <v>135</v>
      </c>
      <c r="M136" t="s">
        <v>371</v>
      </c>
      <c r="N136" t="s">
        <v>370</v>
      </c>
    </row>
    <row r="137" spans="12:14" x14ac:dyDescent="0.25">
      <c r="L137">
        <v>136</v>
      </c>
      <c r="M137" t="s">
        <v>372</v>
      </c>
      <c r="N137" t="s">
        <v>373</v>
      </c>
    </row>
    <row r="138" spans="12:14" x14ac:dyDescent="0.25">
      <c r="L138">
        <v>137</v>
      </c>
      <c r="M138" t="s">
        <v>374</v>
      </c>
    </row>
    <row r="139" spans="12:14" x14ac:dyDescent="0.25">
      <c r="L139">
        <v>138</v>
      </c>
      <c r="M139" t="s">
        <v>375</v>
      </c>
      <c r="N139" t="s">
        <v>376</v>
      </c>
    </row>
    <row r="140" spans="12:14" x14ac:dyDescent="0.25">
      <c r="L140">
        <v>139</v>
      </c>
      <c r="M140" t="s">
        <v>377</v>
      </c>
      <c r="N140" t="s">
        <v>200</v>
      </c>
    </row>
    <row r="141" spans="12:14" x14ac:dyDescent="0.25">
      <c r="L141">
        <v>140</v>
      </c>
      <c r="M141" t="s">
        <v>378</v>
      </c>
      <c r="N141" t="s">
        <v>200</v>
      </c>
    </row>
    <row r="142" spans="12:14" x14ac:dyDescent="0.25">
      <c r="L142">
        <v>141</v>
      </c>
      <c r="M142" t="s">
        <v>379</v>
      </c>
      <c r="N142" t="s">
        <v>200</v>
      </c>
    </row>
    <row r="143" spans="12:14" x14ac:dyDescent="0.25">
      <c r="L143">
        <v>142</v>
      </c>
      <c r="M143" t="s">
        <v>380</v>
      </c>
      <c r="N143" t="s">
        <v>200</v>
      </c>
    </row>
    <row r="144" spans="12:14" x14ac:dyDescent="0.25">
      <c r="L144">
        <v>143</v>
      </c>
      <c r="M144" t="s">
        <v>381</v>
      </c>
      <c r="N144" t="s">
        <v>200</v>
      </c>
    </row>
    <row r="145" spans="12:14" x14ac:dyDescent="0.25">
      <c r="L145">
        <v>144</v>
      </c>
      <c r="M145" t="s">
        <v>382</v>
      </c>
      <c r="N145" t="s">
        <v>200</v>
      </c>
    </row>
    <row r="146" spans="12:14" x14ac:dyDescent="0.25">
      <c r="L146">
        <v>145</v>
      </c>
      <c r="M146" t="s">
        <v>383</v>
      </c>
      <c r="N146" t="s">
        <v>200</v>
      </c>
    </row>
    <row r="147" spans="12:14" x14ac:dyDescent="0.25">
      <c r="L147">
        <v>146</v>
      </c>
      <c r="M147" t="s">
        <v>384</v>
      </c>
      <c r="N147" t="s">
        <v>385</v>
      </c>
    </row>
    <row r="148" spans="12:14" x14ac:dyDescent="0.25">
      <c r="L148">
        <v>147</v>
      </c>
      <c r="M148" t="s">
        <v>386</v>
      </c>
      <c r="N148" t="s">
        <v>385</v>
      </c>
    </row>
    <row r="149" spans="12:14" x14ac:dyDescent="0.25">
      <c r="L149">
        <v>148</v>
      </c>
      <c r="M149" t="s">
        <v>387</v>
      </c>
      <c r="N149" t="s">
        <v>385</v>
      </c>
    </row>
    <row r="150" spans="12:14" x14ac:dyDescent="0.25">
      <c r="L150">
        <v>149</v>
      </c>
      <c r="M150" t="s">
        <v>388</v>
      </c>
      <c r="N150" t="s">
        <v>385</v>
      </c>
    </row>
    <row r="151" spans="12:14" x14ac:dyDescent="0.25">
      <c r="L151">
        <v>150</v>
      </c>
      <c r="M151" t="s">
        <v>389</v>
      </c>
      <c r="N151" t="s">
        <v>385</v>
      </c>
    </row>
    <row r="152" spans="12:14" x14ac:dyDescent="0.25">
      <c r="L152">
        <v>151</v>
      </c>
      <c r="M152" t="s">
        <v>390</v>
      </c>
      <c r="N152" t="s">
        <v>385</v>
      </c>
    </row>
    <row r="153" spans="12:14" x14ac:dyDescent="0.25">
      <c r="L153">
        <v>152</v>
      </c>
      <c r="M153" t="s">
        <v>391</v>
      </c>
      <c r="N153" t="s">
        <v>385</v>
      </c>
    </row>
    <row r="154" spans="12:14" x14ac:dyDescent="0.25">
      <c r="L154">
        <v>153</v>
      </c>
      <c r="M154" t="s">
        <v>392</v>
      </c>
      <c r="N154" t="s">
        <v>385</v>
      </c>
    </row>
    <row r="155" spans="12:14" x14ac:dyDescent="0.25">
      <c r="L155">
        <v>154</v>
      </c>
      <c r="M155" t="s">
        <v>393</v>
      </c>
      <c r="N155" t="s">
        <v>394</v>
      </c>
    </row>
    <row r="156" spans="12:14" x14ac:dyDescent="0.25">
      <c r="L156">
        <v>155</v>
      </c>
      <c r="M156" t="s">
        <v>395</v>
      </c>
      <c r="N156" t="s">
        <v>199</v>
      </c>
    </row>
    <row r="157" spans="12:14" x14ac:dyDescent="0.25">
      <c r="L157">
        <v>156</v>
      </c>
      <c r="M157" t="s">
        <v>396</v>
      </c>
      <c r="N157" t="s">
        <v>199</v>
      </c>
    </row>
    <row r="158" spans="12:14" x14ac:dyDescent="0.25">
      <c r="L158">
        <v>157</v>
      </c>
      <c r="M158" t="s">
        <v>397</v>
      </c>
      <c r="N158" t="s">
        <v>199</v>
      </c>
    </row>
    <row r="159" spans="12:14" x14ac:dyDescent="0.25">
      <c r="L159">
        <v>158</v>
      </c>
      <c r="M159" t="s">
        <v>398</v>
      </c>
      <c r="N159" t="s">
        <v>199</v>
      </c>
    </row>
    <row r="160" spans="12:14" x14ac:dyDescent="0.25">
      <c r="L160">
        <v>159</v>
      </c>
      <c r="M160" t="s">
        <v>399</v>
      </c>
      <c r="N160" t="s">
        <v>400</v>
      </c>
    </row>
    <row r="161" spans="12:14" x14ac:dyDescent="0.25">
      <c r="L161">
        <v>160</v>
      </c>
      <c r="M161" t="s">
        <v>401</v>
      </c>
      <c r="N161" t="s">
        <v>402</v>
      </c>
    </row>
    <row r="162" spans="12:14" x14ac:dyDescent="0.25">
      <c r="L162">
        <v>161</v>
      </c>
      <c r="M162" t="s">
        <v>403</v>
      </c>
      <c r="N162" t="s">
        <v>402</v>
      </c>
    </row>
    <row r="163" spans="12:14" x14ac:dyDescent="0.25">
      <c r="L163">
        <v>162</v>
      </c>
      <c r="M163" t="s">
        <v>404</v>
      </c>
      <c r="N163" t="s">
        <v>402</v>
      </c>
    </row>
    <row r="164" spans="12:14" x14ac:dyDescent="0.25">
      <c r="L164">
        <v>163</v>
      </c>
      <c r="M164" t="s">
        <v>405</v>
      </c>
      <c r="N164" t="s">
        <v>402</v>
      </c>
    </row>
    <row r="165" spans="12:14" x14ac:dyDescent="0.25">
      <c r="L165">
        <v>164</v>
      </c>
      <c r="M165" t="s">
        <v>406</v>
      </c>
      <c r="N165" t="s">
        <v>402</v>
      </c>
    </row>
    <row r="166" spans="12:14" x14ac:dyDescent="0.25">
      <c r="L166">
        <v>165</v>
      </c>
      <c r="M166" t="s">
        <v>407</v>
      </c>
      <c r="N166" t="s">
        <v>402</v>
      </c>
    </row>
    <row r="167" spans="12:14" x14ac:dyDescent="0.25">
      <c r="L167">
        <v>166</v>
      </c>
      <c r="M167" t="s">
        <v>408</v>
      </c>
      <c r="N167" t="s">
        <v>402</v>
      </c>
    </row>
    <row r="168" spans="12:14" x14ac:dyDescent="0.25">
      <c r="L168">
        <v>167</v>
      </c>
      <c r="M168" t="s">
        <v>409</v>
      </c>
      <c r="N168" t="s">
        <v>402</v>
      </c>
    </row>
    <row r="169" spans="12:14" x14ac:dyDescent="0.25">
      <c r="L169">
        <v>168</v>
      </c>
      <c r="M169" t="s">
        <v>410</v>
      </c>
      <c r="N169" t="s">
        <v>402</v>
      </c>
    </row>
    <row r="170" spans="12:14" x14ac:dyDescent="0.25">
      <c r="L170">
        <v>169</v>
      </c>
      <c r="M170" t="s">
        <v>411</v>
      </c>
      <c r="N170" t="s">
        <v>402</v>
      </c>
    </row>
    <row r="171" spans="12:14" x14ac:dyDescent="0.25">
      <c r="L171">
        <v>170</v>
      </c>
      <c r="M171" t="s">
        <v>412</v>
      </c>
      <c r="N171" t="s">
        <v>402</v>
      </c>
    </row>
    <row r="172" spans="12:14" x14ac:dyDescent="0.25">
      <c r="L172">
        <v>171</v>
      </c>
      <c r="M172" t="s">
        <v>413</v>
      </c>
      <c r="N172" t="s">
        <v>402</v>
      </c>
    </row>
    <row r="173" spans="12:14" x14ac:dyDescent="0.25">
      <c r="L173">
        <v>172</v>
      </c>
      <c r="M173" t="s">
        <v>414</v>
      </c>
      <c r="N173" t="s">
        <v>402</v>
      </c>
    </row>
    <row r="174" spans="12:14" x14ac:dyDescent="0.25">
      <c r="L174">
        <v>173</v>
      </c>
      <c r="M174" t="s">
        <v>415</v>
      </c>
      <c r="N174" t="s">
        <v>402</v>
      </c>
    </row>
    <row r="175" spans="12:14" x14ac:dyDescent="0.25">
      <c r="L175">
        <v>174</v>
      </c>
      <c r="M175" t="s">
        <v>416</v>
      </c>
      <c r="N175" t="s">
        <v>402</v>
      </c>
    </row>
    <row r="176" spans="12:14" x14ac:dyDescent="0.25">
      <c r="L176">
        <v>175</v>
      </c>
      <c r="M176" t="s">
        <v>417</v>
      </c>
      <c r="N176" t="s">
        <v>402</v>
      </c>
    </row>
    <row r="177" spans="12:14" x14ac:dyDescent="0.25">
      <c r="L177">
        <v>176</v>
      </c>
      <c r="M177" t="s">
        <v>418</v>
      </c>
      <c r="N177" t="s">
        <v>402</v>
      </c>
    </row>
    <row r="178" spans="12:14" x14ac:dyDescent="0.25">
      <c r="L178">
        <v>177</v>
      </c>
      <c r="M178" t="s">
        <v>419</v>
      </c>
      <c r="N178" t="s">
        <v>402</v>
      </c>
    </row>
    <row r="179" spans="12:14" x14ac:dyDescent="0.25">
      <c r="L179">
        <v>178</v>
      </c>
      <c r="M179" t="s">
        <v>420</v>
      </c>
      <c r="N179" t="s">
        <v>402</v>
      </c>
    </row>
    <row r="180" spans="12:14" x14ac:dyDescent="0.25">
      <c r="L180">
        <v>179</v>
      </c>
      <c r="M180" t="s">
        <v>421</v>
      </c>
      <c r="N180" t="s">
        <v>402</v>
      </c>
    </row>
    <row r="181" spans="12:14" x14ac:dyDescent="0.25">
      <c r="L181">
        <v>180</v>
      </c>
      <c r="M181" t="s">
        <v>422</v>
      </c>
      <c r="N181" t="s">
        <v>402</v>
      </c>
    </row>
    <row r="182" spans="12:14" x14ac:dyDescent="0.25">
      <c r="L182">
        <v>181</v>
      </c>
      <c r="M182" t="s">
        <v>423</v>
      </c>
      <c r="N182" t="s">
        <v>402</v>
      </c>
    </row>
    <row r="183" spans="12:14" x14ac:dyDescent="0.25">
      <c r="L183">
        <v>182</v>
      </c>
      <c r="M183" t="s">
        <v>424</v>
      </c>
      <c r="N183" t="s">
        <v>402</v>
      </c>
    </row>
    <row r="184" spans="12:14" x14ac:dyDescent="0.25">
      <c r="L184">
        <v>183</v>
      </c>
      <c r="M184" t="s">
        <v>425</v>
      </c>
      <c r="N184" t="s">
        <v>402</v>
      </c>
    </row>
    <row r="185" spans="12:14" x14ac:dyDescent="0.25">
      <c r="L185">
        <v>184</v>
      </c>
      <c r="M185" t="s">
        <v>426</v>
      </c>
      <c r="N185" t="s">
        <v>402</v>
      </c>
    </row>
    <row r="186" spans="12:14" x14ac:dyDescent="0.25">
      <c r="L186">
        <v>185</v>
      </c>
      <c r="M186" t="s">
        <v>427</v>
      </c>
      <c r="N186" t="s">
        <v>402</v>
      </c>
    </row>
    <row r="187" spans="12:14" x14ac:dyDescent="0.25">
      <c r="L187">
        <v>186</v>
      </c>
      <c r="M187" t="s">
        <v>428</v>
      </c>
      <c r="N187" t="s">
        <v>402</v>
      </c>
    </row>
    <row r="188" spans="12:14" x14ac:dyDescent="0.25">
      <c r="L188">
        <v>187</v>
      </c>
      <c r="M188" t="s">
        <v>429</v>
      </c>
      <c r="N188" t="s">
        <v>402</v>
      </c>
    </row>
    <row r="189" spans="12:14" x14ac:dyDescent="0.25">
      <c r="L189">
        <v>188</v>
      </c>
      <c r="M189" t="s">
        <v>430</v>
      </c>
      <c r="N189" t="s">
        <v>402</v>
      </c>
    </row>
    <row r="190" spans="12:14" x14ac:dyDescent="0.25">
      <c r="L190">
        <v>189</v>
      </c>
      <c r="M190" t="s">
        <v>431</v>
      </c>
      <c r="N190" t="s">
        <v>402</v>
      </c>
    </row>
    <row r="191" spans="12:14" x14ac:dyDescent="0.25">
      <c r="L191">
        <v>190</v>
      </c>
      <c r="M191" t="s">
        <v>432</v>
      </c>
      <c r="N191" t="s">
        <v>402</v>
      </c>
    </row>
    <row r="192" spans="12:14" x14ac:dyDescent="0.25">
      <c r="L192">
        <v>191</v>
      </c>
      <c r="M192" t="s">
        <v>433</v>
      </c>
      <c r="N192" t="s">
        <v>402</v>
      </c>
    </row>
    <row r="193" spans="12:14" x14ac:dyDescent="0.25">
      <c r="L193">
        <v>192</v>
      </c>
      <c r="M193" t="s">
        <v>434</v>
      </c>
      <c r="N193" t="s">
        <v>402</v>
      </c>
    </row>
    <row r="194" spans="12:14" x14ac:dyDescent="0.25">
      <c r="L194">
        <v>193</v>
      </c>
      <c r="M194" t="s">
        <v>435</v>
      </c>
      <c r="N194" t="s">
        <v>436</v>
      </c>
    </row>
    <row r="195" spans="12:14" x14ac:dyDescent="0.25">
      <c r="L195">
        <v>194</v>
      </c>
      <c r="M195" t="s">
        <v>437</v>
      </c>
      <c r="N195" t="s">
        <v>436</v>
      </c>
    </row>
    <row r="196" spans="12:14" x14ac:dyDescent="0.25">
      <c r="L196">
        <v>195</v>
      </c>
      <c r="M196" t="s">
        <v>438</v>
      </c>
      <c r="N196" t="s">
        <v>436</v>
      </c>
    </row>
    <row r="197" spans="12:14" x14ac:dyDescent="0.25">
      <c r="L197">
        <v>196</v>
      </c>
      <c r="M197" t="s">
        <v>439</v>
      </c>
      <c r="N197" t="s">
        <v>436</v>
      </c>
    </row>
    <row r="198" spans="12:14" x14ac:dyDescent="0.25">
      <c r="L198">
        <v>197</v>
      </c>
      <c r="M198" t="s">
        <v>440</v>
      </c>
      <c r="N198" t="s">
        <v>436</v>
      </c>
    </row>
    <row r="199" spans="12:14" x14ac:dyDescent="0.25">
      <c r="L199">
        <v>198</v>
      </c>
      <c r="M199" t="s">
        <v>441</v>
      </c>
      <c r="N199" t="s">
        <v>436</v>
      </c>
    </row>
    <row r="200" spans="12:14" x14ac:dyDescent="0.25">
      <c r="L200">
        <v>199</v>
      </c>
      <c r="M200" t="s">
        <v>442</v>
      </c>
      <c r="N200" t="s">
        <v>443</v>
      </c>
    </row>
    <row r="201" spans="12:14" x14ac:dyDescent="0.25">
      <c r="L201">
        <v>200</v>
      </c>
      <c r="M201" t="s">
        <v>444</v>
      </c>
      <c r="N201" t="s">
        <v>445</v>
      </c>
    </row>
    <row r="202" spans="12:14" x14ac:dyDescent="0.25">
      <c r="L202">
        <v>201</v>
      </c>
      <c r="M202" t="s">
        <v>446</v>
      </c>
      <c r="N202" t="s">
        <v>447</v>
      </c>
    </row>
    <row r="203" spans="12:14" x14ac:dyDescent="0.25">
      <c r="L203">
        <v>202</v>
      </c>
      <c r="M203" t="s">
        <v>448</v>
      </c>
      <c r="N203" t="s">
        <v>447</v>
      </c>
    </row>
    <row r="204" spans="12:14" x14ac:dyDescent="0.25">
      <c r="L204">
        <v>203</v>
      </c>
      <c r="M204" t="s">
        <v>449</v>
      </c>
      <c r="N204" t="s">
        <v>445</v>
      </c>
    </row>
    <row r="205" spans="12:14" x14ac:dyDescent="0.25">
      <c r="L205">
        <v>204</v>
      </c>
      <c r="M205" t="s">
        <v>450</v>
      </c>
      <c r="N205" t="s">
        <v>447</v>
      </c>
    </row>
    <row r="206" spans="12:14" x14ac:dyDescent="0.25">
      <c r="L206">
        <v>205</v>
      </c>
      <c r="M206" t="s">
        <v>451</v>
      </c>
      <c r="N206" t="s">
        <v>445</v>
      </c>
    </row>
    <row r="207" spans="12:14" x14ac:dyDescent="0.25">
      <c r="L207">
        <v>206</v>
      </c>
      <c r="M207" t="s">
        <v>452</v>
      </c>
      <c r="N207" t="s">
        <v>445</v>
      </c>
    </row>
    <row r="208" spans="12:14" x14ac:dyDescent="0.25">
      <c r="L208">
        <v>207</v>
      </c>
      <c r="M208" t="s">
        <v>453</v>
      </c>
      <c r="N208" t="s">
        <v>436</v>
      </c>
    </row>
    <row r="209" spans="12:14" x14ac:dyDescent="0.25">
      <c r="L209">
        <v>208</v>
      </c>
      <c r="M209" t="s">
        <v>454</v>
      </c>
      <c r="N209" t="s">
        <v>436</v>
      </c>
    </row>
    <row r="210" spans="12:14" x14ac:dyDescent="0.25">
      <c r="L210">
        <v>209</v>
      </c>
      <c r="M210" t="s">
        <v>455</v>
      </c>
      <c r="N210" t="s">
        <v>436</v>
      </c>
    </row>
    <row r="211" spans="12:14" x14ac:dyDescent="0.25">
      <c r="L211">
        <v>210</v>
      </c>
      <c r="M211" t="s">
        <v>456</v>
      </c>
      <c r="N211" t="s">
        <v>457</v>
      </c>
    </row>
    <row r="212" spans="12:14" x14ac:dyDescent="0.25">
      <c r="L212">
        <v>211</v>
      </c>
      <c r="M212" t="s">
        <v>458</v>
      </c>
      <c r="N212" t="s">
        <v>457</v>
      </c>
    </row>
    <row r="213" spans="12:14" x14ac:dyDescent="0.25">
      <c r="L213">
        <v>212</v>
      </c>
      <c r="M213" t="s">
        <v>459</v>
      </c>
      <c r="N213" t="s">
        <v>457</v>
      </c>
    </row>
    <row r="214" spans="12:14" x14ac:dyDescent="0.25">
      <c r="L214">
        <v>213</v>
      </c>
      <c r="M214" t="s">
        <v>460</v>
      </c>
      <c r="N214" t="s">
        <v>436</v>
      </c>
    </row>
    <row r="215" spans="12:14" x14ac:dyDescent="0.25">
      <c r="L215">
        <v>214</v>
      </c>
      <c r="M215" t="s">
        <v>461</v>
      </c>
      <c r="N215" t="s">
        <v>436</v>
      </c>
    </row>
    <row r="216" spans="12:14" x14ac:dyDescent="0.25">
      <c r="L216">
        <v>215</v>
      </c>
      <c r="M216" t="s">
        <v>462</v>
      </c>
      <c r="N216" t="s">
        <v>436</v>
      </c>
    </row>
    <row r="217" spans="12:14" x14ac:dyDescent="0.25">
      <c r="L217">
        <v>216</v>
      </c>
      <c r="M217" t="s">
        <v>463</v>
      </c>
      <c r="N217" t="s">
        <v>464</v>
      </c>
    </row>
    <row r="218" spans="12:14" x14ac:dyDescent="0.25">
      <c r="L218">
        <v>217</v>
      </c>
      <c r="M218" t="s">
        <v>465</v>
      </c>
      <c r="N218" t="s">
        <v>445</v>
      </c>
    </row>
    <row r="219" spans="12:14" x14ac:dyDescent="0.25">
      <c r="L219">
        <v>218</v>
      </c>
      <c r="M219" t="s">
        <v>466</v>
      </c>
      <c r="N219" t="s">
        <v>457</v>
      </c>
    </row>
    <row r="220" spans="12:14" x14ac:dyDescent="0.25">
      <c r="L220">
        <v>219</v>
      </c>
      <c r="M220" t="s">
        <v>467</v>
      </c>
      <c r="N220" t="s">
        <v>457</v>
      </c>
    </row>
    <row r="221" spans="12:14" x14ac:dyDescent="0.25">
      <c r="L221">
        <v>220</v>
      </c>
      <c r="M221" t="s">
        <v>468</v>
      </c>
      <c r="N221" t="s">
        <v>445</v>
      </c>
    </row>
    <row r="222" spans="12:14" x14ac:dyDescent="0.25">
      <c r="L222">
        <v>221</v>
      </c>
      <c r="M222" t="s">
        <v>469</v>
      </c>
      <c r="N222" t="s">
        <v>470</v>
      </c>
    </row>
    <row r="223" spans="12:14" x14ac:dyDescent="0.25">
      <c r="L223">
        <v>222</v>
      </c>
      <c r="M223" t="s">
        <v>471</v>
      </c>
      <c r="N223" t="s">
        <v>470</v>
      </c>
    </row>
    <row r="224" spans="12:14" x14ac:dyDescent="0.25">
      <c r="L224">
        <v>223</v>
      </c>
      <c r="M224" t="s">
        <v>472</v>
      </c>
      <c r="N224" t="s">
        <v>470</v>
      </c>
    </row>
    <row r="225" spans="12:14" x14ac:dyDescent="0.25">
      <c r="L225">
        <v>224</v>
      </c>
      <c r="M225" t="s">
        <v>473</v>
      </c>
      <c r="N225" t="s">
        <v>470</v>
      </c>
    </row>
    <row r="226" spans="12:14" x14ac:dyDescent="0.25">
      <c r="L226">
        <v>225</v>
      </c>
      <c r="M226" t="s">
        <v>474</v>
      </c>
      <c r="N226" t="s">
        <v>470</v>
      </c>
    </row>
    <row r="227" spans="12:14" x14ac:dyDescent="0.25">
      <c r="L227">
        <v>226</v>
      </c>
      <c r="M227" t="s">
        <v>475</v>
      </c>
      <c r="N227" t="s">
        <v>470</v>
      </c>
    </row>
    <row r="228" spans="12:14" x14ac:dyDescent="0.25">
      <c r="L228">
        <v>227</v>
      </c>
      <c r="M228" t="s">
        <v>476</v>
      </c>
      <c r="N228" t="s">
        <v>470</v>
      </c>
    </row>
    <row r="229" spans="12:14" x14ac:dyDescent="0.25">
      <c r="L229">
        <v>228</v>
      </c>
      <c r="M229" t="s">
        <v>477</v>
      </c>
      <c r="N229" t="s">
        <v>478</v>
      </c>
    </row>
    <row r="230" spans="12:14" x14ac:dyDescent="0.25">
      <c r="L230">
        <v>229</v>
      </c>
      <c r="M230" t="s">
        <v>479</v>
      </c>
      <c r="N230" t="s">
        <v>478</v>
      </c>
    </row>
    <row r="231" spans="12:14" x14ac:dyDescent="0.25">
      <c r="L231">
        <v>230</v>
      </c>
      <c r="M231" t="s">
        <v>480</v>
      </c>
      <c r="N231" t="s">
        <v>478</v>
      </c>
    </row>
    <row r="232" spans="12:14" x14ac:dyDescent="0.25">
      <c r="L232">
        <v>231</v>
      </c>
      <c r="M232" t="s">
        <v>481</v>
      </c>
      <c r="N232" t="s">
        <v>482</v>
      </c>
    </row>
    <row r="233" spans="12:14" x14ac:dyDescent="0.25">
      <c r="L233">
        <v>232</v>
      </c>
      <c r="M233" t="s">
        <v>483</v>
      </c>
      <c r="N233" t="s">
        <v>482</v>
      </c>
    </row>
    <row r="234" spans="12:14" x14ac:dyDescent="0.25">
      <c r="L234">
        <v>233</v>
      </c>
      <c r="M234" t="s">
        <v>484</v>
      </c>
      <c r="N234" t="s">
        <v>485</v>
      </c>
    </row>
    <row r="235" spans="12:14" x14ac:dyDescent="0.25">
      <c r="L235">
        <v>234</v>
      </c>
      <c r="M235" t="s">
        <v>486</v>
      </c>
      <c r="N235" t="s">
        <v>195</v>
      </c>
    </row>
    <row r="236" spans="12:14" x14ac:dyDescent="0.25">
      <c r="L236">
        <v>235</v>
      </c>
      <c r="M236" t="s">
        <v>487</v>
      </c>
      <c r="N236" t="s">
        <v>482</v>
      </c>
    </row>
    <row r="237" spans="12:14" x14ac:dyDescent="0.25">
      <c r="L237">
        <v>236</v>
      </c>
      <c r="M237" t="s">
        <v>488</v>
      </c>
      <c r="N237" t="s">
        <v>195</v>
      </c>
    </row>
    <row r="238" spans="12:14" x14ac:dyDescent="0.25">
      <c r="L238">
        <v>237</v>
      </c>
      <c r="M238" t="s">
        <v>489</v>
      </c>
      <c r="N238" t="s">
        <v>195</v>
      </c>
    </row>
    <row r="239" spans="12:14" x14ac:dyDescent="0.25">
      <c r="L239">
        <v>238</v>
      </c>
      <c r="M239" t="s">
        <v>490</v>
      </c>
      <c r="N239" t="s">
        <v>491</v>
      </c>
    </row>
    <row r="240" spans="12:14" x14ac:dyDescent="0.25">
      <c r="L240">
        <v>239</v>
      </c>
      <c r="M240" t="s">
        <v>492</v>
      </c>
      <c r="N240" t="s">
        <v>491</v>
      </c>
    </row>
    <row r="241" spans="12:14" x14ac:dyDescent="0.25">
      <c r="L241">
        <v>240</v>
      </c>
      <c r="M241" t="s">
        <v>493</v>
      </c>
      <c r="N241" t="s">
        <v>491</v>
      </c>
    </row>
    <row r="242" spans="12:14" x14ac:dyDescent="0.25">
      <c r="L242">
        <v>241</v>
      </c>
      <c r="M242" t="s">
        <v>494</v>
      </c>
      <c r="N242" t="s">
        <v>491</v>
      </c>
    </row>
    <row r="243" spans="12:14" x14ac:dyDescent="0.25">
      <c r="L243">
        <v>242</v>
      </c>
      <c r="M243" t="s">
        <v>495</v>
      </c>
      <c r="N243" t="s">
        <v>491</v>
      </c>
    </row>
    <row r="244" spans="12:14" x14ac:dyDescent="0.25">
      <c r="L244">
        <v>243</v>
      </c>
      <c r="M244" t="s">
        <v>496</v>
      </c>
      <c r="N244" t="s">
        <v>491</v>
      </c>
    </row>
    <row r="245" spans="12:14" x14ac:dyDescent="0.25">
      <c r="L245">
        <v>244</v>
      </c>
      <c r="M245" t="s">
        <v>497</v>
      </c>
      <c r="N245" t="s">
        <v>491</v>
      </c>
    </row>
    <row r="246" spans="12:14" x14ac:dyDescent="0.25">
      <c r="L246">
        <v>245</v>
      </c>
      <c r="M246" t="s">
        <v>498</v>
      </c>
      <c r="N246" t="s">
        <v>491</v>
      </c>
    </row>
    <row r="247" spans="12:14" x14ac:dyDescent="0.25">
      <c r="L247">
        <v>246</v>
      </c>
      <c r="M247" t="s">
        <v>499</v>
      </c>
      <c r="N247" t="s">
        <v>491</v>
      </c>
    </row>
    <row r="248" spans="12:14" x14ac:dyDescent="0.25">
      <c r="L248">
        <v>247</v>
      </c>
      <c r="M248" t="s">
        <v>500</v>
      </c>
      <c r="N248" t="s">
        <v>491</v>
      </c>
    </row>
    <row r="249" spans="12:14" x14ac:dyDescent="0.25">
      <c r="L249">
        <v>248</v>
      </c>
      <c r="M249" t="s">
        <v>501</v>
      </c>
      <c r="N249" t="s">
        <v>491</v>
      </c>
    </row>
    <row r="250" spans="12:14" x14ac:dyDescent="0.25">
      <c r="L250">
        <v>249</v>
      </c>
      <c r="M250" t="s">
        <v>502</v>
      </c>
      <c r="N250" t="s">
        <v>503</v>
      </c>
    </row>
    <row r="251" spans="12:14" x14ac:dyDescent="0.25">
      <c r="L251">
        <v>250</v>
      </c>
      <c r="M251" t="s">
        <v>504</v>
      </c>
      <c r="N251" t="s">
        <v>503</v>
      </c>
    </row>
    <row r="252" spans="12:14" x14ac:dyDescent="0.25">
      <c r="L252">
        <v>251</v>
      </c>
      <c r="M252" t="s">
        <v>505</v>
      </c>
      <c r="N252" t="s">
        <v>503</v>
      </c>
    </row>
    <row r="253" spans="12:14" x14ac:dyDescent="0.25">
      <c r="L253">
        <v>252</v>
      </c>
      <c r="M253" t="s">
        <v>506</v>
      </c>
      <c r="N253" t="s">
        <v>503</v>
      </c>
    </row>
    <row r="254" spans="12:14" x14ac:dyDescent="0.25">
      <c r="L254">
        <v>253</v>
      </c>
      <c r="M254" t="s">
        <v>507</v>
      </c>
      <c r="N254" t="s">
        <v>196</v>
      </c>
    </row>
    <row r="255" spans="12:14" x14ac:dyDescent="0.25">
      <c r="L255">
        <v>254</v>
      </c>
      <c r="M255" t="s">
        <v>508</v>
      </c>
      <c r="N255" t="s">
        <v>196</v>
      </c>
    </row>
    <row r="256" spans="12:14" x14ac:dyDescent="0.25">
      <c r="L256">
        <v>255</v>
      </c>
      <c r="M256" t="s">
        <v>509</v>
      </c>
      <c r="N256" t="s">
        <v>196</v>
      </c>
    </row>
    <row r="257" spans="12:14" x14ac:dyDescent="0.25">
      <c r="L257">
        <v>256</v>
      </c>
      <c r="M257" t="s">
        <v>510</v>
      </c>
      <c r="N257" t="s">
        <v>196</v>
      </c>
    </row>
    <row r="258" spans="12:14" x14ac:dyDescent="0.25">
      <c r="L258">
        <v>257</v>
      </c>
      <c r="M258" t="s">
        <v>511</v>
      </c>
      <c r="N258" t="s">
        <v>196</v>
      </c>
    </row>
    <row r="259" spans="12:14" x14ac:dyDescent="0.25">
      <c r="L259">
        <v>258</v>
      </c>
      <c r="M259" t="s">
        <v>512</v>
      </c>
      <c r="N259" t="s">
        <v>513</v>
      </c>
    </row>
    <row r="260" spans="12:14" x14ac:dyDescent="0.25">
      <c r="L260">
        <v>259</v>
      </c>
      <c r="M260" t="s">
        <v>514</v>
      </c>
      <c r="N260" t="s">
        <v>515</v>
      </c>
    </row>
    <row r="261" spans="12:14" x14ac:dyDescent="0.25">
      <c r="L261">
        <v>260</v>
      </c>
      <c r="M261" t="s">
        <v>516</v>
      </c>
      <c r="N261" t="s">
        <v>175</v>
      </c>
    </row>
    <row r="262" spans="12:14" x14ac:dyDescent="0.25">
      <c r="L262">
        <v>261</v>
      </c>
      <c r="M262" t="s">
        <v>517</v>
      </c>
      <c r="N262" t="s">
        <v>175</v>
      </c>
    </row>
    <row r="263" spans="12:14" x14ac:dyDescent="0.25">
      <c r="L263">
        <v>262</v>
      </c>
      <c r="M263" t="s">
        <v>518</v>
      </c>
      <c r="N263" t="s">
        <v>175</v>
      </c>
    </row>
    <row r="264" spans="12:14" x14ac:dyDescent="0.25">
      <c r="L264">
        <v>263</v>
      </c>
      <c r="M264" t="s">
        <v>519</v>
      </c>
      <c r="N264" t="s">
        <v>197</v>
      </c>
    </row>
    <row r="265" spans="12:14" x14ac:dyDescent="0.25">
      <c r="L265">
        <v>264</v>
      </c>
      <c r="M265" t="s">
        <v>520</v>
      </c>
      <c r="N265" t="s">
        <v>521</v>
      </c>
    </row>
    <row r="266" spans="12:14" x14ac:dyDescent="0.25">
      <c r="L266">
        <v>265</v>
      </c>
      <c r="M266" t="s">
        <v>522</v>
      </c>
      <c r="N266" t="s">
        <v>521</v>
      </c>
    </row>
    <row r="267" spans="12:14" x14ac:dyDescent="0.25">
      <c r="L267">
        <v>266</v>
      </c>
      <c r="M267" t="s">
        <v>523</v>
      </c>
      <c r="N267" t="s">
        <v>521</v>
      </c>
    </row>
    <row r="268" spans="12:14" x14ac:dyDescent="0.25">
      <c r="L268">
        <v>267</v>
      </c>
      <c r="M268" t="s">
        <v>524</v>
      </c>
      <c r="N268" t="s">
        <v>525</v>
      </c>
    </row>
    <row r="269" spans="12:14" x14ac:dyDescent="0.25">
      <c r="L269">
        <v>268</v>
      </c>
      <c r="M269" t="s">
        <v>526</v>
      </c>
      <c r="N269" t="s">
        <v>525</v>
      </c>
    </row>
    <row r="270" spans="12:14" x14ac:dyDescent="0.25">
      <c r="L270">
        <v>269</v>
      </c>
      <c r="M270" t="s">
        <v>514</v>
      </c>
      <c r="N270" t="s">
        <v>525</v>
      </c>
    </row>
    <row r="271" spans="12:14" x14ac:dyDescent="0.25">
      <c r="L271">
        <v>270</v>
      </c>
      <c r="M271" t="s">
        <v>527</v>
      </c>
      <c r="N271" t="s">
        <v>169</v>
      </c>
    </row>
    <row r="272" spans="12:14" x14ac:dyDescent="0.25">
      <c r="L272">
        <v>271</v>
      </c>
      <c r="M272" t="s">
        <v>528</v>
      </c>
      <c r="N272" t="s">
        <v>169</v>
      </c>
    </row>
    <row r="273" spans="12:14" x14ac:dyDescent="0.25">
      <c r="L273">
        <v>272</v>
      </c>
      <c r="M273" t="s">
        <v>529</v>
      </c>
      <c r="N273" t="s">
        <v>169</v>
      </c>
    </row>
    <row r="274" spans="12:14" x14ac:dyDescent="0.25">
      <c r="L274">
        <v>273</v>
      </c>
      <c r="M274" t="s">
        <v>530</v>
      </c>
      <c r="N274" t="s">
        <v>169</v>
      </c>
    </row>
    <row r="275" spans="12:14" x14ac:dyDescent="0.25">
      <c r="L275">
        <v>274</v>
      </c>
      <c r="M275" t="s">
        <v>531</v>
      </c>
      <c r="N275" t="s">
        <v>169</v>
      </c>
    </row>
    <row r="276" spans="12:14" x14ac:dyDescent="0.25">
      <c r="L276">
        <v>275</v>
      </c>
      <c r="M276" t="s">
        <v>532</v>
      </c>
      <c r="N276" t="s">
        <v>169</v>
      </c>
    </row>
    <row r="277" spans="12:14" x14ac:dyDescent="0.25">
      <c r="L277">
        <v>276</v>
      </c>
      <c r="M277" t="s">
        <v>533</v>
      </c>
      <c r="N277" t="s">
        <v>169</v>
      </c>
    </row>
    <row r="278" spans="12:14" x14ac:dyDescent="0.25">
      <c r="L278">
        <v>277</v>
      </c>
      <c r="M278" t="s">
        <v>534</v>
      </c>
      <c r="N278" t="s">
        <v>169</v>
      </c>
    </row>
    <row r="279" spans="12:14" x14ac:dyDescent="0.25">
      <c r="L279">
        <v>278</v>
      </c>
      <c r="M279" t="s">
        <v>535</v>
      </c>
      <c r="N279" t="s">
        <v>169</v>
      </c>
    </row>
    <row r="280" spans="12:14" x14ac:dyDescent="0.25">
      <c r="L280">
        <v>279</v>
      </c>
      <c r="M280" t="s">
        <v>536</v>
      </c>
      <c r="N280" t="s">
        <v>169</v>
      </c>
    </row>
    <row r="281" spans="12:14" x14ac:dyDescent="0.25">
      <c r="L281">
        <v>280</v>
      </c>
      <c r="M281" t="s">
        <v>537</v>
      </c>
      <c r="N281" t="s">
        <v>169</v>
      </c>
    </row>
    <row r="282" spans="12:14" x14ac:dyDescent="0.25">
      <c r="L282">
        <v>281</v>
      </c>
      <c r="M282" t="s">
        <v>538</v>
      </c>
      <c r="N282" t="s">
        <v>169</v>
      </c>
    </row>
    <row r="283" spans="12:14" x14ac:dyDescent="0.25">
      <c r="L283">
        <v>282</v>
      </c>
      <c r="M283" t="s">
        <v>539</v>
      </c>
      <c r="N283" t="s">
        <v>169</v>
      </c>
    </row>
    <row r="284" spans="12:14" x14ac:dyDescent="0.25">
      <c r="L284">
        <v>283</v>
      </c>
      <c r="M284" t="s">
        <v>540</v>
      </c>
      <c r="N284" t="s">
        <v>174</v>
      </c>
    </row>
    <row r="285" spans="12:14" x14ac:dyDescent="0.25">
      <c r="L285">
        <v>284</v>
      </c>
      <c r="M285" t="s">
        <v>541</v>
      </c>
      <c r="N285" t="s">
        <v>174</v>
      </c>
    </row>
    <row r="286" spans="12:14" x14ac:dyDescent="0.25">
      <c r="L286">
        <v>285</v>
      </c>
      <c r="M286" t="s">
        <v>542</v>
      </c>
      <c r="N286" t="s">
        <v>543</v>
      </c>
    </row>
    <row r="287" spans="12:14" x14ac:dyDescent="0.25">
      <c r="L287">
        <v>286</v>
      </c>
      <c r="M287" t="s">
        <v>544</v>
      </c>
      <c r="N287" t="s">
        <v>543</v>
      </c>
    </row>
    <row r="288" spans="12:14" x14ac:dyDescent="0.25">
      <c r="L288">
        <v>287</v>
      </c>
      <c r="M288" t="s">
        <v>545</v>
      </c>
      <c r="N288" t="s">
        <v>543</v>
      </c>
    </row>
    <row r="289" spans="12:14" x14ac:dyDescent="0.25">
      <c r="L289">
        <v>288</v>
      </c>
      <c r="M289" t="s">
        <v>546</v>
      </c>
      <c r="N289" t="s">
        <v>543</v>
      </c>
    </row>
    <row r="290" spans="12:14" x14ac:dyDescent="0.25">
      <c r="L290">
        <v>289</v>
      </c>
      <c r="M290" t="s">
        <v>547</v>
      </c>
      <c r="N290" t="s">
        <v>543</v>
      </c>
    </row>
    <row r="291" spans="12:14" x14ac:dyDescent="0.25">
      <c r="L291">
        <v>290</v>
      </c>
      <c r="M291" t="s">
        <v>548</v>
      </c>
      <c r="N291" t="s">
        <v>174</v>
      </c>
    </row>
    <row r="292" spans="12:14" x14ac:dyDescent="0.25">
      <c r="L292">
        <v>291</v>
      </c>
      <c r="M292" t="s">
        <v>549</v>
      </c>
      <c r="N292" t="s">
        <v>550</v>
      </c>
    </row>
    <row r="293" spans="12:14" x14ac:dyDescent="0.25">
      <c r="L293">
        <v>292</v>
      </c>
      <c r="M293" t="s">
        <v>551</v>
      </c>
      <c r="N293" t="s">
        <v>550</v>
      </c>
    </row>
    <row r="294" spans="12:14" x14ac:dyDescent="0.25">
      <c r="L294">
        <v>293</v>
      </c>
      <c r="M294" t="s">
        <v>552</v>
      </c>
      <c r="N294" t="s">
        <v>553</v>
      </c>
    </row>
    <row r="295" spans="12:14" x14ac:dyDescent="0.25">
      <c r="L295">
        <v>294</v>
      </c>
      <c r="M295" t="s">
        <v>554</v>
      </c>
      <c r="N295" t="s">
        <v>555</v>
      </c>
    </row>
    <row r="296" spans="12:14" x14ac:dyDescent="0.25">
      <c r="L296">
        <v>295</v>
      </c>
      <c r="M296" t="s">
        <v>556</v>
      </c>
      <c r="N296" t="s">
        <v>174</v>
      </c>
    </row>
    <row r="297" spans="12:14" x14ac:dyDescent="0.25">
      <c r="L297">
        <v>296</v>
      </c>
      <c r="M297" t="s">
        <v>557</v>
      </c>
      <c r="N297" t="s">
        <v>555</v>
      </c>
    </row>
    <row r="298" spans="12:14" x14ac:dyDescent="0.25">
      <c r="L298">
        <v>297</v>
      </c>
      <c r="M298" t="s">
        <v>558</v>
      </c>
      <c r="N298" t="s">
        <v>555</v>
      </c>
    </row>
    <row r="299" spans="12:14" x14ac:dyDescent="0.25">
      <c r="L299">
        <v>298</v>
      </c>
      <c r="M299" t="s">
        <v>559</v>
      </c>
      <c r="N299" t="s">
        <v>555</v>
      </c>
    </row>
    <row r="300" spans="12:14" x14ac:dyDescent="0.25">
      <c r="L300">
        <v>299</v>
      </c>
      <c r="M300" t="s">
        <v>560</v>
      </c>
      <c r="N300" t="s">
        <v>555</v>
      </c>
    </row>
    <row r="301" spans="12:14" x14ac:dyDescent="0.25">
      <c r="L301">
        <v>300</v>
      </c>
      <c r="M301" t="s">
        <v>561</v>
      </c>
      <c r="N301" t="s">
        <v>553</v>
      </c>
    </row>
    <row r="302" spans="12:14" x14ac:dyDescent="0.25">
      <c r="L302">
        <v>301</v>
      </c>
      <c r="M302" t="s">
        <v>562</v>
      </c>
      <c r="N302" t="s">
        <v>563</v>
      </c>
    </row>
    <row r="303" spans="12:14" x14ac:dyDescent="0.25">
      <c r="L303">
        <v>302</v>
      </c>
      <c r="M303" t="s">
        <v>564</v>
      </c>
      <c r="N303" t="s">
        <v>563</v>
      </c>
    </row>
    <row r="304" spans="12:14" x14ac:dyDescent="0.25">
      <c r="L304">
        <v>303</v>
      </c>
      <c r="M304" t="s">
        <v>565</v>
      </c>
      <c r="N304" t="s">
        <v>563</v>
      </c>
    </row>
    <row r="305" spans="12:14" x14ac:dyDescent="0.25">
      <c r="L305">
        <v>304</v>
      </c>
      <c r="M305" t="s">
        <v>566</v>
      </c>
      <c r="N305" t="s">
        <v>563</v>
      </c>
    </row>
    <row r="306" spans="12:14" x14ac:dyDescent="0.25">
      <c r="L306">
        <v>305</v>
      </c>
      <c r="M306" t="s">
        <v>567</v>
      </c>
      <c r="N306" t="s">
        <v>568</v>
      </c>
    </row>
    <row r="307" spans="12:14" x14ac:dyDescent="0.25">
      <c r="L307">
        <v>306</v>
      </c>
      <c r="M307" t="s">
        <v>569</v>
      </c>
      <c r="N307" t="s">
        <v>568</v>
      </c>
    </row>
    <row r="308" spans="12:14" x14ac:dyDescent="0.25">
      <c r="L308">
        <v>307</v>
      </c>
      <c r="M308" t="s">
        <v>570</v>
      </c>
      <c r="N308" t="s">
        <v>568</v>
      </c>
    </row>
    <row r="309" spans="12:14" x14ac:dyDescent="0.25">
      <c r="L309">
        <v>308</v>
      </c>
      <c r="M309" t="s">
        <v>571</v>
      </c>
      <c r="N309" t="s">
        <v>203</v>
      </c>
    </row>
    <row r="310" spans="12:14" x14ac:dyDescent="0.25">
      <c r="L310">
        <v>309</v>
      </c>
      <c r="M310" t="s">
        <v>572</v>
      </c>
      <c r="N310" t="s">
        <v>203</v>
      </c>
    </row>
    <row r="311" spans="12:14" x14ac:dyDescent="0.25">
      <c r="L311">
        <v>310</v>
      </c>
      <c r="M311" t="s">
        <v>573</v>
      </c>
      <c r="N311" t="s">
        <v>203</v>
      </c>
    </row>
    <row r="312" spans="12:14" x14ac:dyDescent="0.25">
      <c r="L312">
        <v>311</v>
      </c>
      <c r="M312" t="s">
        <v>574</v>
      </c>
      <c r="N312" t="s">
        <v>203</v>
      </c>
    </row>
    <row r="313" spans="12:14" x14ac:dyDescent="0.25">
      <c r="L313">
        <v>312</v>
      </c>
      <c r="M313" t="s">
        <v>575</v>
      </c>
      <c r="N313" t="s">
        <v>203</v>
      </c>
    </row>
    <row r="314" spans="12:14" x14ac:dyDescent="0.25">
      <c r="L314">
        <v>313</v>
      </c>
      <c r="M314" t="s">
        <v>576</v>
      </c>
      <c r="N314" t="s">
        <v>203</v>
      </c>
    </row>
    <row r="315" spans="12:14" x14ac:dyDescent="0.25">
      <c r="L315">
        <v>314</v>
      </c>
      <c r="M315" t="s">
        <v>577</v>
      </c>
      <c r="N315" t="s">
        <v>203</v>
      </c>
    </row>
    <row r="316" spans="12:14" x14ac:dyDescent="0.25">
      <c r="L316">
        <v>315</v>
      </c>
      <c r="M316" t="s">
        <v>578</v>
      </c>
      <c r="N316" t="s">
        <v>203</v>
      </c>
    </row>
    <row r="317" spans="12:14" x14ac:dyDescent="0.25">
      <c r="L317">
        <v>316</v>
      </c>
      <c r="M317" t="s">
        <v>579</v>
      </c>
      <c r="N317" t="s">
        <v>203</v>
      </c>
    </row>
    <row r="318" spans="12:14" x14ac:dyDescent="0.25">
      <c r="L318">
        <v>317</v>
      </c>
      <c r="M318" t="s">
        <v>580</v>
      </c>
      <c r="N318" t="s">
        <v>203</v>
      </c>
    </row>
    <row r="319" spans="12:14" x14ac:dyDescent="0.25">
      <c r="L319">
        <v>318</v>
      </c>
      <c r="M319" t="s">
        <v>581</v>
      </c>
      <c r="N319" t="s">
        <v>203</v>
      </c>
    </row>
    <row r="320" spans="12:14" x14ac:dyDescent="0.25">
      <c r="L320">
        <v>319</v>
      </c>
      <c r="M320" t="s">
        <v>582</v>
      </c>
      <c r="N320" t="s">
        <v>203</v>
      </c>
    </row>
    <row r="321" spans="12:14" x14ac:dyDescent="0.25">
      <c r="L321">
        <v>320</v>
      </c>
      <c r="M321" t="s">
        <v>583</v>
      </c>
      <c r="N321" t="s">
        <v>203</v>
      </c>
    </row>
    <row r="322" spans="12:14" x14ac:dyDescent="0.25">
      <c r="L322">
        <v>321</v>
      </c>
      <c r="M322" t="s">
        <v>584</v>
      </c>
      <c r="N322" t="s">
        <v>203</v>
      </c>
    </row>
    <row r="323" spans="12:14" x14ac:dyDescent="0.25">
      <c r="L323">
        <v>322</v>
      </c>
      <c r="M323" t="s">
        <v>585</v>
      </c>
      <c r="N323" t="s">
        <v>203</v>
      </c>
    </row>
    <row r="324" spans="12:14" x14ac:dyDescent="0.25">
      <c r="L324">
        <v>323</v>
      </c>
      <c r="M324" t="s">
        <v>586</v>
      </c>
      <c r="N324" t="s">
        <v>203</v>
      </c>
    </row>
    <row r="325" spans="12:14" x14ac:dyDescent="0.25">
      <c r="L325">
        <v>324</v>
      </c>
      <c r="M325" t="s">
        <v>587</v>
      </c>
      <c r="N325" t="s">
        <v>588</v>
      </c>
    </row>
    <row r="326" spans="12:14" x14ac:dyDescent="0.25">
      <c r="L326">
        <v>325</v>
      </c>
      <c r="M326" t="s">
        <v>589</v>
      </c>
      <c r="N326" t="s">
        <v>588</v>
      </c>
    </row>
    <row r="327" spans="12:14" x14ac:dyDescent="0.25">
      <c r="L327">
        <v>326</v>
      </c>
      <c r="M327" t="s">
        <v>590</v>
      </c>
      <c r="N327" t="s">
        <v>591</v>
      </c>
    </row>
    <row r="328" spans="12:14" x14ac:dyDescent="0.25">
      <c r="L328">
        <v>327</v>
      </c>
      <c r="M328" t="s">
        <v>592</v>
      </c>
      <c r="N328" t="s">
        <v>591</v>
      </c>
    </row>
    <row r="329" spans="12:14" x14ac:dyDescent="0.25">
      <c r="L329">
        <v>328</v>
      </c>
      <c r="M329" t="s">
        <v>593</v>
      </c>
      <c r="N329" t="s">
        <v>591</v>
      </c>
    </row>
    <row r="330" spans="12:14" x14ac:dyDescent="0.25">
      <c r="L330">
        <v>329</v>
      </c>
      <c r="M330" t="s">
        <v>594</v>
      </c>
      <c r="N330" t="s">
        <v>595</v>
      </c>
    </row>
    <row r="331" spans="12:14" x14ac:dyDescent="0.25">
      <c r="L331">
        <v>330</v>
      </c>
      <c r="M331" t="s">
        <v>596</v>
      </c>
      <c r="N331" t="s">
        <v>595</v>
      </c>
    </row>
    <row r="332" spans="12:14" x14ac:dyDescent="0.25">
      <c r="L332">
        <v>331</v>
      </c>
      <c r="M332" t="s">
        <v>597</v>
      </c>
      <c r="N332" t="s">
        <v>595</v>
      </c>
    </row>
    <row r="333" spans="12:14" x14ac:dyDescent="0.25">
      <c r="L333">
        <v>332</v>
      </c>
      <c r="M333" t="s">
        <v>598</v>
      </c>
      <c r="N333" t="s">
        <v>595</v>
      </c>
    </row>
    <row r="334" spans="12:14" x14ac:dyDescent="0.25">
      <c r="L334">
        <v>333</v>
      </c>
      <c r="M334" t="s">
        <v>599</v>
      </c>
      <c r="N334" t="s">
        <v>595</v>
      </c>
    </row>
    <row r="335" spans="12:14" x14ac:dyDescent="0.25">
      <c r="L335">
        <v>334</v>
      </c>
      <c r="M335" t="s">
        <v>600</v>
      </c>
      <c r="N335" t="s">
        <v>595</v>
      </c>
    </row>
    <row r="336" spans="12:14" x14ac:dyDescent="0.25">
      <c r="L336">
        <v>335</v>
      </c>
      <c r="M336" t="s">
        <v>601</v>
      </c>
      <c r="N336" t="s">
        <v>595</v>
      </c>
    </row>
    <row r="337" spans="12:14" x14ac:dyDescent="0.25">
      <c r="L337">
        <v>336</v>
      </c>
      <c r="M337" t="s">
        <v>579</v>
      </c>
      <c r="N337" t="s">
        <v>595</v>
      </c>
    </row>
    <row r="338" spans="12:14" x14ac:dyDescent="0.25">
      <c r="L338">
        <v>337</v>
      </c>
      <c r="M338" t="s">
        <v>580</v>
      </c>
      <c r="N338" t="s">
        <v>595</v>
      </c>
    </row>
    <row r="339" spans="12:14" x14ac:dyDescent="0.25">
      <c r="L339">
        <v>338</v>
      </c>
      <c r="M339" t="s">
        <v>602</v>
      </c>
      <c r="N339" t="s">
        <v>595</v>
      </c>
    </row>
    <row r="340" spans="12:14" x14ac:dyDescent="0.25">
      <c r="L340">
        <v>339</v>
      </c>
      <c r="M340" t="s">
        <v>603</v>
      </c>
      <c r="N340" t="s">
        <v>595</v>
      </c>
    </row>
    <row r="341" spans="12:14" x14ac:dyDescent="0.25">
      <c r="L341">
        <v>340</v>
      </c>
      <c r="M341" t="s">
        <v>604</v>
      </c>
      <c r="N341" t="s">
        <v>595</v>
      </c>
    </row>
    <row r="342" spans="12:14" x14ac:dyDescent="0.25">
      <c r="L342">
        <v>341</v>
      </c>
      <c r="M342" t="s">
        <v>582</v>
      </c>
      <c r="N342" t="s">
        <v>595</v>
      </c>
    </row>
    <row r="343" spans="12:14" x14ac:dyDescent="0.25">
      <c r="L343">
        <v>342</v>
      </c>
      <c r="M343" t="s">
        <v>583</v>
      </c>
      <c r="N343" t="s">
        <v>595</v>
      </c>
    </row>
    <row r="344" spans="12:14" x14ac:dyDescent="0.25">
      <c r="L344">
        <v>343</v>
      </c>
      <c r="M344" t="s">
        <v>605</v>
      </c>
      <c r="N344" t="s">
        <v>595</v>
      </c>
    </row>
    <row r="345" spans="12:14" x14ac:dyDescent="0.25">
      <c r="L345">
        <v>344</v>
      </c>
      <c r="M345" t="s">
        <v>606</v>
      </c>
      <c r="N345" t="s">
        <v>595</v>
      </c>
    </row>
    <row r="346" spans="12:14" x14ac:dyDescent="0.25">
      <c r="L346">
        <v>345</v>
      </c>
      <c r="M346" t="s">
        <v>607</v>
      </c>
      <c r="N346" t="s">
        <v>595</v>
      </c>
    </row>
    <row r="347" spans="12:14" x14ac:dyDescent="0.25">
      <c r="L347">
        <v>346</v>
      </c>
      <c r="M347" t="s">
        <v>608</v>
      </c>
      <c r="N347" t="s">
        <v>595</v>
      </c>
    </row>
    <row r="348" spans="12:14" x14ac:dyDescent="0.25">
      <c r="L348">
        <v>347</v>
      </c>
      <c r="M348" t="s">
        <v>609</v>
      </c>
      <c r="N348" t="s">
        <v>610</v>
      </c>
    </row>
    <row r="349" spans="12:14" x14ac:dyDescent="0.25">
      <c r="L349">
        <v>348</v>
      </c>
      <c r="M349" t="s">
        <v>611</v>
      </c>
      <c r="N349" t="s">
        <v>610</v>
      </c>
    </row>
    <row r="350" spans="12:14" x14ac:dyDescent="0.25">
      <c r="L350">
        <v>349</v>
      </c>
      <c r="M350" t="s">
        <v>612</v>
      </c>
      <c r="N350" t="s">
        <v>610</v>
      </c>
    </row>
    <row r="351" spans="12:14" x14ac:dyDescent="0.25">
      <c r="L351">
        <v>350</v>
      </c>
      <c r="M351" t="s">
        <v>613</v>
      </c>
      <c r="N351" t="s">
        <v>614</v>
      </c>
    </row>
    <row r="352" spans="12:14" x14ac:dyDescent="0.25">
      <c r="L352">
        <v>351</v>
      </c>
      <c r="M352" t="s">
        <v>615</v>
      </c>
      <c r="N352" t="s">
        <v>614</v>
      </c>
    </row>
    <row r="353" spans="12:14" x14ac:dyDescent="0.25">
      <c r="L353">
        <v>352</v>
      </c>
      <c r="M353" t="s">
        <v>616</v>
      </c>
      <c r="N353" t="s">
        <v>209</v>
      </c>
    </row>
    <row r="354" spans="12:14" x14ac:dyDescent="0.25">
      <c r="L354">
        <v>353</v>
      </c>
      <c r="M354" t="s">
        <v>617</v>
      </c>
      <c r="N354" t="s">
        <v>208</v>
      </c>
    </row>
    <row r="355" spans="12:14" x14ac:dyDescent="0.25">
      <c r="L355">
        <v>354</v>
      </c>
      <c r="M355" t="s">
        <v>618</v>
      </c>
      <c r="N355" t="s">
        <v>208</v>
      </c>
    </row>
    <row r="356" spans="12:14" x14ac:dyDescent="0.25">
      <c r="L356">
        <v>355</v>
      </c>
      <c r="M356" t="s">
        <v>619</v>
      </c>
      <c r="N356" t="s">
        <v>620</v>
      </c>
    </row>
    <row r="357" spans="12:14" x14ac:dyDescent="0.25">
      <c r="L357">
        <v>356</v>
      </c>
      <c r="M357" t="s">
        <v>621</v>
      </c>
      <c r="N357" t="s">
        <v>614</v>
      </c>
    </row>
    <row r="358" spans="12:14" x14ac:dyDescent="0.25">
      <c r="L358">
        <v>357</v>
      </c>
      <c r="M358" t="s">
        <v>622</v>
      </c>
      <c r="N358" t="s">
        <v>208</v>
      </c>
    </row>
    <row r="359" spans="12:14" x14ac:dyDescent="0.25">
      <c r="L359">
        <v>358</v>
      </c>
      <c r="M359" t="s">
        <v>623</v>
      </c>
      <c r="N359" t="s">
        <v>218</v>
      </c>
    </row>
    <row r="360" spans="12:14" x14ac:dyDescent="0.25">
      <c r="L360">
        <v>359</v>
      </c>
      <c r="M360" t="s">
        <v>624</v>
      </c>
      <c r="N360" t="s">
        <v>218</v>
      </c>
    </row>
    <row r="361" spans="12:14" x14ac:dyDescent="0.25">
      <c r="L361">
        <v>360</v>
      </c>
      <c r="M361" t="s">
        <v>625</v>
      </c>
      <c r="N361" t="s">
        <v>209</v>
      </c>
    </row>
    <row r="362" spans="12:14" x14ac:dyDescent="0.25">
      <c r="L362">
        <v>361</v>
      </c>
      <c r="M362" t="s">
        <v>626</v>
      </c>
      <c r="N362" t="s">
        <v>208</v>
      </c>
    </row>
    <row r="363" spans="12:14" x14ac:dyDescent="0.25">
      <c r="L363">
        <v>362</v>
      </c>
      <c r="M363" t="s">
        <v>627</v>
      </c>
      <c r="N363" t="s">
        <v>208</v>
      </c>
    </row>
    <row r="364" spans="12:14" x14ac:dyDescent="0.25">
      <c r="L364">
        <v>363</v>
      </c>
      <c r="M364" t="s">
        <v>628</v>
      </c>
      <c r="N364" t="s">
        <v>208</v>
      </c>
    </row>
    <row r="365" spans="12:14" x14ac:dyDescent="0.25">
      <c r="L365">
        <v>364</v>
      </c>
      <c r="M365" t="s">
        <v>629</v>
      </c>
      <c r="N365" t="s">
        <v>620</v>
      </c>
    </row>
    <row r="366" spans="12:14" x14ac:dyDescent="0.25">
      <c r="L366">
        <v>365</v>
      </c>
      <c r="M366" t="s">
        <v>630</v>
      </c>
      <c r="N366" t="s">
        <v>218</v>
      </c>
    </row>
    <row r="367" spans="12:14" x14ac:dyDescent="0.25">
      <c r="L367">
        <v>366</v>
      </c>
      <c r="M367" t="s">
        <v>631</v>
      </c>
      <c r="N367" t="s">
        <v>218</v>
      </c>
    </row>
    <row r="368" spans="12:14" x14ac:dyDescent="0.25">
      <c r="L368">
        <v>367</v>
      </c>
      <c r="M368" t="s">
        <v>617</v>
      </c>
      <c r="N368" t="s">
        <v>208</v>
      </c>
    </row>
    <row r="369" spans="12:14" x14ac:dyDescent="0.25">
      <c r="L369">
        <v>368</v>
      </c>
      <c r="M369" t="s">
        <v>625</v>
      </c>
      <c r="N369" t="s">
        <v>209</v>
      </c>
    </row>
    <row r="370" spans="12:14" x14ac:dyDescent="0.25">
      <c r="L370">
        <v>369</v>
      </c>
      <c r="M370" t="s">
        <v>632</v>
      </c>
      <c r="N370" t="s">
        <v>203</v>
      </c>
    </row>
    <row r="371" spans="12:14" x14ac:dyDescent="0.25">
      <c r="L371">
        <v>370</v>
      </c>
      <c r="M371" t="s">
        <v>633</v>
      </c>
      <c r="N371" t="s">
        <v>215</v>
      </c>
    </row>
    <row r="372" spans="12:14" x14ac:dyDescent="0.25">
      <c r="L372">
        <v>371</v>
      </c>
      <c r="M372" t="s">
        <v>634</v>
      </c>
      <c r="N372" t="s">
        <v>215</v>
      </c>
    </row>
    <row r="373" spans="12:14" x14ac:dyDescent="0.25">
      <c r="L373">
        <v>372</v>
      </c>
      <c r="M373" t="s">
        <v>635</v>
      </c>
      <c r="N373" t="s">
        <v>215</v>
      </c>
    </row>
    <row r="374" spans="12:14" x14ac:dyDescent="0.25">
      <c r="L374">
        <v>373</v>
      </c>
      <c r="M374" t="s">
        <v>636</v>
      </c>
      <c r="N374" t="s">
        <v>217</v>
      </c>
    </row>
  </sheetData>
  <autoFilter ref="A1:E17">
    <filterColumn colId="2">
      <filters>
        <filter val="PD1"/>
      </filters>
    </filterColumn>
  </autoFilter>
  <dataValidations count="1">
    <dataValidation type="list" allowBlank="1" showInputMessage="1" showErrorMessage="1" sqref="C2:C17">
      <formula1>"PD1,PD2,PD3,PD2-AUTO"</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3:KL9"/>
  <sheetViews>
    <sheetView showGridLines="0" workbookViewId="0">
      <selection activeCell="H11" sqref="H11"/>
    </sheetView>
  </sheetViews>
  <sheetFormatPr defaultRowHeight="15" x14ac:dyDescent="0.25"/>
  <cols>
    <col min="1" max="1" width="12.28515625" bestFit="1" customWidth="1"/>
    <col min="2" max="2" width="9" bestFit="1" customWidth="1"/>
    <col min="3" max="130" width="10.7109375" bestFit="1" customWidth="1"/>
    <col min="131" max="131" width="9.7109375" bestFit="1" customWidth="1"/>
    <col min="132" max="132" width="8.5703125" bestFit="1" customWidth="1"/>
    <col min="133" max="296" width="10.7109375" bestFit="1" customWidth="1"/>
    <col min="297" max="297" width="9.7109375" bestFit="1" customWidth="1"/>
    <col min="298" max="298" width="8.5703125" bestFit="1" customWidth="1"/>
  </cols>
  <sheetData>
    <row r="3" spans="1:298" x14ac:dyDescent="0.25">
      <c r="C3" s="32" t="s">
        <v>0</v>
      </c>
      <c r="D3" s="32" t="s">
        <v>211</v>
      </c>
    </row>
    <row r="4" spans="1:298" s="63" customFormat="1" x14ac:dyDescent="0.25">
      <c r="A4"/>
      <c r="B4"/>
      <c r="C4" s="37">
        <v>44200</v>
      </c>
      <c r="D4"/>
      <c r="E4" s="37">
        <v>44201</v>
      </c>
      <c r="F4"/>
      <c r="G4" s="37">
        <v>44202</v>
      </c>
      <c r="H4"/>
      <c r="I4" s="37">
        <v>44203</v>
      </c>
      <c r="J4"/>
      <c r="K4" s="37">
        <v>44204</v>
      </c>
      <c r="L4"/>
      <c r="M4" s="37">
        <v>44205</v>
      </c>
      <c r="N4"/>
      <c r="O4" s="37">
        <v>44207</v>
      </c>
      <c r="P4"/>
      <c r="Q4" s="37">
        <v>44208</v>
      </c>
      <c r="R4"/>
      <c r="S4" s="37">
        <v>44209</v>
      </c>
      <c r="T4"/>
      <c r="U4" s="37">
        <v>44210</v>
      </c>
      <c r="V4"/>
      <c r="W4" s="37">
        <v>44211</v>
      </c>
      <c r="X4"/>
      <c r="Y4" s="37">
        <v>44213</v>
      </c>
      <c r="Z4"/>
      <c r="AA4" s="37">
        <v>44214</v>
      </c>
      <c r="AB4"/>
      <c r="AC4" s="37">
        <v>44215</v>
      </c>
      <c r="AD4"/>
      <c r="AE4" s="37">
        <v>44216</v>
      </c>
      <c r="AF4"/>
      <c r="AG4" s="37">
        <v>44217</v>
      </c>
      <c r="AH4"/>
      <c r="AI4" s="37">
        <v>44218</v>
      </c>
      <c r="AJ4"/>
      <c r="AK4" s="37">
        <v>44219</v>
      </c>
      <c r="AL4"/>
      <c r="AM4" s="37">
        <v>44220</v>
      </c>
      <c r="AN4"/>
      <c r="AO4" s="37">
        <v>44221</v>
      </c>
      <c r="AP4"/>
      <c r="AQ4" s="37">
        <v>44222</v>
      </c>
      <c r="AR4"/>
      <c r="AS4" s="37">
        <v>44223</v>
      </c>
      <c r="AT4"/>
      <c r="AU4" s="37">
        <v>44224</v>
      </c>
      <c r="AV4"/>
      <c r="AW4" s="37">
        <v>44225</v>
      </c>
      <c r="AX4"/>
      <c r="AY4" s="37">
        <v>44226</v>
      </c>
      <c r="AZ4"/>
      <c r="BA4" s="37">
        <v>44227</v>
      </c>
      <c r="BB4"/>
      <c r="BC4" s="37">
        <v>44228</v>
      </c>
      <c r="BD4"/>
      <c r="BE4" s="37">
        <v>44229</v>
      </c>
      <c r="BF4"/>
      <c r="BG4" s="37">
        <v>44230</v>
      </c>
      <c r="BH4"/>
      <c r="BI4" s="37">
        <v>44257</v>
      </c>
      <c r="BJ4"/>
      <c r="BK4" s="37">
        <v>44258</v>
      </c>
      <c r="BL4"/>
      <c r="BM4" s="37">
        <v>44259</v>
      </c>
      <c r="BN4"/>
      <c r="BO4" s="37">
        <v>44260</v>
      </c>
      <c r="BP4"/>
      <c r="BQ4" s="37">
        <v>44261</v>
      </c>
      <c r="BR4"/>
      <c r="BS4" s="37">
        <v>44262</v>
      </c>
      <c r="BT4"/>
      <c r="BU4" s="37">
        <v>44263</v>
      </c>
      <c r="BV4"/>
      <c r="BW4" s="37">
        <v>44264</v>
      </c>
      <c r="BX4"/>
      <c r="BY4" s="37">
        <v>44265</v>
      </c>
      <c r="BZ4"/>
      <c r="CA4" s="37">
        <v>44266</v>
      </c>
      <c r="CB4"/>
      <c r="CC4" s="37">
        <v>44267</v>
      </c>
      <c r="CD4"/>
      <c r="CE4" s="37">
        <v>44268</v>
      </c>
      <c r="CF4"/>
      <c r="CG4" s="37">
        <v>44269</v>
      </c>
      <c r="CH4"/>
      <c r="CI4" s="37">
        <v>44270</v>
      </c>
      <c r="CJ4"/>
      <c r="CK4" s="37">
        <v>44271</v>
      </c>
      <c r="CL4"/>
      <c r="CM4" s="37">
        <v>44272</v>
      </c>
      <c r="CN4"/>
      <c r="CO4" s="37">
        <v>44273</v>
      </c>
      <c r="CP4"/>
      <c r="CQ4" s="37">
        <v>44274</v>
      </c>
      <c r="CR4"/>
      <c r="CS4" s="37">
        <v>44275</v>
      </c>
      <c r="CT4"/>
      <c r="CU4" s="37">
        <v>44276</v>
      </c>
      <c r="CV4"/>
      <c r="CW4" s="37">
        <v>44277</v>
      </c>
      <c r="CX4"/>
      <c r="CY4" s="37">
        <v>44278</v>
      </c>
      <c r="CZ4"/>
      <c r="DA4" s="37">
        <v>44279</v>
      </c>
      <c r="DB4"/>
      <c r="DC4" s="37">
        <v>44280</v>
      </c>
      <c r="DD4"/>
      <c r="DE4" s="37">
        <v>44281</v>
      </c>
      <c r="DF4"/>
      <c r="DG4" s="37">
        <v>44282</v>
      </c>
      <c r="DH4"/>
      <c r="DI4" s="37">
        <v>44283</v>
      </c>
      <c r="DJ4"/>
      <c r="DK4" s="37">
        <v>44284</v>
      </c>
      <c r="DL4"/>
      <c r="DM4" s="37">
        <v>44287</v>
      </c>
      <c r="DN4"/>
      <c r="DO4" s="37">
        <v>44288</v>
      </c>
      <c r="DP4"/>
      <c r="DQ4" s="37">
        <v>44289</v>
      </c>
      <c r="DR4"/>
      <c r="DS4" s="37">
        <v>44290</v>
      </c>
      <c r="DT4"/>
      <c r="DU4" s="37">
        <v>44291</v>
      </c>
      <c r="DV4"/>
      <c r="DW4" s="37">
        <v>44348</v>
      </c>
      <c r="DX4"/>
      <c r="DY4" t="s">
        <v>207</v>
      </c>
      <c r="DZ4"/>
      <c r="EA4" t="s">
        <v>212</v>
      </c>
      <c r="EB4" t="s">
        <v>167</v>
      </c>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row>
    <row r="5" spans="1:298" x14ac:dyDescent="0.25">
      <c r="A5" s="32" t="s">
        <v>2</v>
      </c>
      <c r="B5" s="32" t="s">
        <v>9</v>
      </c>
      <c r="C5" t="s">
        <v>213</v>
      </c>
      <c r="D5" t="s">
        <v>214</v>
      </c>
      <c r="E5" t="s">
        <v>213</v>
      </c>
      <c r="F5" t="s">
        <v>214</v>
      </c>
      <c r="G5" t="s">
        <v>213</v>
      </c>
      <c r="H5" t="s">
        <v>214</v>
      </c>
      <c r="I5" t="s">
        <v>213</v>
      </c>
      <c r="J5" t="s">
        <v>214</v>
      </c>
      <c r="K5" t="s">
        <v>213</v>
      </c>
      <c r="L5" t="s">
        <v>214</v>
      </c>
      <c r="M5" t="s">
        <v>213</v>
      </c>
      <c r="N5" t="s">
        <v>214</v>
      </c>
      <c r="O5" t="s">
        <v>213</v>
      </c>
      <c r="P5" t="s">
        <v>214</v>
      </c>
      <c r="Q5" t="s">
        <v>213</v>
      </c>
      <c r="R5" t="s">
        <v>214</v>
      </c>
      <c r="S5" t="s">
        <v>213</v>
      </c>
      <c r="T5" t="s">
        <v>214</v>
      </c>
      <c r="U5" t="s">
        <v>213</v>
      </c>
      <c r="V5" t="s">
        <v>214</v>
      </c>
      <c r="W5" t="s">
        <v>213</v>
      </c>
      <c r="X5" t="s">
        <v>214</v>
      </c>
      <c r="Y5" t="s">
        <v>213</v>
      </c>
      <c r="Z5" t="s">
        <v>214</v>
      </c>
      <c r="AA5" t="s">
        <v>213</v>
      </c>
      <c r="AB5" t="s">
        <v>214</v>
      </c>
      <c r="AC5" t="s">
        <v>213</v>
      </c>
      <c r="AD5" t="s">
        <v>214</v>
      </c>
      <c r="AE5" t="s">
        <v>213</v>
      </c>
      <c r="AF5" t="s">
        <v>214</v>
      </c>
      <c r="AG5" t="s">
        <v>213</v>
      </c>
      <c r="AH5" t="s">
        <v>214</v>
      </c>
      <c r="AI5" t="s">
        <v>213</v>
      </c>
      <c r="AJ5" t="s">
        <v>214</v>
      </c>
      <c r="AK5" t="s">
        <v>213</v>
      </c>
      <c r="AL5" t="s">
        <v>214</v>
      </c>
      <c r="AM5" t="s">
        <v>213</v>
      </c>
      <c r="AN5" t="s">
        <v>214</v>
      </c>
      <c r="AO5" t="s">
        <v>213</v>
      </c>
      <c r="AP5" t="s">
        <v>214</v>
      </c>
      <c r="AQ5" t="s">
        <v>213</v>
      </c>
      <c r="AR5" t="s">
        <v>214</v>
      </c>
      <c r="AS5" t="s">
        <v>213</v>
      </c>
      <c r="AT5" t="s">
        <v>214</v>
      </c>
      <c r="AU5" t="s">
        <v>213</v>
      </c>
      <c r="AV5" t="s">
        <v>214</v>
      </c>
      <c r="AW5" t="s">
        <v>213</v>
      </c>
      <c r="AX5" t="s">
        <v>214</v>
      </c>
      <c r="AY5" t="s">
        <v>213</v>
      </c>
      <c r="AZ5" t="s">
        <v>214</v>
      </c>
      <c r="BA5" t="s">
        <v>213</v>
      </c>
      <c r="BB5" t="s">
        <v>214</v>
      </c>
      <c r="BC5" t="s">
        <v>213</v>
      </c>
      <c r="BD5" t="s">
        <v>214</v>
      </c>
      <c r="BE5" t="s">
        <v>213</v>
      </c>
      <c r="BF5" t="s">
        <v>214</v>
      </c>
      <c r="BG5" t="s">
        <v>213</v>
      </c>
      <c r="BH5" t="s">
        <v>214</v>
      </c>
      <c r="BI5" t="s">
        <v>213</v>
      </c>
      <c r="BJ5" t="s">
        <v>214</v>
      </c>
      <c r="BK5" t="s">
        <v>213</v>
      </c>
      <c r="BL5" t="s">
        <v>214</v>
      </c>
      <c r="BM5" t="s">
        <v>213</v>
      </c>
      <c r="BN5" t="s">
        <v>214</v>
      </c>
      <c r="BO5" t="s">
        <v>213</v>
      </c>
      <c r="BP5" t="s">
        <v>214</v>
      </c>
      <c r="BQ5" t="s">
        <v>213</v>
      </c>
      <c r="BR5" t="s">
        <v>214</v>
      </c>
      <c r="BS5" t="s">
        <v>213</v>
      </c>
      <c r="BT5" t="s">
        <v>214</v>
      </c>
      <c r="BU5" t="s">
        <v>213</v>
      </c>
      <c r="BV5" t="s">
        <v>214</v>
      </c>
      <c r="BW5" t="s">
        <v>213</v>
      </c>
      <c r="BX5" t="s">
        <v>214</v>
      </c>
      <c r="BY5" t="s">
        <v>213</v>
      </c>
      <c r="BZ5" t="s">
        <v>214</v>
      </c>
      <c r="CA5" t="s">
        <v>213</v>
      </c>
      <c r="CB5" t="s">
        <v>214</v>
      </c>
      <c r="CC5" t="s">
        <v>213</v>
      </c>
      <c r="CD5" t="s">
        <v>214</v>
      </c>
      <c r="CE5" t="s">
        <v>213</v>
      </c>
      <c r="CF5" t="s">
        <v>214</v>
      </c>
      <c r="CG5" t="s">
        <v>213</v>
      </c>
      <c r="CH5" t="s">
        <v>214</v>
      </c>
      <c r="CI5" t="s">
        <v>213</v>
      </c>
      <c r="CJ5" t="s">
        <v>214</v>
      </c>
      <c r="CK5" t="s">
        <v>213</v>
      </c>
      <c r="CL5" t="s">
        <v>214</v>
      </c>
      <c r="CM5" t="s">
        <v>213</v>
      </c>
      <c r="CN5" t="s">
        <v>214</v>
      </c>
      <c r="CO5" t="s">
        <v>213</v>
      </c>
      <c r="CP5" t="s">
        <v>214</v>
      </c>
      <c r="CQ5" t="s">
        <v>213</v>
      </c>
      <c r="CR5" t="s">
        <v>214</v>
      </c>
      <c r="CS5" t="s">
        <v>213</v>
      </c>
      <c r="CT5" t="s">
        <v>214</v>
      </c>
      <c r="CU5" t="s">
        <v>213</v>
      </c>
      <c r="CV5" t="s">
        <v>214</v>
      </c>
      <c r="CW5" t="s">
        <v>213</v>
      </c>
      <c r="CX5" t="s">
        <v>214</v>
      </c>
      <c r="CY5" t="s">
        <v>213</v>
      </c>
      <c r="CZ5" t="s">
        <v>214</v>
      </c>
      <c r="DA5" t="s">
        <v>213</v>
      </c>
      <c r="DB5" t="s">
        <v>214</v>
      </c>
      <c r="DC5" t="s">
        <v>213</v>
      </c>
      <c r="DD5" t="s">
        <v>214</v>
      </c>
      <c r="DE5" t="s">
        <v>213</v>
      </c>
      <c r="DF5" t="s">
        <v>214</v>
      </c>
      <c r="DG5" t="s">
        <v>213</v>
      </c>
      <c r="DH5" t="s">
        <v>214</v>
      </c>
      <c r="DI5" t="s">
        <v>213</v>
      </c>
      <c r="DJ5" t="s">
        <v>214</v>
      </c>
      <c r="DK5" t="s">
        <v>213</v>
      </c>
      <c r="DL5" t="s">
        <v>214</v>
      </c>
      <c r="DM5" t="s">
        <v>213</v>
      </c>
      <c r="DN5" t="s">
        <v>214</v>
      </c>
      <c r="DO5" t="s">
        <v>213</v>
      </c>
      <c r="DP5" t="s">
        <v>214</v>
      </c>
      <c r="DQ5" t="s">
        <v>213</v>
      </c>
      <c r="DR5" t="s">
        <v>214</v>
      </c>
      <c r="DS5" t="s">
        <v>213</v>
      </c>
      <c r="DT5" t="s">
        <v>214</v>
      </c>
      <c r="DU5" t="s">
        <v>213</v>
      </c>
      <c r="DV5" t="s">
        <v>214</v>
      </c>
      <c r="DW5" t="s">
        <v>213</v>
      </c>
      <c r="DX5" t="s">
        <v>214</v>
      </c>
      <c r="DY5" t="s">
        <v>213</v>
      </c>
      <c r="DZ5" t="s">
        <v>214</v>
      </c>
    </row>
    <row r="6" spans="1:298" x14ac:dyDescent="0.25">
      <c r="A6" t="s">
        <v>207</v>
      </c>
      <c r="C6" s="33"/>
      <c r="D6" s="33"/>
      <c r="E6" s="33"/>
      <c r="F6" s="33"/>
      <c r="G6" s="33"/>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c r="CV6" s="33"/>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row>
    <row r="7" spans="1:298" x14ac:dyDescent="0.25">
      <c r="A7" t="s">
        <v>51</v>
      </c>
      <c r="C7" s="33">
        <v>837</v>
      </c>
      <c r="D7" s="33">
        <v>0</v>
      </c>
      <c r="E7" s="33">
        <v>1933</v>
      </c>
      <c r="F7" s="33">
        <v>0</v>
      </c>
      <c r="G7" s="33">
        <v>1839</v>
      </c>
      <c r="H7" s="33">
        <v>0</v>
      </c>
      <c r="I7" s="33">
        <v>1863</v>
      </c>
      <c r="J7" s="33">
        <v>0</v>
      </c>
      <c r="K7" s="33">
        <v>1942</v>
      </c>
      <c r="L7" s="33">
        <v>0</v>
      </c>
      <c r="M7" s="33">
        <v>1881</v>
      </c>
      <c r="N7" s="33">
        <v>0</v>
      </c>
      <c r="O7" s="33">
        <v>1784</v>
      </c>
      <c r="P7" s="33">
        <v>0</v>
      </c>
      <c r="Q7" s="33">
        <v>1780</v>
      </c>
      <c r="R7" s="33">
        <v>0</v>
      </c>
      <c r="S7" s="33">
        <v>1836</v>
      </c>
      <c r="T7" s="33">
        <v>0</v>
      </c>
      <c r="U7" s="33">
        <v>1994</v>
      </c>
      <c r="V7" s="33">
        <v>0</v>
      </c>
      <c r="W7" s="33">
        <v>2465</v>
      </c>
      <c r="X7" s="33">
        <v>0</v>
      </c>
      <c r="Y7" s="33">
        <v>1683</v>
      </c>
      <c r="Z7" s="33">
        <v>0</v>
      </c>
      <c r="AA7" s="33">
        <v>1541</v>
      </c>
      <c r="AB7" s="33">
        <v>1</v>
      </c>
      <c r="AC7" s="33">
        <v>2036</v>
      </c>
      <c r="AD7" s="33">
        <v>0</v>
      </c>
      <c r="AE7" s="33">
        <v>1766</v>
      </c>
      <c r="AF7" s="33">
        <v>0</v>
      </c>
      <c r="AG7" s="33">
        <v>1335</v>
      </c>
      <c r="AH7" s="33">
        <v>0</v>
      </c>
      <c r="AI7" s="33">
        <v>1550</v>
      </c>
      <c r="AJ7" s="33">
        <v>0</v>
      </c>
      <c r="AK7" s="33">
        <v>1866</v>
      </c>
      <c r="AL7" s="33">
        <v>0</v>
      </c>
      <c r="AM7" s="33">
        <v>599</v>
      </c>
      <c r="AN7" s="33">
        <v>0</v>
      </c>
      <c r="AO7" s="33">
        <v>1522</v>
      </c>
      <c r="AP7" s="33">
        <v>0</v>
      </c>
      <c r="AQ7" s="33">
        <v>1783</v>
      </c>
      <c r="AR7" s="33">
        <v>0</v>
      </c>
      <c r="AS7" s="33">
        <v>1520</v>
      </c>
      <c r="AT7" s="33">
        <v>0</v>
      </c>
      <c r="AU7" s="33">
        <v>2163</v>
      </c>
      <c r="AV7" s="33">
        <v>1</v>
      </c>
      <c r="AW7" s="33">
        <v>1630</v>
      </c>
      <c r="AX7" s="33">
        <v>0</v>
      </c>
      <c r="AY7" s="33">
        <v>1355</v>
      </c>
      <c r="AZ7" s="33">
        <v>0</v>
      </c>
      <c r="BA7" s="33">
        <v>625</v>
      </c>
      <c r="BB7" s="33">
        <v>0</v>
      </c>
      <c r="BC7" s="33">
        <v>1405</v>
      </c>
      <c r="BD7" s="33">
        <v>0</v>
      </c>
      <c r="BE7" s="33">
        <v>1700</v>
      </c>
      <c r="BF7" s="33">
        <v>0</v>
      </c>
      <c r="BG7" s="33">
        <v>1762</v>
      </c>
      <c r="BH7" s="33">
        <v>0</v>
      </c>
      <c r="BI7" s="33"/>
      <c r="BJ7" s="33"/>
      <c r="BK7" s="33">
        <v>1415</v>
      </c>
      <c r="BL7" s="33">
        <v>0</v>
      </c>
      <c r="BM7" s="33">
        <v>1772</v>
      </c>
      <c r="BN7" s="33">
        <v>0</v>
      </c>
      <c r="BO7" s="33">
        <v>1810</v>
      </c>
      <c r="BP7" s="33">
        <v>0</v>
      </c>
      <c r="BQ7" s="33">
        <v>1705</v>
      </c>
      <c r="BR7" s="33">
        <v>0</v>
      </c>
      <c r="BS7" s="33">
        <v>1293</v>
      </c>
      <c r="BT7" s="33">
        <v>0</v>
      </c>
      <c r="BU7" s="33">
        <v>3846</v>
      </c>
      <c r="BV7" s="33">
        <v>0</v>
      </c>
      <c r="BW7" s="33">
        <v>1862</v>
      </c>
      <c r="BX7" s="33">
        <v>0</v>
      </c>
      <c r="BY7" s="33">
        <v>2531</v>
      </c>
      <c r="BZ7" s="33">
        <v>0</v>
      </c>
      <c r="CA7" s="33">
        <v>2713</v>
      </c>
      <c r="CB7" s="33">
        <v>0</v>
      </c>
      <c r="CC7" s="33">
        <v>2157</v>
      </c>
      <c r="CD7" s="33">
        <v>0</v>
      </c>
      <c r="CE7" s="33">
        <v>2204</v>
      </c>
      <c r="CF7" s="33">
        <v>0</v>
      </c>
      <c r="CG7" s="33">
        <v>1020</v>
      </c>
      <c r="CH7" s="33">
        <v>0</v>
      </c>
      <c r="CI7" s="33">
        <v>2744</v>
      </c>
      <c r="CJ7" s="33">
        <v>0</v>
      </c>
      <c r="CK7" s="33">
        <v>1796</v>
      </c>
      <c r="CL7" s="33">
        <v>0</v>
      </c>
      <c r="CM7" s="33">
        <v>1662</v>
      </c>
      <c r="CN7" s="33">
        <v>0</v>
      </c>
      <c r="CO7" s="33">
        <v>2184</v>
      </c>
      <c r="CP7" s="33">
        <v>2</v>
      </c>
      <c r="CQ7" s="33">
        <v>1683</v>
      </c>
      <c r="CR7" s="33">
        <v>0</v>
      </c>
      <c r="CS7" s="33">
        <v>2206</v>
      </c>
      <c r="CT7" s="33">
        <v>0</v>
      </c>
      <c r="CU7" s="33"/>
      <c r="CV7" s="33"/>
      <c r="CW7" s="33">
        <v>1708</v>
      </c>
      <c r="CX7" s="33">
        <v>0</v>
      </c>
      <c r="CY7" s="33">
        <v>1602</v>
      </c>
      <c r="CZ7" s="33">
        <v>0</v>
      </c>
      <c r="DA7" s="33">
        <v>1795</v>
      </c>
      <c r="DB7" s="33">
        <v>0</v>
      </c>
      <c r="DC7" s="33">
        <v>2162</v>
      </c>
      <c r="DD7" s="33">
        <v>1</v>
      </c>
      <c r="DE7" s="33">
        <v>1980</v>
      </c>
      <c r="DF7" s="33">
        <v>1</v>
      </c>
      <c r="DG7" s="33">
        <v>730</v>
      </c>
      <c r="DH7" s="33">
        <v>0</v>
      </c>
      <c r="DI7" s="33"/>
      <c r="DJ7" s="33"/>
      <c r="DK7" s="33">
        <v>296</v>
      </c>
      <c r="DL7" s="33">
        <v>0</v>
      </c>
      <c r="DM7" s="33">
        <v>941</v>
      </c>
      <c r="DN7" s="33">
        <v>0</v>
      </c>
      <c r="DO7" s="33">
        <v>1224</v>
      </c>
      <c r="DP7" s="33">
        <v>1</v>
      </c>
      <c r="DQ7" s="33">
        <v>933</v>
      </c>
      <c r="DR7" s="33">
        <v>0</v>
      </c>
      <c r="DS7" s="33">
        <v>725</v>
      </c>
      <c r="DT7" s="33">
        <v>0</v>
      </c>
      <c r="DU7" s="33">
        <v>1400</v>
      </c>
      <c r="DV7" s="33">
        <v>0</v>
      </c>
      <c r="DW7" s="33">
        <v>24</v>
      </c>
      <c r="DX7" s="33">
        <v>24</v>
      </c>
      <c r="DY7" s="33"/>
      <c r="DZ7" s="33"/>
      <c r="EA7" s="33">
        <v>100118</v>
      </c>
      <c r="EB7" s="33">
        <v>31</v>
      </c>
    </row>
    <row r="8" spans="1:298" x14ac:dyDescent="0.25">
      <c r="A8" t="s">
        <v>41</v>
      </c>
      <c r="C8" s="33">
        <v>5094</v>
      </c>
      <c r="D8" s="33">
        <v>0</v>
      </c>
      <c r="E8" s="33">
        <v>11513</v>
      </c>
      <c r="F8" s="33">
        <v>2</v>
      </c>
      <c r="G8" s="33">
        <v>12147</v>
      </c>
      <c r="H8" s="33">
        <v>1</v>
      </c>
      <c r="I8" s="33">
        <v>11717</v>
      </c>
      <c r="J8" s="33">
        <v>0</v>
      </c>
      <c r="K8" s="33">
        <v>10508</v>
      </c>
      <c r="L8" s="33">
        <v>0</v>
      </c>
      <c r="M8" s="33">
        <v>9737</v>
      </c>
      <c r="N8" s="33">
        <v>1</v>
      </c>
      <c r="O8" s="33">
        <v>11715</v>
      </c>
      <c r="P8" s="33">
        <v>1</v>
      </c>
      <c r="Q8" s="33">
        <v>8940</v>
      </c>
      <c r="R8" s="33">
        <v>1</v>
      </c>
      <c r="S8" s="33">
        <v>10169</v>
      </c>
      <c r="T8" s="33">
        <v>1</v>
      </c>
      <c r="U8" s="33">
        <v>11997</v>
      </c>
      <c r="V8" s="33">
        <v>2</v>
      </c>
      <c r="W8" s="33">
        <v>11031</v>
      </c>
      <c r="X8" s="33">
        <v>0</v>
      </c>
      <c r="Y8" s="33">
        <v>120</v>
      </c>
      <c r="Z8" s="33">
        <v>0</v>
      </c>
      <c r="AA8" s="33">
        <v>9583</v>
      </c>
      <c r="AB8" s="33">
        <v>1</v>
      </c>
      <c r="AC8" s="33">
        <v>10099</v>
      </c>
      <c r="AD8" s="33">
        <v>1</v>
      </c>
      <c r="AE8" s="33">
        <v>12533</v>
      </c>
      <c r="AF8" s="33">
        <v>0</v>
      </c>
      <c r="AG8" s="33">
        <v>14539</v>
      </c>
      <c r="AH8" s="33">
        <v>2</v>
      </c>
      <c r="AI8" s="33">
        <v>13828</v>
      </c>
      <c r="AJ8" s="33">
        <v>0</v>
      </c>
      <c r="AK8" s="33">
        <v>12170</v>
      </c>
      <c r="AL8" s="33">
        <v>1</v>
      </c>
      <c r="AM8" s="33"/>
      <c r="AN8" s="33"/>
      <c r="AO8" s="33">
        <v>10713</v>
      </c>
      <c r="AP8" s="33">
        <v>0</v>
      </c>
      <c r="AQ8" s="33">
        <v>8624</v>
      </c>
      <c r="AR8" s="33">
        <v>0</v>
      </c>
      <c r="AS8" s="33">
        <v>8054</v>
      </c>
      <c r="AT8" s="33">
        <v>0</v>
      </c>
      <c r="AU8" s="33">
        <v>7754</v>
      </c>
      <c r="AV8" s="33">
        <v>1</v>
      </c>
      <c r="AW8" s="33">
        <v>8222</v>
      </c>
      <c r="AX8" s="33">
        <v>1</v>
      </c>
      <c r="AY8" s="33">
        <v>10252</v>
      </c>
      <c r="AZ8" s="33">
        <v>1</v>
      </c>
      <c r="BA8" s="33">
        <v>120</v>
      </c>
      <c r="BB8" s="33">
        <v>0</v>
      </c>
      <c r="BC8" s="33">
        <v>9564</v>
      </c>
      <c r="BD8" s="33">
        <v>3</v>
      </c>
      <c r="BE8" s="33">
        <v>10193</v>
      </c>
      <c r="BF8" s="33">
        <v>2</v>
      </c>
      <c r="BG8" s="33">
        <v>3595</v>
      </c>
      <c r="BH8" s="33">
        <v>0</v>
      </c>
      <c r="BI8" s="33">
        <v>8501</v>
      </c>
      <c r="BJ8" s="33">
        <v>1</v>
      </c>
      <c r="BK8" s="33">
        <v>11751</v>
      </c>
      <c r="BL8" s="33">
        <v>3</v>
      </c>
      <c r="BM8" s="33">
        <v>14219</v>
      </c>
      <c r="BN8" s="33">
        <v>0</v>
      </c>
      <c r="BO8" s="33">
        <v>16007</v>
      </c>
      <c r="BP8" s="33">
        <v>1</v>
      </c>
      <c r="BQ8" s="33">
        <v>13862</v>
      </c>
      <c r="BR8" s="33">
        <v>0</v>
      </c>
      <c r="BS8" s="33">
        <v>19337</v>
      </c>
      <c r="BT8" s="33">
        <v>0</v>
      </c>
      <c r="BU8" s="33">
        <v>17248</v>
      </c>
      <c r="BV8" s="33">
        <v>0</v>
      </c>
      <c r="BW8" s="33">
        <v>19939</v>
      </c>
      <c r="BX8" s="33">
        <v>3</v>
      </c>
      <c r="BY8" s="33">
        <v>16621</v>
      </c>
      <c r="BZ8" s="33">
        <v>0</v>
      </c>
      <c r="CA8" s="33">
        <v>13461</v>
      </c>
      <c r="CB8" s="33">
        <v>3</v>
      </c>
      <c r="CC8" s="33">
        <v>12754</v>
      </c>
      <c r="CD8" s="33">
        <v>0</v>
      </c>
      <c r="CE8" s="33">
        <v>12994</v>
      </c>
      <c r="CF8" s="33">
        <v>1</v>
      </c>
      <c r="CG8" s="33">
        <v>13645</v>
      </c>
      <c r="CH8" s="33">
        <v>2</v>
      </c>
      <c r="CI8" s="33">
        <v>17116</v>
      </c>
      <c r="CJ8" s="33">
        <v>3</v>
      </c>
      <c r="CK8" s="33">
        <v>12704</v>
      </c>
      <c r="CL8" s="33">
        <v>0</v>
      </c>
      <c r="CM8" s="33">
        <v>12520</v>
      </c>
      <c r="CN8" s="33">
        <v>2</v>
      </c>
      <c r="CO8" s="33">
        <v>14366</v>
      </c>
      <c r="CP8" s="33">
        <v>1</v>
      </c>
      <c r="CQ8" s="33">
        <v>16919</v>
      </c>
      <c r="CR8" s="33">
        <v>1</v>
      </c>
      <c r="CS8" s="33">
        <v>12332</v>
      </c>
      <c r="CT8" s="33">
        <v>2</v>
      </c>
      <c r="CU8" s="33">
        <v>2443</v>
      </c>
      <c r="CV8" s="33">
        <v>0</v>
      </c>
      <c r="CW8" s="33">
        <v>12681</v>
      </c>
      <c r="CX8" s="33">
        <v>0</v>
      </c>
      <c r="CY8" s="33">
        <v>15106</v>
      </c>
      <c r="CZ8" s="33">
        <v>0</v>
      </c>
      <c r="DA8" s="33">
        <v>14693</v>
      </c>
      <c r="DB8" s="33">
        <v>0</v>
      </c>
      <c r="DC8" s="33">
        <v>14683</v>
      </c>
      <c r="DD8" s="33">
        <v>3</v>
      </c>
      <c r="DE8" s="33">
        <v>12336</v>
      </c>
      <c r="DF8" s="33">
        <v>0</v>
      </c>
      <c r="DG8" s="33">
        <v>8829</v>
      </c>
      <c r="DH8" s="33">
        <v>1</v>
      </c>
      <c r="DI8" s="33">
        <v>2963</v>
      </c>
      <c r="DJ8" s="33">
        <v>0</v>
      </c>
      <c r="DK8" s="33">
        <v>12036</v>
      </c>
      <c r="DL8" s="33">
        <v>0</v>
      </c>
      <c r="DM8" s="33">
        <v>7749</v>
      </c>
      <c r="DN8" s="33">
        <v>0</v>
      </c>
      <c r="DO8" s="33">
        <v>10626</v>
      </c>
      <c r="DP8" s="33">
        <v>1</v>
      </c>
      <c r="DQ8" s="33">
        <v>14951</v>
      </c>
      <c r="DR8" s="33">
        <v>1</v>
      </c>
      <c r="DS8" s="33"/>
      <c r="DT8" s="33"/>
      <c r="DU8" s="33">
        <v>11063</v>
      </c>
      <c r="DV8" s="33">
        <v>1</v>
      </c>
      <c r="DW8" s="33"/>
      <c r="DX8" s="33"/>
      <c r="DY8" s="33"/>
      <c r="DZ8" s="33"/>
      <c r="EA8" s="33">
        <v>680986</v>
      </c>
      <c r="EB8" s="33">
        <v>52</v>
      </c>
    </row>
    <row r="9" spans="1:298" x14ac:dyDescent="0.25">
      <c r="A9" t="s">
        <v>143</v>
      </c>
      <c r="C9" s="33">
        <v>5931</v>
      </c>
      <c r="D9" s="33">
        <v>0</v>
      </c>
      <c r="E9" s="33">
        <v>13446</v>
      </c>
      <c r="F9" s="33">
        <v>2</v>
      </c>
      <c r="G9" s="33">
        <v>13986</v>
      </c>
      <c r="H9" s="33">
        <v>1</v>
      </c>
      <c r="I9" s="33">
        <v>13580</v>
      </c>
      <c r="J9" s="33">
        <v>0</v>
      </c>
      <c r="K9" s="33">
        <v>12450</v>
      </c>
      <c r="L9" s="33">
        <v>0</v>
      </c>
      <c r="M9" s="33">
        <v>11618</v>
      </c>
      <c r="N9" s="33">
        <v>1</v>
      </c>
      <c r="O9" s="33">
        <v>13499</v>
      </c>
      <c r="P9" s="33">
        <v>1</v>
      </c>
      <c r="Q9" s="33">
        <v>10720</v>
      </c>
      <c r="R9" s="33">
        <v>1</v>
      </c>
      <c r="S9" s="33">
        <v>12005</v>
      </c>
      <c r="T9" s="33">
        <v>1</v>
      </c>
      <c r="U9" s="33">
        <v>13991</v>
      </c>
      <c r="V9" s="33">
        <v>2</v>
      </c>
      <c r="W9" s="33">
        <v>13496</v>
      </c>
      <c r="X9" s="33">
        <v>0</v>
      </c>
      <c r="Y9" s="33">
        <v>1803</v>
      </c>
      <c r="Z9" s="33">
        <v>0</v>
      </c>
      <c r="AA9" s="33">
        <v>11124</v>
      </c>
      <c r="AB9" s="33">
        <v>2</v>
      </c>
      <c r="AC9" s="33">
        <v>12135</v>
      </c>
      <c r="AD9" s="33">
        <v>1</v>
      </c>
      <c r="AE9" s="33">
        <v>14299</v>
      </c>
      <c r="AF9" s="33">
        <v>0</v>
      </c>
      <c r="AG9" s="33">
        <v>15874</v>
      </c>
      <c r="AH9" s="33">
        <v>2</v>
      </c>
      <c r="AI9" s="33">
        <v>15378</v>
      </c>
      <c r="AJ9" s="33">
        <v>0</v>
      </c>
      <c r="AK9" s="33">
        <v>14036</v>
      </c>
      <c r="AL9" s="33">
        <v>1</v>
      </c>
      <c r="AM9" s="33">
        <v>599</v>
      </c>
      <c r="AN9" s="33">
        <v>0</v>
      </c>
      <c r="AO9" s="33">
        <v>12235</v>
      </c>
      <c r="AP9" s="33">
        <v>0</v>
      </c>
      <c r="AQ9" s="33">
        <v>10407</v>
      </c>
      <c r="AR9" s="33">
        <v>0</v>
      </c>
      <c r="AS9" s="33">
        <v>9574</v>
      </c>
      <c r="AT9" s="33">
        <v>0</v>
      </c>
      <c r="AU9" s="33">
        <v>9917</v>
      </c>
      <c r="AV9" s="33">
        <v>2</v>
      </c>
      <c r="AW9" s="33">
        <v>9852</v>
      </c>
      <c r="AX9" s="33">
        <v>1</v>
      </c>
      <c r="AY9" s="33">
        <v>11607</v>
      </c>
      <c r="AZ9" s="33">
        <v>1</v>
      </c>
      <c r="BA9" s="33">
        <v>745</v>
      </c>
      <c r="BB9" s="33">
        <v>0</v>
      </c>
      <c r="BC9" s="33">
        <v>10969</v>
      </c>
      <c r="BD9" s="33">
        <v>3</v>
      </c>
      <c r="BE9" s="33">
        <v>11893</v>
      </c>
      <c r="BF9" s="33">
        <v>2</v>
      </c>
      <c r="BG9" s="33">
        <v>5357</v>
      </c>
      <c r="BH9" s="33">
        <v>0</v>
      </c>
      <c r="BI9" s="33">
        <v>8501</v>
      </c>
      <c r="BJ9" s="33">
        <v>1</v>
      </c>
      <c r="BK9" s="33">
        <v>13166</v>
      </c>
      <c r="BL9" s="33">
        <v>3</v>
      </c>
      <c r="BM9" s="33">
        <v>15991</v>
      </c>
      <c r="BN9" s="33">
        <v>0</v>
      </c>
      <c r="BO9" s="33">
        <v>17817</v>
      </c>
      <c r="BP9" s="33">
        <v>1</v>
      </c>
      <c r="BQ9" s="33">
        <v>15567</v>
      </c>
      <c r="BR9" s="33">
        <v>0</v>
      </c>
      <c r="BS9" s="33">
        <v>20630</v>
      </c>
      <c r="BT9" s="33">
        <v>0</v>
      </c>
      <c r="BU9" s="33">
        <v>21094</v>
      </c>
      <c r="BV9" s="33">
        <v>0</v>
      </c>
      <c r="BW9" s="33">
        <v>21801</v>
      </c>
      <c r="BX9" s="33">
        <v>3</v>
      </c>
      <c r="BY9" s="33">
        <v>19152</v>
      </c>
      <c r="BZ9" s="33">
        <v>0</v>
      </c>
      <c r="CA9" s="33">
        <v>16174</v>
      </c>
      <c r="CB9" s="33">
        <v>3</v>
      </c>
      <c r="CC9" s="33">
        <v>14911</v>
      </c>
      <c r="CD9" s="33">
        <v>0</v>
      </c>
      <c r="CE9" s="33">
        <v>15198</v>
      </c>
      <c r="CF9" s="33">
        <v>1</v>
      </c>
      <c r="CG9" s="33">
        <v>14665</v>
      </c>
      <c r="CH9" s="33">
        <v>2</v>
      </c>
      <c r="CI9" s="33">
        <v>19860</v>
      </c>
      <c r="CJ9" s="33">
        <v>3</v>
      </c>
      <c r="CK9" s="33">
        <v>14500</v>
      </c>
      <c r="CL9" s="33">
        <v>0</v>
      </c>
      <c r="CM9" s="33">
        <v>14182</v>
      </c>
      <c r="CN9" s="33">
        <v>2</v>
      </c>
      <c r="CO9" s="33">
        <v>16550</v>
      </c>
      <c r="CP9" s="33">
        <v>3</v>
      </c>
      <c r="CQ9" s="33">
        <v>18602</v>
      </c>
      <c r="CR9" s="33">
        <v>1</v>
      </c>
      <c r="CS9" s="33">
        <v>14538</v>
      </c>
      <c r="CT9" s="33">
        <v>2</v>
      </c>
      <c r="CU9" s="33">
        <v>2443</v>
      </c>
      <c r="CV9" s="33">
        <v>0</v>
      </c>
      <c r="CW9" s="33">
        <v>14389</v>
      </c>
      <c r="CX9" s="33">
        <v>0</v>
      </c>
      <c r="CY9" s="33">
        <v>16708</v>
      </c>
      <c r="CZ9" s="33">
        <v>0</v>
      </c>
      <c r="DA9" s="33">
        <v>16488</v>
      </c>
      <c r="DB9" s="33">
        <v>0</v>
      </c>
      <c r="DC9" s="33">
        <v>16845</v>
      </c>
      <c r="DD9" s="33">
        <v>4</v>
      </c>
      <c r="DE9" s="33">
        <v>14316</v>
      </c>
      <c r="DF9" s="33">
        <v>1</v>
      </c>
      <c r="DG9" s="33">
        <v>9559</v>
      </c>
      <c r="DH9" s="33">
        <v>1</v>
      </c>
      <c r="DI9" s="33">
        <v>2963</v>
      </c>
      <c r="DJ9" s="33">
        <v>0</v>
      </c>
      <c r="DK9" s="33">
        <v>12332</v>
      </c>
      <c r="DL9" s="33">
        <v>0</v>
      </c>
      <c r="DM9" s="33">
        <v>8690</v>
      </c>
      <c r="DN9" s="33">
        <v>0</v>
      </c>
      <c r="DO9" s="33">
        <v>11850</v>
      </c>
      <c r="DP9" s="33">
        <v>2</v>
      </c>
      <c r="DQ9" s="33">
        <v>15884</v>
      </c>
      <c r="DR9" s="33">
        <v>1</v>
      </c>
      <c r="DS9" s="33">
        <v>725</v>
      </c>
      <c r="DT9" s="33">
        <v>0</v>
      </c>
      <c r="DU9" s="33">
        <v>12463</v>
      </c>
      <c r="DV9" s="33">
        <v>1</v>
      </c>
      <c r="DW9" s="33">
        <v>24</v>
      </c>
      <c r="DX9" s="33">
        <v>24</v>
      </c>
      <c r="DY9" s="33"/>
      <c r="DZ9" s="33"/>
      <c r="EA9" s="33">
        <v>781104</v>
      </c>
      <c r="EB9" s="33">
        <v>83</v>
      </c>
    </row>
  </sheetData>
  <pageMargins left="0.7" right="0.7" top="0.75" bottom="0.75" header="0.3" footer="0.3"/>
  <pageSetup paperSize="9"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pageSetUpPr fitToPage="1"/>
  </sheetPr>
  <dimension ref="A1:AB176"/>
  <sheetViews>
    <sheetView showGridLines="0" view="pageBreakPreview" topLeftCell="A112" zoomScaleNormal="100" zoomScaleSheetLayoutView="100" workbookViewId="0">
      <selection activeCell="BM125" sqref="AW122:BM125"/>
    </sheetView>
  </sheetViews>
  <sheetFormatPr defaultColWidth="3.5703125" defaultRowHeight="15" x14ac:dyDescent="0.25"/>
  <cols>
    <col min="1" max="1" width="3.5703125" style="39" customWidth="1"/>
    <col min="2" max="18" width="3.85546875" style="39" customWidth="1"/>
    <col min="19" max="19" width="3.5703125" style="39" customWidth="1"/>
    <col min="20" max="28" width="3.85546875" style="39" customWidth="1"/>
    <col min="29" max="16384" width="3.5703125" style="39"/>
  </cols>
  <sheetData>
    <row r="1" spans="1:28" ht="6.75" customHeight="1" x14ac:dyDescent="0.25">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row>
    <row r="2" spans="1:28" x14ac:dyDescent="0.25">
      <c r="A2" s="38"/>
      <c r="B2" s="60" t="s">
        <v>154</v>
      </c>
      <c r="C2" s="38"/>
      <c r="D2" s="70"/>
      <c r="E2" s="70"/>
      <c r="F2" s="70"/>
      <c r="G2" s="70"/>
      <c r="H2" s="70"/>
      <c r="I2" s="38"/>
      <c r="J2" s="38"/>
      <c r="K2" s="38"/>
      <c r="L2" s="38"/>
      <c r="M2" s="38"/>
      <c r="N2" s="38"/>
      <c r="O2" s="38"/>
      <c r="P2" s="38"/>
      <c r="Q2" s="38"/>
      <c r="R2" s="38"/>
      <c r="S2" s="38"/>
      <c r="T2" s="38"/>
      <c r="U2" s="38"/>
      <c r="V2" s="38"/>
      <c r="W2" s="38"/>
      <c r="X2" s="38"/>
      <c r="Y2" s="38"/>
      <c r="Z2" s="38"/>
      <c r="AA2" s="38"/>
      <c r="AB2" s="38"/>
    </row>
    <row r="3" spans="1:28" x14ac:dyDescent="0.25">
      <c r="A3" s="38"/>
      <c r="B3" s="60" t="s">
        <v>160</v>
      </c>
      <c r="C3" s="38"/>
      <c r="D3" s="38"/>
      <c r="E3" s="38"/>
      <c r="F3" s="71"/>
      <c r="G3" s="71"/>
      <c r="H3" s="71"/>
      <c r="I3" s="72" t="s">
        <v>159</v>
      </c>
      <c r="J3" s="72"/>
      <c r="K3" s="72"/>
      <c r="L3" s="72"/>
      <c r="M3" s="72"/>
      <c r="N3" s="72"/>
      <c r="O3" s="72"/>
      <c r="P3" s="72"/>
      <c r="Q3" s="72"/>
      <c r="R3" s="72"/>
      <c r="S3" s="72"/>
      <c r="T3" s="72"/>
      <c r="U3" s="38"/>
      <c r="V3" s="38"/>
      <c r="W3" s="38"/>
      <c r="X3" s="38"/>
      <c r="Y3" s="38"/>
      <c r="Z3" s="38"/>
      <c r="AA3" s="38"/>
      <c r="AB3" s="38"/>
    </row>
    <row r="4" spans="1:28" x14ac:dyDescent="0.25">
      <c r="A4" s="38"/>
      <c r="B4" s="60" t="s">
        <v>155</v>
      </c>
      <c r="C4" s="38"/>
      <c r="D4" s="38"/>
      <c r="E4" s="38"/>
      <c r="F4" s="71"/>
      <c r="G4" s="71"/>
      <c r="H4" s="71"/>
      <c r="I4" s="72"/>
      <c r="J4" s="72"/>
      <c r="K4" s="72"/>
      <c r="L4" s="72"/>
      <c r="M4" s="72"/>
      <c r="N4" s="72"/>
      <c r="O4" s="72"/>
      <c r="P4" s="72"/>
      <c r="Q4" s="72"/>
      <c r="R4" s="72"/>
      <c r="S4" s="72"/>
      <c r="T4" s="72"/>
      <c r="U4" s="38"/>
      <c r="V4" s="38"/>
      <c r="W4" s="38"/>
      <c r="X4" s="38"/>
      <c r="Y4" s="38"/>
      <c r="Z4" s="38"/>
      <c r="AA4" s="38"/>
      <c r="AB4" s="38"/>
    </row>
    <row r="5" spans="1:28" x14ac:dyDescent="0.25">
      <c r="A5" s="38"/>
      <c r="B5" s="60" t="s">
        <v>156</v>
      </c>
      <c r="C5" s="38"/>
      <c r="D5" s="38"/>
      <c r="E5" s="38"/>
      <c r="F5" s="71"/>
      <c r="G5" s="71"/>
      <c r="H5" s="71"/>
      <c r="I5" s="38"/>
      <c r="J5" s="38"/>
      <c r="K5" s="38"/>
      <c r="L5" s="38"/>
      <c r="M5" s="38"/>
      <c r="N5" s="38"/>
      <c r="O5" s="38"/>
      <c r="P5" s="38"/>
      <c r="Q5" s="38"/>
      <c r="R5" s="38"/>
      <c r="S5" s="38"/>
      <c r="T5" s="38"/>
      <c r="U5" s="38"/>
      <c r="V5" s="38"/>
      <c r="W5" s="38"/>
      <c r="X5" s="38"/>
      <c r="Y5" s="38"/>
      <c r="Z5" s="38"/>
      <c r="AA5" s="38"/>
      <c r="AB5" s="38"/>
    </row>
    <row r="6" spans="1:28" x14ac:dyDescent="0.25">
      <c r="A6" s="38"/>
      <c r="B6" s="38"/>
      <c r="C6" s="38"/>
      <c r="D6" s="38"/>
      <c r="E6" s="38"/>
      <c r="F6" s="38"/>
      <c r="G6" s="38"/>
      <c r="H6" s="38"/>
      <c r="I6" s="38"/>
      <c r="J6" s="38"/>
      <c r="K6" s="38"/>
      <c r="L6" s="38"/>
      <c r="M6" s="38"/>
      <c r="N6" s="38"/>
      <c r="O6" s="38"/>
      <c r="P6" s="38"/>
      <c r="Q6" s="38"/>
      <c r="R6" s="38"/>
      <c r="S6" s="38"/>
      <c r="T6" s="38"/>
      <c r="U6" s="38"/>
      <c r="V6" s="38"/>
      <c r="W6" s="59" t="s">
        <v>158</v>
      </c>
      <c r="X6" s="73"/>
      <c r="Y6" s="73"/>
      <c r="Z6" s="73"/>
      <c r="AA6" s="73"/>
      <c r="AB6" s="38"/>
    </row>
    <row r="7" spans="1:28" ht="15.75" thickBot="1" x14ac:dyDescent="0.3">
      <c r="A7" s="39" t="s">
        <v>157</v>
      </c>
    </row>
    <row r="8" spans="1:28" ht="6" customHeight="1" x14ac:dyDescent="0.25">
      <c r="A8" s="40"/>
      <c r="B8" s="41"/>
      <c r="C8" s="41"/>
      <c r="D8" s="41"/>
      <c r="E8" s="41"/>
      <c r="F8" s="41"/>
      <c r="G8" s="41"/>
      <c r="H8" s="41"/>
      <c r="I8" s="41"/>
      <c r="J8" s="41"/>
      <c r="K8" s="41"/>
      <c r="L8" s="41"/>
      <c r="M8" s="41"/>
      <c r="N8" s="41"/>
      <c r="O8" s="41"/>
      <c r="P8" s="41"/>
      <c r="Q8" s="41"/>
      <c r="R8" s="41"/>
      <c r="S8" s="41"/>
      <c r="T8" s="42"/>
      <c r="U8" s="42"/>
      <c r="V8" s="42"/>
      <c r="W8" s="42"/>
      <c r="X8" s="42"/>
      <c r="Y8" s="42"/>
      <c r="Z8" s="42"/>
      <c r="AA8" s="42"/>
      <c r="AB8" s="43"/>
    </row>
    <row r="9" spans="1:28" x14ac:dyDescent="0.25">
      <c r="A9" s="44" t="s">
        <v>151</v>
      </c>
      <c r="B9" s="45"/>
      <c r="C9" s="45"/>
      <c r="D9" s="45"/>
      <c r="E9" s="45"/>
      <c r="F9" s="45"/>
      <c r="G9" s="45"/>
      <c r="H9" s="46"/>
      <c r="I9" s="46"/>
      <c r="J9" s="46"/>
      <c r="K9" s="46"/>
      <c r="L9" s="46"/>
      <c r="M9" s="46"/>
      <c r="N9" s="46"/>
      <c r="O9" s="46"/>
      <c r="P9" s="46"/>
      <c r="Q9" s="46"/>
      <c r="R9" s="46"/>
      <c r="S9" s="46"/>
      <c r="T9" s="47"/>
      <c r="U9" s="47"/>
      <c r="V9" s="47"/>
      <c r="W9" s="47"/>
      <c r="X9" s="47"/>
      <c r="Y9" s="47"/>
      <c r="Z9" s="47"/>
      <c r="AA9" s="47"/>
      <c r="AB9" s="48"/>
    </row>
    <row r="10" spans="1:28" ht="7.5" customHeight="1" x14ac:dyDescent="0.25">
      <c r="A10" s="49"/>
      <c r="C10" s="46"/>
      <c r="E10" s="46"/>
      <c r="F10" s="46"/>
      <c r="G10" s="46"/>
      <c r="H10" s="46"/>
      <c r="I10" s="46"/>
      <c r="J10" s="46"/>
      <c r="K10" s="46"/>
      <c r="L10" s="46"/>
      <c r="M10" s="46"/>
      <c r="N10" s="46"/>
      <c r="O10" s="46"/>
      <c r="P10" s="46"/>
      <c r="Q10" s="46"/>
      <c r="R10" s="46"/>
      <c r="S10" s="46"/>
      <c r="T10" s="47"/>
      <c r="U10" s="47"/>
      <c r="V10" s="47"/>
      <c r="W10" s="47"/>
      <c r="X10" s="47"/>
      <c r="Y10" s="47"/>
      <c r="Z10" s="47"/>
      <c r="AA10" s="47"/>
      <c r="AB10" s="48"/>
    </row>
    <row r="11" spans="1:28" x14ac:dyDescent="0.25">
      <c r="A11" s="49"/>
      <c r="C11" s="46"/>
      <c r="E11" s="50" t="s">
        <v>147</v>
      </c>
      <c r="F11" s="67"/>
      <c r="G11" s="68"/>
      <c r="H11" s="68"/>
      <c r="I11" s="69"/>
      <c r="J11" s="46"/>
      <c r="K11" s="46" t="s">
        <v>150</v>
      </c>
      <c r="L11" s="46"/>
      <c r="M11" s="46"/>
      <c r="N11" s="46"/>
      <c r="O11" s="46"/>
      <c r="P11" s="46"/>
      <c r="Q11" s="46"/>
      <c r="R11" s="46"/>
      <c r="S11" s="46"/>
      <c r="T11" s="47"/>
      <c r="U11" s="47"/>
      <c r="V11" s="47"/>
      <c r="W11" s="47"/>
      <c r="X11" s="47"/>
      <c r="Y11" s="47"/>
      <c r="Z11" s="47"/>
      <c r="AA11" s="47"/>
      <c r="AB11" s="48"/>
    </row>
    <row r="12" spans="1:28" x14ac:dyDescent="0.25">
      <c r="A12" s="49"/>
      <c r="C12" s="46"/>
      <c r="E12" s="50" t="s">
        <v>148</v>
      </c>
      <c r="F12" s="67"/>
      <c r="G12" s="68"/>
      <c r="H12" s="68"/>
      <c r="I12" s="69"/>
      <c r="J12" s="46"/>
      <c r="K12" s="46"/>
      <c r="L12" s="66"/>
      <c r="M12" s="66"/>
      <c r="N12" s="66"/>
      <c r="O12" s="66"/>
      <c r="P12" s="66"/>
      <c r="Q12" s="66"/>
      <c r="R12" s="66"/>
      <c r="S12" s="46"/>
      <c r="T12" s="47"/>
      <c r="U12" s="47"/>
      <c r="V12" s="47"/>
      <c r="W12" s="47"/>
      <c r="X12" s="47"/>
      <c r="Y12" s="47"/>
      <c r="Z12" s="47"/>
      <c r="AA12" s="47"/>
      <c r="AB12" s="48"/>
    </row>
    <row r="13" spans="1:28" ht="7.5" customHeight="1" x14ac:dyDescent="0.25">
      <c r="A13" s="49"/>
      <c r="C13" s="46"/>
      <c r="E13" s="46"/>
      <c r="F13" s="46"/>
      <c r="G13" s="46"/>
      <c r="H13" s="46"/>
      <c r="I13" s="46"/>
      <c r="J13" s="46"/>
      <c r="K13" s="46"/>
      <c r="L13" s="46"/>
      <c r="M13" s="46"/>
      <c r="N13" s="46"/>
      <c r="O13" s="46"/>
      <c r="P13" s="46"/>
      <c r="Q13" s="46"/>
      <c r="R13" s="46"/>
      <c r="S13" s="46"/>
      <c r="T13" s="47"/>
      <c r="U13" s="47"/>
      <c r="V13" s="47"/>
      <c r="W13" s="47"/>
      <c r="X13" s="47"/>
      <c r="Y13" s="47"/>
      <c r="Z13" s="47"/>
      <c r="AA13" s="47"/>
      <c r="AB13" s="48"/>
    </row>
    <row r="14" spans="1:28" x14ac:dyDescent="0.25">
      <c r="A14" s="49"/>
      <c r="C14" s="46"/>
      <c r="D14" s="46" t="s">
        <v>91</v>
      </c>
      <c r="E14" s="46"/>
      <c r="F14" s="67"/>
      <c r="G14" s="68"/>
      <c r="H14" s="68"/>
      <c r="I14" s="69"/>
      <c r="J14" s="51"/>
      <c r="K14" s="46" t="s">
        <v>149</v>
      </c>
      <c r="L14" s="46"/>
      <c r="M14" s="46"/>
      <c r="N14" s="46"/>
      <c r="O14" s="46"/>
      <c r="P14" s="46"/>
      <c r="Q14" s="46"/>
      <c r="R14" s="46"/>
      <c r="S14" s="46"/>
      <c r="T14" s="47"/>
      <c r="U14" s="47"/>
      <c r="V14" s="47"/>
      <c r="W14" s="47"/>
      <c r="X14" s="47"/>
      <c r="Y14" s="47"/>
      <c r="Z14" s="47"/>
      <c r="AA14" s="47"/>
      <c r="AB14" s="48"/>
    </row>
    <row r="15" spans="1:28" x14ac:dyDescent="0.25">
      <c r="A15" s="49"/>
      <c r="C15" s="46"/>
      <c r="D15" s="46" t="s">
        <v>9</v>
      </c>
      <c r="E15" s="46"/>
      <c r="F15" s="67"/>
      <c r="G15" s="68"/>
      <c r="H15" s="68"/>
      <c r="I15" s="69"/>
      <c r="J15" s="51"/>
      <c r="K15" s="46"/>
      <c r="L15" s="66"/>
      <c r="M15" s="66"/>
      <c r="N15" s="66"/>
      <c r="O15" s="66"/>
      <c r="P15" s="66"/>
      <c r="Q15" s="66"/>
      <c r="R15" s="66"/>
      <c r="S15" s="46"/>
      <c r="T15" s="47"/>
      <c r="U15" s="47"/>
      <c r="V15" s="47"/>
      <c r="W15" s="47"/>
      <c r="X15" s="47"/>
      <c r="Y15" s="47"/>
      <c r="Z15" s="47"/>
      <c r="AA15" s="47"/>
      <c r="AB15" s="48"/>
    </row>
    <row r="16" spans="1:28" x14ac:dyDescent="0.25">
      <c r="A16" s="49"/>
      <c r="C16" s="46"/>
      <c r="D16" s="52" t="s">
        <v>146</v>
      </c>
      <c r="E16" s="46"/>
      <c r="F16" s="67"/>
      <c r="G16" s="68"/>
      <c r="H16" s="68"/>
      <c r="I16" s="68"/>
      <c r="J16" s="69"/>
      <c r="K16" s="46"/>
      <c r="L16" s="66"/>
      <c r="M16" s="66"/>
      <c r="N16" s="66"/>
      <c r="O16" s="66"/>
      <c r="P16" s="66"/>
      <c r="Q16" s="66"/>
      <c r="R16" s="66"/>
      <c r="S16" s="46"/>
      <c r="T16" s="47"/>
      <c r="U16" s="47"/>
      <c r="V16" s="47"/>
      <c r="W16" s="47"/>
      <c r="X16" s="47"/>
      <c r="Y16" s="47"/>
      <c r="Z16" s="47"/>
      <c r="AA16" s="47"/>
      <c r="AB16" s="48"/>
    </row>
    <row r="17" spans="1:28" ht="7.5" customHeight="1" x14ac:dyDescent="0.25">
      <c r="A17" s="49"/>
      <c r="C17" s="46"/>
      <c r="E17" s="46"/>
      <c r="F17" s="46"/>
      <c r="G17" s="46"/>
      <c r="H17" s="46"/>
      <c r="I17" s="46"/>
      <c r="J17" s="46"/>
      <c r="K17" s="46"/>
      <c r="L17" s="46"/>
      <c r="M17" s="46"/>
      <c r="N17" s="46"/>
      <c r="O17" s="46"/>
      <c r="P17" s="46"/>
      <c r="Q17" s="46"/>
      <c r="R17" s="46"/>
      <c r="S17" s="46"/>
      <c r="T17" s="47"/>
      <c r="U17" s="47"/>
      <c r="V17" s="47"/>
      <c r="W17" s="47"/>
      <c r="X17" s="47"/>
      <c r="Y17" s="47"/>
      <c r="Z17" s="47"/>
      <c r="AA17" s="47"/>
      <c r="AB17" s="48"/>
    </row>
    <row r="18" spans="1:28" x14ac:dyDescent="0.25">
      <c r="A18" s="49"/>
      <c r="C18" s="46"/>
      <c r="E18" s="53" t="s">
        <v>144</v>
      </c>
      <c r="F18" s="67"/>
      <c r="G18" s="68"/>
      <c r="H18" s="68"/>
      <c r="I18" s="69"/>
      <c r="J18" s="46"/>
      <c r="K18" s="46" t="s">
        <v>153</v>
      </c>
      <c r="L18" s="46"/>
      <c r="M18" s="46"/>
      <c r="N18" s="46"/>
      <c r="O18" s="46"/>
      <c r="P18" s="46"/>
      <c r="Q18" s="46"/>
      <c r="R18" s="46"/>
      <c r="S18" s="46"/>
      <c r="T18" s="47"/>
      <c r="U18" s="47"/>
      <c r="V18" s="47"/>
      <c r="W18" s="47"/>
      <c r="X18" s="47"/>
      <c r="Y18" s="47"/>
      <c r="Z18" s="47"/>
      <c r="AA18" s="47"/>
      <c r="AB18" s="48"/>
    </row>
    <row r="19" spans="1:28" x14ac:dyDescent="0.25">
      <c r="A19" s="49"/>
      <c r="C19" s="46"/>
      <c r="E19" s="54" t="s">
        <v>145</v>
      </c>
      <c r="F19" s="67"/>
      <c r="G19" s="68"/>
      <c r="H19" s="68"/>
      <c r="I19" s="69"/>
      <c r="J19" s="46"/>
      <c r="K19" s="46"/>
      <c r="L19" s="66"/>
      <c r="M19" s="66"/>
      <c r="N19" s="66"/>
      <c r="O19" s="66"/>
      <c r="P19" s="66"/>
      <c r="Q19" s="66"/>
      <c r="R19" s="66"/>
      <c r="S19" s="46"/>
      <c r="T19" s="47"/>
      <c r="U19" s="47"/>
      <c r="V19" s="47"/>
      <c r="W19" s="47"/>
      <c r="X19" s="47"/>
      <c r="Y19" s="47"/>
      <c r="Z19" s="47"/>
      <c r="AA19" s="47"/>
      <c r="AB19" s="48"/>
    </row>
    <row r="20" spans="1:28" ht="7.5" customHeight="1" x14ac:dyDescent="0.25">
      <c r="A20" s="49"/>
      <c r="C20" s="46"/>
      <c r="D20" s="46"/>
      <c r="E20" s="46"/>
      <c r="F20" s="46"/>
      <c r="G20" s="46"/>
      <c r="H20" s="46"/>
      <c r="I20" s="46"/>
      <c r="J20" s="46"/>
      <c r="K20" s="46"/>
      <c r="L20" s="46"/>
      <c r="M20" s="46"/>
      <c r="N20" s="46"/>
      <c r="O20" s="46"/>
      <c r="P20" s="46"/>
      <c r="Q20" s="46"/>
      <c r="R20" s="46"/>
      <c r="S20" s="46"/>
      <c r="T20" s="47"/>
      <c r="U20" s="47"/>
      <c r="V20" s="47"/>
      <c r="W20" s="47"/>
      <c r="X20" s="47"/>
      <c r="Y20" s="47"/>
      <c r="Z20" s="47"/>
      <c r="AA20" s="47"/>
      <c r="AB20" s="48"/>
    </row>
    <row r="21" spans="1:28" x14ac:dyDescent="0.25">
      <c r="A21" s="49"/>
      <c r="B21" s="46" t="s">
        <v>152</v>
      </c>
      <c r="C21" s="46"/>
      <c r="D21" s="46"/>
      <c r="E21" s="46"/>
      <c r="F21" s="67"/>
      <c r="G21" s="69"/>
      <c r="H21" s="46"/>
      <c r="I21" s="46"/>
      <c r="J21" s="46"/>
      <c r="K21" s="46"/>
      <c r="L21" s="46"/>
      <c r="M21" s="46"/>
      <c r="N21" s="46"/>
      <c r="O21" s="46"/>
      <c r="P21" s="46"/>
      <c r="Q21" s="46"/>
      <c r="R21" s="46"/>
      <c r="S21" s="46"/>
      <c r="T21" s="47"/>
      <c r="U21" s="47"/>
      <c r="V21" s="47"/>
      <c r="W21" s="47"/>
      <c r="X21" s="47"/>
      <c r="Y21" s="47"/>
      <c r="Z21" s="47"/>
      <c r="AA21" s="47"/>
      <c r="AB21" s="48"/>
    </row>
    <row r="22" spans="1:28" x14ac:dyDescent="0.25">
      <c r="A22" s="49"/>
      <c r="B22" s="46"/>
      <c r="C22" s="46"/>
      <c r="D22" s="46"/>
      <c r="E22" s="46"/>
      <c r="F22" s="46"/>
      <c r="G22" s="46"/>
      <c r="H22" s="46"/>
      <c r="I22" s="46"/>
      <c r="J22" s="46"/>
      <c r="K22" s="46"/>
      <c r="L22" s="46"/>
      <c r="M22" s="46"/>
      <c r="N22" s="46"/>
      <c r="O22" s="46"/>
      <c r="P22" s="46"/>
      <c r="Q22" s="46"/>
      <c r="R22" s="46"/>
      <c r="S22" s="46"/>
      <c r="T22" s="47"/>
      <c r="U22" s="47"/>
      <c r="V22" s="47"/>
      <c r="W22" s="47"/>
      <c r="X22" s="47"/>
      <c r="Y22" s="47"/>
      <c r="Z22" s="47"/>
      <c r="AA22" s="47"/>
      <c r="AB22" s="48"/>
    </row>
    <row r="23" spans="1:28" ht="15.75" thickBot="1" x14ac:dyDescent="0.3">
      <c r="A23" s="55"/>
      <c r="B23" s="56"/>
      <c r="C23" s="56"/>
      <c r="D23" s="56"/>
      <c r="E23" s="56"/>
      <c r="F23" s="56"/>
      <c r="G23" s="56"/>
      <c r="H23" s="56"/>
      <c r="I23" s="56"/>
      <c r="J23" s="56"/>
      <c r="K23" s="56"/>
      <c r="L23" s="56"/>
      <c r="M23" s="56"/>
      <c r="N23" s="56"/>
      <c r="O23" s="56"/>
      <c r="P23" s="56"/>
      <c r="Q23" s="56"/>
      <c r="R23" s="56"/>
      <c r="S23" s="56"/>
      <c r="T23" s="57"/>
      <c r="U23" s="57"/>
      <c r="V23" s="57"/>
      <c r="W23" s="57"/>
      <c r="X23" s="57"/>
      <c r="Y23" s="57"/>
      <c r="Z23" s="57"/>
      <c r="AA23" s="57"/>
      <c r="AB23" s="58"/>
    </row>
    <row r="24" spans="1:28" ht="6" customHeight="1" thickBot="1" x14ac:dyDescent="0.3"/>
    <row r="25" spans="1:28" ht="6" customHeight="1" x14ac:dyDescent="0.25">
      <c r="A25" s="40"/>
      <c r="B25" s="41"/>
      <c r="C25" s="41"/>
      <c r="D25" s="41"/>
      <c r="E25" s="41"/>
      <c r="F25" s="41"/>
      <c r="G25" s="41"/>
      <c r="H25" s="41"/>
      <c r="I25" s="41"/>
      <c r="J25" s="41"/>
      <c r="K25" s="41"/>
      <c r="L25" s="41"/>
      <c r="M25" s="41"/>
      <c r="N25" s="41"/>
      <c r="O25" s="41"/>
      <c r="P25" s="41"/>
      <c r="Q25" s="41"/>
      <c r="R25" s="41"/>
      <c r="S25" s="41"/>
      <c r="T25" s="42"/>
      <c r="U25" s="42"/>
      <c r="V25" s="42"/>
      <c r="W25" s="42"/>
      <c r="X25" s="42"/>
      <c r="Y25" s="42"/>
      <c r="Z25" s="42"/>
      <c r="AA25" s="42"/>
      <c r="AB25" s="43"/>
    </row>
    <row r="26" spans="1:28" x14ac:dyDescent="0.25">
      <c r="A26" s="44" t="s">
        <v>161</v>
      </c>
      <c r="B26" s="45"/>
      <c r="C26" s="45"/>
      <c r="D26" s="45"/>
      <c r="E26" s="45"/>
      <c r="F26" s="45"/>
      <c r="G26" s="45"/>
      <c r="H26" s="46"/>
      <c r="I26" s="46"/>
      <c r="J26" s="46"/>
      <c r="K26" s="46"/>
      <c r="L26" s="46"/>
      <c r="M26" s="46"/>
      <c r="N26" s="46"/>
      <c r="O26" s="46"/>
      <c r="P26" s="46"/>
      <c r="Q26" s="46"/>
      <c r="R26" s="46"/>
      <c r="S26" s="46"/>
      <c r="T26" s="47"/>
      <c r="U26" s="47"/>
      <c r="V26" s="47"/>
      <c r="W26" s="47"/>
      <c r="X26" s="47"/>
      <c r="Y26" s="47"/>
      <c r="Z26" s="47"/>
      <c r="AA26" s="47"/>
      <c r="AB26" s="48"/>
    </row>
    <row r="27" spans="1:28" ht="7.5" customHeight="1" x14ac:dyDescent="0.25">
      <c r="A27" s="49"/>
      <c r="C27" s="46"/>
      <c r="E27" s="46"/>
      <c r="F27" s="46"/>
      <c r="G27" s="46"/>
      <c r="H27" s="46"/>
      <c r="I27" s="46"/>
      <c r="J27" s="46"/>
      <c r="K27" s="46"/>
      <c r="L27" s="46"/>
      <c r="M27" s="46"/>
      <c r="N27" s="46"/>
      <c r="O27" s="46"/>
      <c r="P27" s="46"/>
      <c r="Q27" s="46"/>
      <c r="R27" s="46"/>
      <c r="S27" s="46"/>
      <c r="T27" s="47"/>
      <c r="U27" s="47"/>
      <c r="V27" s="47"/>
      <c r="W27" s="47"/>
      <c r="X27" s="47"/>
      <c r="Y27" s="47"/>
      <c r="Z27" s="47"/>
      <c r="AA27" s="47"/>
      <c r="AB27" s="48"/>
    </row>
    <row r="28" spans="1:28" x14ac:dyDescent="0.25">
      <c r="A28" s="49"/>
      <c r="C28" s="46"/>
      <c r="E28" s="50" t="s">
        <v>147</v>
      </c>
      <c r="F28" s="67"/>
      <c r="G28" s="68"/>
      <c r="H28" s="68"/>
      <c r="I28" s="69"/>
      <c r="J28" s="46"/>
      <c r="K28" s="46" t="s">
        <v>150</v>
      </c>
      <c r="L28" s="46"/>
      <c r="M28" s="46"/>
      <c r="N28" s="46"/>
      <c r="O28" s="46"/>
      <c r="P28" s="46"/>
      <c r="Q28" s="46"/>
      <c r="R28" s="46"/>
      <c r="S28" s="46"/>
      <c r="T28" s="47"/>
      <c r="U28" s="47"/>
      <c r="V28" s="47"/>
      <c r="W28" s="47"/>
      <c r="X28" s="47"/>
      <c r="Y28" s="47"/>
      <c r="Z28" s="47"/>
      <c r="AA28" s="47"/>
      <c r="AB28" s="48"/>
    </row>
    <row r="29" spans="1:28" x14ac:dyDescent="0.25">
      <c r="A29" s="49"/>
      <c r="C29" s="46"/>
      <c r="E29" s="50" t="s">
        <v>148</v>
      </c>
      <c r="F29" s="67"/>
      <c r="G29" s="68"/>
      <c r="H29" s="68"/>
      <c r="I29" s="69"/>
      <c r="J29" s="46"/>
      <c r="K29" s="46"/>
      <c r="L29" s="66"/>
      <c r="M29" s="66"/>
      <c r="N29" s="66"/>
      <c r="O29" s="66"/>
      <c r="P29" s="66"/>
      <c r="Q29" s="66"/>
      <c r="R29" s="66"/>
      <c r="S29" s="46"/>
      <c r="T29" s="47"/>
      <c r="U29" s="47"/>
      <c r="V29" s="47"/>
      <c r="W29" s="47"/>
      <c r="X29" s="47"/>
      <c r="Y29" s="47"/>
      <c r="Z29" s="47"/>
      <c r="AA29" s="47"/>
      <c r="AB29" s="48"/>
    </row>
    <row r="30" spans="1:28" ht="7.5" customHeight="1" x14ac:dyDescent="0.25">
      <c r="A30" s="49"/>
      <c r="C30" s="46"/>
      <c r="E30" s="46"/>
      <c r="F30" s="46"/>
      <c r="G30" s="46"/>
      <c r="H30" s="46"/>
      <c r="I30" s="46"/>
      <c r="J30" s="46"/>
      <c r="K30" s="46"/>
      <c r="L30" s="46"/>
      <c r="M30" s="46"/>
      <c r="N30" s="46"/>
      <c r="O30" s="46"/>
      <c r="P30" s="46"/>
      <c r="Q30" s="46"/>
      <c r="R30" s="46"/>
      <c r="S30" s="46"/>
      <c r="T30" s="47"/>
      <c r="U30" s="47"/>
      <c r="V30" s="47"/>
      <c r="W30" s="47"/>
      <c r="X30" s="47"/>
      <c r="Y30" s="47"/>
      <c r="Z30" s="47"/>
      <c r="AA30" s="47"/>
      <c r="AB30" s="48"/>
    </row>
    <row r="31" spans="1:28" x14ac:dyDescent="0.25">
      <c r="A31" s="49"/>
      <c r="C31" s="46"/>
      <c r="D31" s="46" t="s">
        <v>91</v>
      </c>
      <c r="E31" s="46"/>
      <c r="F31" s="67"/>
      <c r="G31" s="68"/>
      <c r="H31" s="68"/>
      <c r="I31" s="69"/>
      <c r="J31" s="51"/>
      <c r="K31" s="46" t="s">
        <v>149</v>
      </c>
      <c r="L31" s="46"/>
      <c r="M31" s="46"/>
      <c r="N31" s="46"/>
      <c r="O31" s="46"/>
      <c r="P31" s="46"/>
      <c r="Q31" s="46"/>
      <c r="R31" s="46"/>
      <c r="S31" s="46"/>
      <c r="T31" s="47"/>
      <c r="U31" s="47"/>
      <c r="V31" s="47"/>
      <c r="W31" s="47"/>
      <c r="X31" s="47"/>
      <c r="Y31" s="47"/>
      <c r="Z31" s="47"/>
      <c r="AA31" s="47"/>
      <c r="AB31" s="48"/>
    </row>
    <row r="32" spans="1:28" x14ac:dyDescent="0.25">
      <c r="A32" s="49"/>
      <c r="C32" s="46"/>
      <c r="D32" s="46" t="s">
        <v>9</v>
      </c>
      <c r="E32" s="46"/>
      <c r="F32" s="67"/>
      <c r="G32" s="68"/>
      <c r="H32" s="68"/>
      <c r="I32" s="69"/>
      <c r="J32" s="51"/>
      <c r="K32" s="46"/>
      <c r="L32" s="66"/>
      <c r="M32" s="66"/>
      <c r="N32" s="66"/>
      <c r="O32" s="66"/>
      <c r="P32" s="66"/>
      <c r="Q32" s="66"/>
      <c r="R32" s="66"/>
      <c r="S32" s="46"/>
      <c r="T32" s="47"/>
      <c r="U32" s="47"/>
      <c r="V32" s="47"/>
      <c r="W32" s="47"/>
      <c r="X32" s="47"/>
      <c r="Y32" s="47"/>
      <c r="Z32" s="47"/>
      <c r="AA32" s="47"/>
      <c r="AB32" s="48"/>
    </row>
    <row r="33" spans="1:28" x14ac:dyDescent="0.25">
      <c r="A33" s="49"/>
      <c r="C33" s="46"/>
      <c r="D33" s="52" t="s">
        <v>146</v>
      </c>
      <c r="E33" s="46"/>
      <c r="F33" s="67"/>
      <c r="G33" s="68"/>
      <c r="H33" s="68"/>
      <c r="I33" s="68"/>
      <c r="J33" s="69"/>
      <c r="K33" s="46"/>
      <c r="L33" s="66"/>
      <c r="M33" s="66"/>
      <c r="N33" s="66"/>
      <c r="O33" s="66"/>
      <c r="P33" s="66"/>
      <c r="Q33" s="66"/>
      <c r="R33" s="66"/>
      <c r="S33" s="46"/>
      <c r="T33" s="47"/>
      <c r="U33" s="47"/>
      <c r="V33" s="47"/>
      <c r="W33" s="47"/>
      <c r="X33" s="47"/>
      <c r="Y33" s="47"/>
      <c r="Z33" s="47"/>
      <c r="AA33" s="47"/>
      <c r="AB33" s="48"/>
    </row>
    <row r="34" spans="1:28" ht="7.5" customHeight="1" x14ac:dyDescent="0.25">
      <c r="A34" s="49"/>
      <c r="C34" s="46"/>
      <c r="E34" s="46"/>
      <c r="F34" s="46"/>
      <c r="G34" s="46"/>
      <c r="H34" s="46"/>
      <c r="I34" s="46"/>
      <c r="J34" s="46"/>
      <c r="K34" s="46"/>
      <c r="L34" s="46"/>
      <c r="M34" s="46"/>
      <c r="N34" s="46"/>
      <c r="O34" s="46"/>
      <c r="P34" s="46"/>
      <c r="Q34" s="46"/>
      <c r="R34" s="46"/>
      <c r="S34" s="46"/>
      <c r="T34" s="47"/>
      <c r="U34" s="47"/>
      <c r="V34" s="47"/>
      <c r="W34" s="47"/>
      <c r="X34" s="47"/>
      <c r="Y34" s="47"/>
      <c r="Z34" s="47"/>
      <c r="AA34" s="47"/>
      <c r="AB34" s="48"/>
    </row>
    <row r="35" spans="1:28" x14ac:dyDescent="0.25">
      <c r="A35" s="49"/>
      <c r="C35" s="46"/>
      <c r="E35" s="53" t="s">
        <v>144</v>
      </c>
      <c r="F35" s="67"/>
      <c r="G35" s="68"/>
      <c r="H35" s="68"/>
      <c r="I35" s="69"/>
      <c r="J35" s="46"/>
      <c r="K35" s="46" t="s">
        <v>153</v>
      </c>
      <c r="L35" s="46"/>
      <c r="M35" s="46"/>
      <c r="N35" s="46"/>
      <c r="O35" s="46"/>
      <c r="P35" s="46"/>
      <c r="Q35" s="46"/>
      <c r="R35" s="46"/>
      <c r="S35" s="46"/>
      <c r="T35" s="47"/>
      <c r="U35" s="47"/>
      <c r="V35" s="47"/>
      <c r="W35" s="47"/>
      <c r="X35" s="47"/>
      <c r="Y35" s="47"/>
      <c r="Z35" s="47"/>
      <c r="AA35" s="47"/>
      <c r="AB35" s="48"/>
    </row>
    <row r="36" spans="1:28" x14ac:dyDescent="0.25">
      <c r="A36" s="49"/>
      <c r="C36" s="46"/>
      <c r="E36" s="54" t="s">
        <v>145</v>
      </c>
      <c r="F36" s="67"/>
      <c r="G36" s="68"/>
      <c r="H36" s="68"/>
      <c r="I36" s="69"/>
      <c r="J36" s="46"/>
      <c r="K36" s="46"/>
      <c r="L36" s="66"/>
      <c r="M36" s="66"/>
      <c r="N36" s="66"/>
      <c r="O36" s="66"/>
      <c r="P36" s="66"/>
      <c r="Q36" s="66"/>
      <c r="R36" s="66"/>
      <c r="S36" s="46"/>
      <c r="T36" s="47"/>
      <c r="U36" s="47"/>
      <c r="V36" s="47"/>
      <c r="W36" s="47"/>
      <c r="X36" s="47"/>
      <c r="Y36" s="47"/>
      <c r="Z36" s="47"/>
      <c r="AA36" s="47"/>
      <c r="AB36" s="48"/>
    </row>
    <row r="37" spans="1:28" ht="7.5" customHeight="1" x14ac:dyDescent="0.25">
      <c r="A37" s="49"/>
      <c r="C37" s="46"/>
      <c r="D37" s="46"/>
      <c r="E37" s="46"/>
      <c r="F37" s="46"/>
      <c r="G37" s="46"/>
      <c r="H37" s="46"/>
      <c r="I37" s="46"/>
      <c r="J37" s="46"/>
      <c r="K37" s="46"/>
      <c r="L37" s="46"/>
      <c r="M37" s="46"/>
      <c r="N37" s="46"/>
      <c r="O37" s="46"/>
      <c r="P37" s="46"/>
      <c r="Q37" s="46"/>
      <c r="R37" s="46"/>
      <c r="S37" s="46"/>
      <c r="T37" s="47"/>
      <c r="U37" s="47"/>
      <c r="V37" s="47"/>
      <c r="W37" s="47"/>
      <c r="X37" s="47"/>
      <c r="Y37" s="47"/>
      <c r="Z37" s="47"/>
      <c r="AA37" s="47"/>
      <c r="AB37" s="48"/>
    </row>
    <row r="38" spans="1:28" x14ac:dyDescent="0.25">
      <c r="A38" s="49"/>
      <c r="B38" s="46" t="s">
        <v>152</v>
      </c>
      <c r="C38" s="46"/>
      <c r="D38" s="46"/>
      <c r="E38" s="46"/>
      <c r="F38" s="67"/>
      <c r="G38" s="69"/>
      <c r="H38" s="46"/>
      <c r="I38" s="46"/>
      <c r="J38" s="46"/>
      <c r="K38" s="46"/>
      <c r="L38" s="46"/>
      <c r="M38" s="46"/>
      <c r="N38" s="46"/>
      <c r="O38" s="46"/>
      <c r="P38" s="46"/>
      <c r="Q38" s="46"/>
      <c r="R38" s="46"/>
      <c r="S38" s="46"/>
      <c r="T38" s="47"/>
      <c r="U38" s="47"/>
      <c r="V38" s="47"/>
      <c r="W38" s="47"/>
      <c r="X38" s="47"/>
      <c r="Y38" s="47"/>
      <c r="Z38" s="47"/>
      <c r="AA38" s="47"/>
      <c r="AB38" s="48"/>
    </row>
    <row r="39" spans="1:28" x14ac:dyDescent="0.25">
      <c r="A39" s="49"/>
      <c r="B39" s="46"/>
      <c r="C39" s="46"/>
      <c r="D39" s="46"/>
      <c r="E39" s="46"/>
      <c r="F39" s="46"/>
      <c r="G39" s="46"/>
      <c r="H39" s="46"/>
      <c r="I39" s="46"/>
      <c r="J39" s="46"/>
      <c r="K39" s="46"/>
      <c r="L39" s="46"/>
      <c r="M39" s="46"/>
      <c r="N39" s="46"/>
      <c r="O39" s="46"/>
      <c r="P39" s="46"/>
      <c r="Q39" s="46"/>
      <c r="R39" s="46"/>
      <c r="S39" s="46"/>
      <c r="T39" s="47"/>
      <c r="U39" s="47"/>
      <c r="V39" s="47"/>
      <c r="W39" s="47"/>
      <c r="X39" s="47"/>
      <c r="Y39" s="47"/>
      <c r="Z39" s="47"/>
      <c r="AA39" s="47"/>
      <c r="AB39" s="48"/>
    </row>
    <row r="40" spans="1:28" ht="15.75" thickBot="1" x14ac:dyDescent="0.3">
      <c r="A40" s="55"/>
      <c r="B40" s="56"/>
      <c r="C40" s="56"/>
      <c r="D40" s="56"/>
      <c r="E40" s="56"/>
      <c r="F40" s="56"/>
      <c r="G40" s="56"/>
      <c r="H40" s="56"/>
      <c r="I40" s="56"/>
      <c r="J40" s="56"/>
      <c r="K40" s="56"/>
      <c r="L40" s="56"/>
      <c r="M40" s="56"/>
      <c r="N40" s="56"/>
      <c r="O40" s="56"/>
      <c r="P40" s="56"/>
      <c r="Q40" s="56"/>
      <c r="R40" s="56"/>
      <c r="S40" s="56"/>
      <c r="T40" s="57"/>
      <c r="U40" s="57"/>
      <c r="V40" s="57"/>
      <c r="W40" s="57"/>
      <c r="X40" s="57"/>
      <c r="Y40" s="57"/>
      <c r="Z40" s="57"/>
      <c r="AA40" s="57"/>
      <c r="AB40" s="58"/>
    </row>
    <row r="41" spans="1:28" ht="6" customHeight="1" thickBot="1" x14ac:dyDescent="0.3"/>
    <row r="42" spans="1:28" ht="6" customHeight="1" x14ac:dyDescent="0.25">
      <c r="A42" s="40"/>
      <c r="B42" s="41"/>
      <c r="C42" s="41"/>
      <c r="D42" s="41"/>
      <c r="E42" s="41"/>
      <c r="F42" s="41"/>
      <c r="G42" s="41"/>
      <c r="H42" s="41"/>
      <c r="I42" s="41"/>
      <c r="J42" s="41"/>
      <c r="K42" s="41"/>
      <c r="L42" s="41"/>
      <c r="M42" s="41"/>
      <c r="N42" s="41"/>
      <c r="O42" s="41"/>
      <c r="P42" s="41"/>
      <c r="Q42" s="41"/>
      <c r="R42" s="41"/>
      <c r="S42" s="41"/>
      <c r="T42" s="42"/>
      <c r="U42" s="42"/>
      <c r="V42" s="42"/>
      <c r="W42" s="42"/>
      <c r="X42" s="42"/>
      <c r="Y42" s="42"/>
      <c r="Z42" s="42"/>
      <c r="AA42" s="42"/>
      <c r="AB42" s="43"/>
    </row>
    <row r="43" spans="1:28" x14ac:dyDescent="0.25">
      <c r="A43" s="44" t="s">
        <v>162</v>
      </c>
      <c r="B43" s="45"/>
      <c r="C43" s="45"/>
      <c r="D43" s="45"/>
      <c r="E43" s="45"/>
      <c r="F43" s="45"/>
      <c r="G43" s="45"/>
      <c r="H43" s="46"/>
      <c r="I43" s="46"/>
      <c r="J43" s="46"/>
      <c r="K43" s="46"/>
      <c r="L43" s="46"/>
      <c r="M43" s="46"/>
      <c r="N43" s="46"/>
      <c r="O43" s="46"/>
      <c r="P43" s="46"/>
      <c r="Q43" s="46"/>
      <c r="R43" s="46"/>
      <c r="S43" s="46"/>
      <c r="T43" s="47"/>
      <c r="U43" s="47"/>
      <c r="V43" s="47"/>
      <c r="W43" s="47"/>
      <c r="X43" s="47"/>
      <c r="Y43" s="47"/>
      <c r="Z43" s="47"/>
      <c r="AA43" s="47"/>
      <c r="AB43" s="48"/>
    </row>
    <row r="44" spans="1:28" ht="7.5" customHeight="1" x14ac:dyDescent="0.25">
      <c r="A44" s="49"/>
      <c r="C44" s="46"/>
      <c r="E44" s="46"/>
      <c r="F44" s="46"/>
      <c r="G44" s="46"/>
      <c r="H44" s="46"/>
      <c r="I44" s="46"/>
      <c r="J44" s="46"/>
      <c r="K44" s="46"/>
      <c r="L44" s="46"/>
      <c r="M44" s="46"/>
      <c r="N44" s="46"/>
      <c r="O44" s="46"/>
      <c r="P44" s="46"/>
      <c r="Q44" s="46"/>
      <c r="R44" s="46"/>
      <c r="S44" s="46"/>
      <c r="T44" s="47"/>
      <c r="U44" s="47"/>
      <c r="V44" s="47"/>
      <c r="W44" s="47"/>
      <c r="X44" s="47"/>
      <c r="Y44" s="47"/>
      <c r="Z44" s="47"/>
      <c r="AA44" s="47"/>
      <c r="AB44" s="48"/>
    </row>
    <row r="45" spans="1:28" x14ac:dyDescent="0.25">
      <c r="A45" s="49"/>
      <c r="C45" s="46"/>
      <c r="E45" s="50" t="s">
        <v>147</v>
      </c>
      <c r="F45" s="67"/>
      <c r="G45" s="68"/>
      <c r="H45" s="68"/>
      <c r="I45" s="69"/>
      <c r="J45" s="46"/>
      <c r="K45" s="46" t="s">
        <v>150</v>
      </c>
      <c r="L45" s="46"/>
      <c r="M45" s="46"/>
      <c r="N45" s="46"/>
      <c r="O45" s="46"/>
      <c r="P45" s="46"/>
      <c r="Q45" s="46"/>
      <c r="R45" s="46"/>
      <c r="S45" s="46"/>
      <c r="T45" s="47"/>
      <c r="U45" s="47"/>
      <c r="V45" s="47"/>
      <c r="W45" s="47"/>
      <c r="X45" s="47"/>
      <c r="Y45" s="47"/>
      <c r="Z45" s="47"/>
      <c r="AA45" s="47"/>
      <c r="AB45" s="48"/>
    </row>
    <row r="46" spans="1:28" x14ac:dyDescent="0.25">
      <c r="A46" s="49"/>
      <c r="C46" s="46"/>
      <c r="E46" s="50" t="s">
        <v>148</v>
      </c>
      <c r="F46" s="67"/>
      <c r="G46" s="68"/>
      <c r="H46" s="68"/>
      <c r="I46" s="69"/>
      <c r="J46" s="46"/>
      <c r="K46" s="46"/>
      <c r="L46" s="66"/>
      <c r="M46" s="66"/>
      <c r="N46" s="66"/>
      <c r="O46" s="66"/>
      <c r="P46" s="66"/>
      <c r="Q46" s="66"/>
      <c r="R46" s="66"/>
      <c r="S46" s="46"/>
      <c r="T46" s="47"/>
      <c r="U46" s="47"/>
      <c r="V46" s="47"/>
      <c r="W46" s="47"/>
      <c r="X46" s="47"/>
      <c r="Y46" s="47"/>
      <c r="Z46" s="47"/>
      <c r="AA46" s="47"/>
      <c r="AB46" s="48"/>
    </row>
    <row r="47" spans="1:28" ht="7.5" customHeight="1" x14ac:dyDescent="0.25">
      <c r="A47" s="49"/>
      <c r="C47" s="46"/>
      <c r="E47" s="46"/>
      <c r="F47" s="46"/>
      <c r="G47" s="46"/>
      <c r="H47" s="46"/>
      <c r="I47" s="46"/>
      <c r="J47" s="46"/>
      <c r="K47" s="46"/>
      <c r="L47" s="46"/>
      <c r="M47" s="46"/>
      <c r="N47" s="46"/>
      <c r="O47" s="46"/>
      <c r="P47" s="46"/>
      <c r="Q47" s="46"/>
      <c r="R47" s="46"/>
      <c r="S47" s="46"/>
      <c r="T47" s="47"/>
      <c r="U47" s="47"/>
      <c r="V47" s="47"/>
      <c r="W47" s="47"/>
      <c r="X47" s="47"/>
      <c r="Y47" s="47"/>
      <c r="Z47" s="47"/>
      <c r="AA47" s="47"/>
      <c r="AB47" s="48"/>
    </row>
    <row r="48" spans="1:28" x14ac:dyDescent="0.25">
      <c r="A48" s="49"/>
      <c r="C48" s="46"/>
      <c r="D48" s="46" t="s">
        <v>91</v>
      </c>
      <c r="E48" s="46"/>
      <c r="F48" s="67"/>
      <c r="G48" s="68"/>
      <c r="H48" s="68"/>
      <c r="I48" s="69"/>
      <c r="J48" s="51"/>
      <c r="K48" s="46" t="s">
        <v>149</v>
      </c>
      <c r="L48" s="46"/>
      <c r="M48" s="46"/>
      <c r="N48" s="46"/>
      <c r="O48" s="46"/>
      <c r="P48" s="46"/>
      <c r="Q48" s="46"/>
      <c r="R48" s="46"/>
      <c r="S48" s="46"/>
      <c r="T48" s="47"/>
      <c r="U48" s="47"/>
      <c r="V48" s="47"/>
      <c r="W48" s="47"/>
      <c r="X48" s="47"/>
      <c r="Y48" s="47"/>
      <c r="Z48" s="47"/>
      <c r="AA48" s="47"/>
      <c r="AB48" s="48"/>
    </row>
    <row r="49" spans="1:28" x14ac:dyDescent="0.25">
      <c r="A49" s="49"/>
      <c r="C49" s="46"/>
      <c r="D49" s="46" t="s">
        <v>9</v>
      </c>
      <c r="E49" s="46"/>
      <c r="F49" s="67"/>
      <c r="G49" s="68"/>
      <c r="H49" s="68"/>
      <c r="I49" s="69"/>
      <c r="J49" s="51"/>
      <c r="K49" s="46"/>
      <c r="L49" s="66"/>
      <c r="M49" s="66"/>
      <c r="N49" s="66"/>
      <c r="O49" s="66"/>
      <c r="P49" s="66"/>
      <c r="Q49" s="66"/>
      <c r="R49" s="66"/>
      <c r="S49" s="46"/>
      <c r="T49" s="47"/>
      <c r="U49" s="47"/>
      <c r="V49" s="47"/>
      <c r="W49" s="47"/>
      <c r="X49" s="47"/>
      <c r="Y49" s="47"/>
      <c r="Z49" s="47"/>
      <c r="AA49" s="47"/>
      <c r="AB49" s="48"/>
    </row>
    <row r="50" spans="1:28" x14ac:dyDescent="0.25">
      <c r="A50" s="49"/>
      <c r="C50" s="46"/>
      <c r="D50" s="52" t="s">
        <v>146</v>
      </c>
      <c r="E50" s="46"/>
      <c r="F50" s="67"/>
      <c r="G50" s="68"/>
      <c r="H50" s="68"/>
      <c r="I50" s="68"/>
      <c r="J50" s="69"/>
      <c r="K50" s="46"/>
      <c r="L50" s="66"/>
      <c r="M50" s="66"/>
      <c r="N50" s="66"/>
      <c r="O50" s="66"/>
      <c r="P50" s="66"/>
      <c r="Q50" s="66"/>
      <c r="R50" s="66"/>
      <c r="S50" s="46"/>
      <c r="T50" s="47"/>
      <c r="U50" s="47"/>
      <c r="V50" s="47"/>
      <c r="W50" s="47"/>
      <c r="X50" s="47"/>
      <c r="Y50" s="47"/>
      <c r="Z50" s="47"/>
      <c r="AA50" s="47"/>
      <c r="AB50" s="48"/>
    </row>
    <row r="51" spans="1:28" ht="7.5" customHeight="1" x14ac:dyDescent="0.25">
      <c r="A51" s="49"/>
      <c r="C51" s="46"/>
      <c r="E51" s="46"/>
      <c r="F51" s="46"/>
      <c r="G51" s="46"/>
      <c r="H51" s="46"/>
      <c r="I51" s="46"/>
      <c r="J51" s="46"/>
      <c r="K51" s="46"/>
      <c r="L51" s="46"/>
      <c r="M51" s="46"/>
      <c r="N51" s="46"/>
      <c r="O51" s="46"/>
      <c r="P51" s="46"/>
      <c r="Q51" s="46"/>
      <c r="R51" s="46"/>
      <c r="S51" s="46"/>
      <c r="T51" s="47"/>
      <c r="U51" s="47"/>
      <c r="V51" s="47"/>
      <c r="W51" s="47"/>
      <c r="X51" s="47"/>
      <c r="Y51" s="47"/>
      <c r="Z51" s="47"/>
      <c r="AA51" s="47"/>
      <c r="AB51" s="48"/>
    </row>
    <row r="52" spans="1:28" x14ac:dyDescent="0.25">
      <c r="A52" s="49"/>
      <c r="C52" s="46"/>
      <c r="E52" s="53" t="s">
        <v>144</v>
      </c>
      <c r="F52" s="67"/>
      <c r="G52" s="68"/>
      <c r="H52" s="68"/>
      <c r="I52" s="69"/>
      <c r="J52" s="46"/>
      <c r="K52" s="46" t="s">
        <v>153</v>
      </c>
      <c r="L52" s="46"/>
      <c r="M52" s="46"/>
      <c r="N52" s="46"/>
      <c r="O52" s="46"/>
      <c r="P52" s="46"/>
      <c r="Q52" s="46"/>
      <c r="R52" s="46"/>
      <c r="S52" s="46"/>
      <c r="T52" s="47"/>
      <c r="U52" s="47"/>
      <c r="V52" s="47"/>
      <c r="W52" s="47"/>
      <c r="X52" s="47"/>
      <c r="Y52" s="47"/>
      <c r="Z52" s="47"/>
      <c r="AA52" s="47"/>
      <c r="AB52" s="48"/>
    </row>
    <row r="53" spans="1:28" x14ac:dyDescent="0.25">
      <c r="A53" s="49"/>
      <c r="C53" s="46"/>
      <c r="E53" s="54" t="s">
        <v>145</v>
      </c>
      <c r="F53" s="67"/>
      <c r="G53" s="68"/>
      <c r="H53" s="68"/>
      <c r="I53" s="69"/>
      <c r="J53" s="46"/>
      <c r="K53" s="46"/>
      <c r="L53" s="66"/>
      <c r="M53" s="66"/>
      <c r="N53" s="66"/>
      <c r="O53" s="66"/>
      <c r="P53" s="66"/>
      <c r="Q53" s="66"/>
      <c r="R53" s="66"/>
      <c r="S53" s="46"/>
      <c r="T53" s="47"/>
      <c r="U53" s="47"/>
      <c r="V53" s="47"/>
      <c r="W53" s="47"/>
      <c r="X53" s="47"/>
      <c r="Y53" s="47"/>
      <c r="Z53" s="47"/>
      <c r="AA53" s="47"/>
      <c r="AB53" s="48"/>
    </row>
    <row r="54" spans="1:28" ht="7.5" customHeight="1" x14ac:dyDescent="0.25">
      <c r="A54" s="49"/>
      <c r="C54" s="46"/>
      <c r="D54" s="46"/>
      <c r="E54" s="46"/>
      <c r="F54" s="46"/>
      <c r="G54" s="46"/>
      <c r="H54" s="46"/>
      <c r="I54" s="46"/>
      <c r="J54" s="46"/>
      <c r="K54" s="46"/>
      <c r="L54" s="46"/>
      <c r="M54" s="46"/>
      <c r="N54" s="46"/>
      <c r="O54" s="46"/>
      <c r="P54" s="46"/>
      <c r="Q54" s="46"/>
      <c r="R54" s="46"/>
      <c r="S54" s="46"/>
      <c r="T54" s="47"/>
      <c r="U54" s="47"/>
      <c r="V54" s="47"/>
      <c r="W54" s="47"/>
      <c r="X54" s="47"/>
      <c r="Y54" s="47"/>
      <c r="Z54" s="47"/>
      <c r="AA54" s="47"/>
      <c r="AB54" s="48"/>
    </row>
    <row r="55" spans="1:28" x14ac:dyDescent="0.25">
      <c r="A55" s="49"/>
      <c r="B55" s="46" t="s">
        <v>152</v>
      </c>
      <c r="C55" s="46"/>
      <c r="D55" s="46"/>
      <c r="E55" s="46"/>
      <c r="F55" s="67"/>
      <c r="G55" s="69"/>
      <c r="H55" s="46"/>
      <c r="I55" s="46"/>
      <c r="J55" s="46"/>
      <c r="K55" s="46"/>
      <c r="L55" s="46"/>
      <c r="M55" s="46"/>
      <c r="N55" s="46"/>
      <c r="O55" s="46"/>
      <c r="P55" s="46"/>
      <c r="Q55" s="46"/>
      <c r="R55" s="46"/>
      <c r="S55" s="46"/>
      <c r="T55" s="47"/>
      <c r="U55" s="47"/>
      <c r="V55" s="47"/>
      <c r="W55" s="47"/>
      <c r="X55" s="47"/>
      <c r="Y55" s="47"/>
      <c r="Z55" s="47"/>
      <c r="AA55" s="47"/>
      <c r="AB55" s="48"/>
    </row>
    <row r="56" spans="1:28" x14ac:dyDescent="0.25">
      <c r="A56" s="49"/>
      <c r="B56" s="46"/>
      <c r="C56" s="46"/>
      <c r="D56" s="46"/>
      <c r="E56" s="46"/>
      <c r="F56" s="46"/>
      <c r="G56" s="46"/>
      <c r="H56" s="46"/>
      <c r="I56" s="46"/>
      <c r="J56" s="46"/>
      <c r="K56" s="46"/>
      <c r="L56" s="46"/>
      <c r="M56" s="46"/>
      <c r="N56" s="46"/>
      <c r="O56" s="46"/>
      <c r="P56" s="46"/>
      <c r="Q56" s="46"/>
      <c r="R56" s="46"/>
      <c r="S56" s="46"/>
      <c r="T56" s="47"/>
      <c r="U56" s="47"/>
      <c r="V56" s="47"/>
      <c r="W56" s="47"/>
      <c r="X56" s="47"/>
      <c r="Y56" s="47"/>
      <c r="Z56" s="47"/>
      <c r="AA56" s="47"/>
      <c r="AB56" s="48"/>
    </row>
    <row r="57" spans="1:28" ht="15.75" thickBot="1" x14ac:dyDescent="0.3">
      <c r="A57" s="55"/>
      <c r="B57" s="56"/>
      <c r="C57" s="56"/>
      <c r="D57" s="56"/>
      <c r="E57" s="56"/>
      <c r="F57" s="56"/>
      <c r="G57" s="56"/>
      <c r="H57" s="56"/>
      <c r="I57" s="56"/>
      <c r="J57" s="56"/>
      <c r="K57" s="56"/>
      <c r="L57" s="56"/>
      <c r="M57" s="56"/>
      <c r="N57" s="56"/>
      <c r="O57" s="56"/>
      <c r="P57" s="56"/>
      <c r="Q57" s="56"/>
      <c r="R57" s="56"/>
      <c r="S57" s="56"/>
      <c r="T57" s="57"/>
      <c r="U57" s="57"/>
      <c r="V57" s="57"/>
      <c r="W57" s="57"/>
      <c r="X57" s="57"/>
      <c r="Y57" s="57"/>
      <c r="Z57" s="57"/>
      <c r="AA57" s="57"/>
      <c r="AB57" s="58"/>
    </row>
    <row r="58" spans="1:28" ht="6" customHeight="1" thickBot="1" x14ac:dyDescent="0.3"/>
    <row r="59" spans="1:28" ht="6" customHeight="1" x14ac:dyDescent="0.25">
      <c r="A59" s="40"/>
      <c r="B59" s="41"/>
      <c r="C59" s="41"/>
      <c r="D59" s="41"/>
      <c r="E59" s="41"/>
      <c r="F59" s="41"/>
      <c r="G59" s="41"/>
      <c r="H59" s="41"/>
      <c r="I59" s="41"/>
      <c r="J59" s="41"/>
      <c r="K59" s="41"/>
      <c r="L59" s="41"/>
      <c r="M59" s="41"/>
      <c r="N59" s="41"/>
      <c r="O59" s="41"/>
      <c r="P59" s="41"/>
      <c r="Q59" s="41"/>
      <c r="R59" s="41"/>
      <c r="S59" s="41"/>
      <c r="T59" s="42"/>
      <c r="U59" s="42"/>
      <c r="V59" s="42"/>
      <c r="W59" s="42"/>
      <c r="X59" s="42"/>
      <c r="Y59" s="42"/>
      <c r="Z59" s="42"/>
      <c r="AA59" s="42"/>
      <c r="AB59" s="43"/>
    </row>
    <row r="60" spans="1:28" x14ac:dyDescent="0.25">
      <c r="A60" s="44" t="s">
        <v>163</v>
      </c>
      <c r="B60" s="45"/>
      <c r="C60" s="45"/>
      <c r="D60" s="45"/>
      <c r="E60" s="45"/>
      <c r="F60" s="45"/>
      <c r="G60" s="45"/>
      <c r="H60" s="46"/>
      <c r="I60" s="46"/>
      <c r="J60" s="46"/>
      <c r="K60" s="46"/>
      <c r="L60" s="46"/>
      <c r="M60" s="46"/>
      <c r="N60" s="46"/>
      <c r="O60" s="46"/>
      <c r="P60" s="46"/>
      <c r="Q60" s="46"/>
      <c r="R60" s="46"/>
      <c r="S60" s="46"/>
      <c r="T60" s="47"/>
      <c r="U60" s="47"/>
      <c r="V60" s="47"/>
      <c r="W60" s="47"/>
      <c r="X60" s="47"/>
      <c r="Y60" s="47"/>
      <c r="Z60" s="47"/>
      <c r="AA60" s="47"/>
      <c r="AB60" s="48"/>
    </row>
    <row r="61" spans="1:28" ht="7.5" customHeight="1" x14ac:dyDescent="0.25">
      <c r="A61" s="49"/>
      <c r="C61" s="46"/>
      <c r="E61" s="46"/>
      <c r="F61" s="46"/>
      <c r="G61" s="46"/>
      <c r="H61" s="46"/>
      <c r="I61" s="46"/>
      <c r="J61" s="46"/>
      <c r="K61" s="46"/>
      <c r="L61" s="46"/>
      <c r="M61" s="46"/>
      <c r="N61" s="46"/>
      <c r="O61" s="46"/>
      <c r="P61" s="46"/>
      <c r="Q61" s="46"/>
      <c r="R61" s="46"/>
      <c r="S61" s="46"/>
      <c r="T61" s="47"/>
      <c r="U61" s="47"/>
      <c r="V61" s="47"/>
      <c r="W61" s="47"/>
      <c r="X61" s="47"/>
      <c r="Y61" s="47"/>
      <c r="Z61" s="47"/>
      <c r="AA61" s="47"/>
      <c r="AB61" s="48"/>
    </row>
    <row r="62" spans="1:28" x14ac:dyDescent="0.25">
      <c r="A62" s="49"/>
      <c r="C62" s="46"/>
      <c r="E62" s="50" t="s">
        <v>147</v>
      </c>
      <c r="F62" s="67"/>
      <c r="G62" s="68"/>
      <c r="H62" s="68"/>
      <c r="I62" s="69"/>
      <c r="J62" s="46"/>
      <c r="K62" s="46" t="s">
        <v>150</v>
      </c>
      <c r="L62" s="46"/>
      <c r="M62" s="46"/>
      <c r="N62" s="46"/>
      <c r="O62" s="46"/>
      <c r="P62" s="46"/>
      <c r="Q62" s="46"/>
      <c r="R62" s="46"/>
      <c r="S62" s="46"/>
      <c r="T62" s="47"/>
      <c r="U62" s="47"/>
      <c r="V62" s="47"/>
      <c r="W62" s="47"/>
      <c r="X62" s="47"/>
      <c r="Y62" s="47"/>
      <c r="Z62" s="47"/>
      <c r="AA62" s="47"/>
      <c r="AB62" s="48"/>
    </row>
    <row r="63" spans="1:28" x14ac:dyDescent="0.25">
      <c r="A63" s="49"/>
      <c r="C63" s="46"/>
      <c r="E63" s="50" t="s">
        <v>148</v>
      </c>
      <c r="F63" s="67"/>
      <c r="G63" s="68"/>
      <c r="H63" s="68"/>
      <c r="I63" s="69"/>
      <c r="J63" s="46"/>
      <c r="K63" s="46"/>
      <c r="L63" s="66"/>
      <c r="M63" s="66"/>
      <c r="N63" s="66"/>
      <c r="O63" s="66"/>
      <c r="P63" s="66"/>
      <c r="Q63" s="66"/>
      <c r="R63" s="66"/>
      <c r="S63" s="46"/>
      <c r="T63" s="47"/>
      <c r="U63" s="47"/>
      <c r="V63" s="47"/>
      <c r="W63" s="47"/>
      <c r="X63" s="47"/>
      <c r="Y63" s="47"/>
      <c r="Z63" s="47"/>
      <c r="AA63" s="47"/>
      <c r="AB63" s="48"/>
    </row>
    <row r="64" spans="1:28" ht="7.5" customHeight="1" x14ac:dyDescent="0.25">
      <c r="A64" s="49"/>
      <c r="C64" s="46"/>
      <c r="E64" s="46"/>
      <c r="F64" s="46"/>
      <c r="G64" s="46"/>
      <c r="H64" s="46"/>
      <c r="I64" s="46"/>
      <c r="J64" s="46"/>
      <c r="K64" s="46"/>
      <c r="L64" s="46"/>
      <c r="M64" s="46"/>
      <c r="N64" s="46"/>
      <c r="O64" s="46"/>
      <c r="P64" s="46"/>
      <c r="Q64" s="46"/>
      <c r="R64" s="46"/>
      <c r="S64" s="46"/>
      <c r="T64" s="47"/>
      <c r="U64" s="47"/>
      <c r="V64" s="47"/>
      <c r="W64" s="47"/>
      <c r="X64" s="47"/>
      <c r="Y64" s="47"/>
      <c r="Z64" s="47"/>
      <c r="AA64" s="47"/>
      <c r="AB64" s="48"/>
    </row>
    <row r="65" spans="1:28" x14ac:dyDescent="0.25">
      <c r="A65" s="49"/>
      <c r="C65" s="46"/>
      <c r="D65" s="46" t="s">
        <v>91</v>
      </c>
      <c r="E65" s="46"/>
      <c r="F65" s="67"/>
      <c r="G65" s="68"/>
      <c r="H65" s="68"/>
      <c r="I65" s="69"/>
      <c r="J65" s="51"/>
      <c r="K65" s="46" t="s">
        <v>149</v>
      </c>
      <c r="L65" s="46"/>
      <c r="M65" s="46"/>
      <c r="N65" s="46"/>
      <c r="O65" s="46"/>
      <c r="P65" s="46"/>
      <c r="Q65" s="46"/>
      <c r="R65" s="46"/>
      <c r="S65" s="46"/>
      <c r="T65" s="47"/>
      <c r="U65" s="47"/>
      <c r="V65" s="47"/>
      <c r="W65" s="47"/>
      <c r="X65" s="47"/>
      <c r="Y65" s="47"/>
      <c r="Z65" s="47"/>
      <c r="AA65" s="47"/>
      <c r="AB65" s="48"/>
    </row>
    <row r="66" spans="1:28" x14ac:dyDescent="0.25">
      <c r="A66" s="49"/>
      <c r="C66" s="46"/>
      <c r="D66" s="46" t="s">
        <v>9</v>
      </c>
      <c r="E66" s="46"/>
      <c r="F66" s="67"/>
      <c r="G66" s="68"/>
      <c r="H66" s="68"/>
      <c r="I66" s="69"/>
      <c r="J66" s="51"/>
      <c r="K66" s="46"/>
      <c r="L66" s="66"/>
      <c r="M66" s="66"/>
      <c r="N66" s="66"/>
      <c r="O66" s="66"/>
      <c r="P66" s="66"/>
      <c r="Q66" s="66"/>
      <c r="R66" s="66"/>
      <c r="S66" s="46"/>
      <c r="T66" s="47"/>
      <c r="U66" s="47"/>
      <c r="V66" s="47"/>
      <c r="W66" s="47"/>
      <c r="X66" s="47"/>
      <c r="Y66" s="47"/>
      <c r="Z66" s="47"/>
      <c r="AA66" s="47"/>
      <c r="AB66" s="48"/>
    </row>
    <row r="67" spans="1:28" x14ac:dyDescent="0.25">
      <c r="A67" s="49"/>
      <c r="C67" s="46"/>
      <c r="D67" s="52" t="s">
        <v>146</v>
      </c>
      <c r="E67" s="46"/>
      <c r="F67" s="67"/>
      <c r="G67" s="68"/>
      <c r="H67" s="68"/>
      <c r="I67" s="68"/>
      <c r="J67" s="69"/>
      <c r="K67" s="46"/>
      <c r="L67" s="66"/>
      <c r="M67" s="66"/>
      <c r="N67" s="66"/>
      <c r="O67" s="66"/>
      <c r="P67" s="66"/>
      <c r="Q67" s="66"/>
      <c r="R67" s="66"/>
      <c r="S67" s="46"/>
      <c r="T67" s="47"/>
      <c r="U67" s="47"/>
      <c r="V67" s="47"/>
      <c r="W67" s="47"/>
      <c r="X67" s="47"/>
      <c r="Y67" s="47"/>
      <c r="Z67" s="47"/>
      <c r="AA67" s="47"/>
      <c r="AB67" s="48"/>
    </row>
    <row r="68" spans="1:28" ht="7.5" customHeight="1" x14ac:dyDescent="0.25">
      <c r="A68" s="49"/>
      <c r="C68" s="46"/>
      <c r="E68" s="46"/>
      <c r="F68" s="46"/>
      <c r="G68" s="46"/>
      <c r="H68" s="46"/>
      <c r="I68" s="46"/>
      <c r="J68" s="46"/>
      <c r="K68" s="46"/>
      <c r="L68" s="46"/>
      <c r="M68" s="46"/>
      <c r="N68" s="46"/>
      <c r="O68" s="46"/>
      <c r="P68" s="46"/>
      <c r="Q68" s="46"/>
      <c r="R68" s="46"/>
      <c r="S68" s="46"/>
      <c r="T68" s="47"/>
      <c r="U68" s="47"/>
      <c r="V68" s="47"/>
      <c r="W68" s="47"/>
      <c r="X68" s="47"/>
      <c r="Y68" s="47"/>
      <c r="Z68" s="47"/>
      <c r="AA68" s="47"/>
      <c r="AB68" s="48"/>
    </row>
    <row r="69" spans="1:28" x14ac:dyDescent="0.25">
      <c r="A69" s="49"/>
      <c r="C69" s="46"/>
      <c r="E69" s="53" t="s">
        <v>144</v>
      </c>
      <c r="F69" s="67"/>
      <c r="G69" s="68"/>
      <c r="H69" s="68"/>
      <c r="I69" s="69"/>
      <c r="J69" s="46"/>
      <c r="K69" s="46" t="s">
        <v>153</v>
      </c>
      <c r="L69" s="46"/>
      <c r="M69" s="46"/>
      <c r="N69" s="46"/>
      <c r="O69" s="46"/>
      <c r="P69" s="46"/>
      <c r="Q69" s="46"/>
      <c r="R69" s="46"/>
      <c r="S69" s="46"/>
      <c r="T69" s="47"/>
      <c r="U69" s="47"/>
      <c r="V69" s="47"/>
      <c r="W69" s="47"/>
      <c r="X69" s="47"/>
      <c r="Y69" s="47"/>
      <c r="Z69" s="47"/>
      <c r="AA69" s="47"/>
      <c r="AB69" s="48"/>
    </row>
    <row r="70" spans="1:28" x14ac:dyDescent="0.25">
      <c r="A70" s="49"/>
      <c r="C70" s="46"/>
      <c r="E70" s="54" t="s">
        <v>145</v>
      </c>
      <c r="F70" s="67"/>
      <c r="G70" s="68"/>
      <c r="H70" s="68"/>
      <c r="I70" s="69"/>
      <c r="J70" s="46"/>
      <c r="K70" s="46"/>
      <c r="L70" s="66"/>
      <c r="M70" s="66"/>
      <c r="N70" s="66"/>
      <c r="O70" s="66"/>
      <c r="P70" s="66"/>
      <c r="Q70" s="66"/>
      <c r="R70" s="66"/>
      <c r="S70" s="46"/>
      <c r="T70" s="47"/>
      <c r="U70" s="47"/>
      <c r="V70" s="47"/>
      <c r="W70" s="47"/>
      <c r="X70" s="47"/>
      <c r="Y70" s="47"/>
      <c r="Z70" s="47"/>
      <c r="AA70" s="47"/>
      <c r="AB70" s="48"/>
    </row>
    <row r="71" spans="1:28" ht="7.5" customHeight="1" x14ac:dyDescent="0.25">
      <c r="A71" s="49"/>
      <c r="C71" s="46"/>
      <c r="D71" s="46"/>
      <c r="E71" s="46"/>
      <c r="F71" s="46"/>
      <c r="G71" s="46"/>
      <c r="H71" s="46"/>
      <c r="I71" s="46"/>
      <c r="J71" s="46"/>
      <c r="K71" s="46"/>
      <c r="L71" s="46"/>
      <c r="M71" s="46"/>
      <c r="N71" s="46"/>
      <c r="O71" s="46"/>
      <c r="P71" s="46"/>
      <c r="Q71" s="46"/>
      <c r="R71" s="46"/>
      <c r="S71" s="46"/>
      <c r="T71" s="47"/>
      <c r="U71" s="47"/>
      <c r="V71" s="47"/>
      <c r="W71" s="47"/>
      <c r="X71" s="47"/>
      <c r="Y71" s="47"/>
      <c r="Z71" s="47"/>
      <c r="AA71" s="47"/>
      <c r="AB71" s="48"/>
    </row>
    <row r="72" spans="1:28" x14ac:dyDescent="0.25">
      <c r="A72" s="49"/>
      <c r="B72" s="46" t="s">
        <v>152</v>
      </c>
      <c r="C72" s="46"/>
      <c r="D72" s="46"/>
      <c r="E72" s="46"/>
      <c r="F72" s="67"/>
      <c r="G72" s="69"/>
      <c r="H72" s="46"/>
      <c r="I72" s="46"/>
      <c r="J72" s="46"/>
      <c r="K72" s="46"/>
      <c r="L72" s="46"/>
      <c r="M72" s="46"/>
      <c r="N72" s="46"/>
      <c r="O72" s="46"/>
      <c r="P72" s="46"/>
      <c r="Q72" s="46"/>
      <c r="R72" s="46"/>
      <c r="S72" s="46"/>
      <c r="T72" s="47"/>
      <c r="U72" s="47"/>
      <c r="V72" s="47"/>
      <c r="W72" s="47"/>
      <c r="X72" s="47"/>
      <c r="Y72" s="47"/>
      <c r="Z72" s="47"/>
      <c r="AA72" s="47"/>
      <c r="AB72" s="48"/>
    </row>
    <row r="73" spans="1:28" x14ac:dyDescent="0.25">
      <c r="A73" s="49"/>
      <c r="B73" s="46"/>
      <c r="C73" s="46"/>
      <c r="D73" s="46"/>
      <c r="E73" s="46"/>
      <c r="F73" s="46"/>
      <c r="G73" s="46"/>
      <c r="H73" s="46"/>
      <c r="I73" s="46"/>
      <c r="J73" s="46"/>
      <c r="K73" s="46"/>
      <c r="L73" s="46"/>
      <c r="M73" s="46"/>
      <c r="N73" s="46"/>
      <c r="O73" s="46"/>
      <c r="P73" s="46"/>
      <c r="Q73" s="46"/>
      <c r="R73" s="46"/>
      <c r="S73" s="46"/>
      <c r="T73" s="47"/>
      <c r="U73" s="47"/>
      <c r="V73" s="47"/>
      <c r="W73" s="47"/>
      <c r="X73" s="47"/>
      <c r="Y73" s="47"/>
      <c r="Z73" s="47"/>
      <c r="AA73" s="47"/>
      <c r="AB73" s="48"/>
    </row>
    <row r="74" spans="1:28" ht="15.75" thickBot="1" x14ac:dyDescent="0.3">
      <c r="A74" s="55"/>
      <c r="B74" s="56"/>
      <c r="C74" s="56"/>
      <c r="D74" s="56"/>
      <c r="E74" s="56"/>
      <c r="F74" s="56"/>
      <c r="G74" s="56"/>
      <c r="H74" s="56"/>
      <c r="I74" s="56"/>
      <c r="J74" s="56"/>
      <c r="K74" s="56"/>
      <c r="L74" s="56"/>
      <c r="M74" s="56"/>
      <c r="N74" s="56"/>
      <c r="O74" s="56"/>
      <c r="P74" s="56"/>
      <c r="Q74" s="56"/>
      <c r="R74" s="56"/>
      <c r="S74" s="56"/>
      <c r="T74" s="57"/>
      <c r="U74" s="57"/>
      <c r="V74" s="57"/>
      <c r="W74" s="57"/>
      <c r="X74" s="57"/>
      <c r="Y74" s="57"/>
      <c r="Z74" s="57"/>
      <c r="AA74" s="57"/>
      <c r="AB74" s="58"/>
    </row>
    <row r="75" spans="1:28" ht="6" customHeight="1" thickBot="1" x14ac:dyDescent="0.3"/>
    <row r="76" spans="1:28" ht="6" customHeight="1" x14ac:dyDescent="0.25">
      <c r="A76" s="40"/>
      <c r="B76" s="41"/>
      <c r="C76" s="41"/>
      <c r="D76" s="41"/>
      <c r="E76" s="41"/>
      <c r="F76" s="41"/>
      <c r="G76" s="41"/>
      <c r="H76" s="41"/>
      <c r="I76" s="41"/>
      <c r="J76" s="41"/>
      <c r="K76" s="41"/>
      <c r="L76" s="41"/>
      <c r="M76" s="41"/>
      <c r="N76" s="41"/>
      <c r="O76" s="41"/>
      <c r="P76" s="41"/>
      <c r="Q76" s="41"/>
      <c r="R76" s="41"/>
      <c r="S76" s="41"/>
      <c r="T76" s="42"/>
      <c r="U76" s="42"/>
      <c r="V76" s="42"/>
      <c r="W76" s="42"/>
      <c r="X76" s="42"/>
      <c r="Y76" s="42"/>
      <c r="Z76" s="42"/>
      <c r="AA76" s="42"/>
      <c r="AB76" s="43"/>
    </row>
    <row r="77" spans="1:28" x14ac:dyDescent="0.25">
      <c r="A77" s="44" t="s">
        <v>164</v>
      </c>
      <c r="B77" s="45"/>
      <c r="C77" s="45"/>
      <c r="D77" s="45"/>
      <c r="E77" s="45"/>
      <c r="F77" s="45"/>
      <c r="G77" s="45"/>
      <c r="H77" s="46"/>
      <c r="I77" s="46"/>
      <c r="J77" s="46"/>
      <c r="K77" s="46"/>
      <c r="L77" s="46"/>
      <c r="M77" s="46"/>
      <c r="N77" s="46"/>
      <c r="O77" s="46"/>
      <c r="P77" s="46"/>
      <c r="Q77" s="46"/>
      <c r="R77" s="46"/>
      <c r="S77" s="46"/>
      <c r="T77" s="47"/>
      <c r="U77" s="47"/>
      <c r="V77" s="47"/>
      <c r="W77" s="47"/>
      <c r="X77" s="47"/>
      <c r="Y77" s="47"/>
      <c r="Z77" s="47"/>
      <c r="AA77" s="47"/>
      <c r="AB77" s="48"/>
    </row>
    <row r="78" spans="1:28" ht="7.5" customHeight="1" x14ac:dyDescent="0.25">
      <c r="A78" s="49"/>
      <c r="C78" s="46"/>
      <c r="E78" s="46"/>
      <c r="F78" s="46"/>
      <c r="G78" s="46"/>
      <c r="H78" s="46"/>
      <c r="I78" s="46"/>
      <c r="J78" s="46"/>
      <c r="K78" s="46"/>
      <c r="L78" s="46"/>
      <c r="M78" s="46"/>
      <c r="N78" s="46"/>
      <c r="O78" s="46"/>
      <c r="P78" s="46"/>
      <c r="Q78" s="46"/>
      <c r="R78" s="46"/>
      <c r="S78" s="46"/>
      <c r="T78" s="47"/>
      <c r="U78" s="47"/>
      <c r="V78" s="47"/>
      <c r="W78" s="47"/>
      <c r="X78" s="47"/>
      <c r="Y78" s="47"/>
      <c r="Z78" s="47"/>
      <c r="AA78" s="47"/>
      <c r="AB78" s="48"/>
    </row>
    <row r="79" spans="1:28" x14ac:dyDescent="0.25">
      <c r="A79" s="49"/>
      <c r="C79" s="46"/>
      <c r="E79" s="50" t="s">
        <v>147</v>
      </c>
      <c r="F79" s="67"/>
      <c r="G79" s="68"/>
      <c r="H79" s="68"/>
      <c r="I79" s="69"/>
      <c r="J79" s="46"/>
      <c r="K79" s="46" t="s">
        <v>150</v>
      </c>
      <c r="L79" s="46"/>
      <c r="M79" s="46"/>
      <c r="N79" s="46"/>
      <c r="O79" s="46"/>
      <c r="P79" s="46"/>
      <c r="Q79" s="46"/>
      <c r="R79" s="46"/>
      <c r="S79" s="46"/>
      <c r="T79" s="47"/>
      <c r="U79" s="47"/>
      <c r="V79" s="47"/>
      <c r="W79" s="47"/>
      <c r="X79" s="47"/>
      <c r="Y79" s="47"/>
      <c r="Z79" s="47"/>
      <c r="AA79" s="47"/>
      <c r="AB79" s="48"/>
    </row>
    <row r="80" spans="1:28" x14ac:dyDescent="0.25">
      <c r="A80" s="49"/>
      <c r="C80" s="46"/>
      <c r="E80" s="50" t="s">
        <v>148</v>
      </c>
      <c r="F80" s="67"/>
      <c r="G80" s="68"/>
      <c r="H80" s="68"/>
      <c r="I80" s="69"/>
      <c r="J80" s="46"/>
      <c r="K80" s="46"/>
      <c r="L80" s="66"/>
      <c r="M80" s="66"/>
      <c r="N80" s="66"/>
      <c r="O80" s="66"/>
      <c r="P80" s="66"/>
      <c r="Q80" s="66"/>
      <c r="R80" s="66"/>
      <c r="S80" s="46"/>
      <c r="T80" s="47"/>
      <c r="U80" s="47"/>
      <c r="V80" s="47"/>
      <c r="W80" s="47"/>
      <c r="X80" s="47"/>
      <c r="Y80" s="47"/>
      <c r="Z80" s="47"/>
      <c r="AA80" s="47"/>
      <c r="AB80" s="48"/>
    </row>
    <row r="81" spans="1:28" ht="7.5" customHeight="1" x14ac:dyDescent="0.25">
      <c r="A81" s="49"/>
      <c r="C81" s="46"/>
      <c r="E81" s="46"/>
      <c r="F81" s="46"/>
      <c r="G81" s="46"/>
      <c r="H81" s="46"/>
      <c r="I81" s="46"/>
      <c r="J81" s="46"/>
      <c r="K81" s="46"/>
      <c r="L81" s="46"/>
      <c r="M81" s="46"/>
      <c r="N81" s="46"/>
      <c r="O81" s="46"/>
      <c r="P81" s="46"/>
      <c r="Q81" s="46"/>
      <c r="R81" s="46"/>
      <c r="S81" s="46"/>
      <c r="T81" s="47"/>
      <c r="U81" s="47"/>
      <c r="V81" s="47"/>
      <c r="W81" s="47"/>
      <c r="X81" s="47"/>
      <c r="Y81" s="47"/>
      <c r="Z81" s="47"/>
      <c r="AA81" s="47"/>
      <c r="AB81" s="48"/>
    </row>
    <row r="82" spans="1:28" x14ac:dyDescent="0.25">
      <c r="A82" s="49"/>
      <c r="C82" s="46"/>
      <c r="D82" s="46" t="s">
        <v>91</v>
      </c>
      <c r="E82" s="46"/>
      <c r="F82" s="67"/>
      <c r="G82" s="68"/>
      <c r="H82" s="68"/>
      <c r="I82" s="69"/>
      <c r="J82" s="51"/>
      <c r="K82" s="46" t="s">
        <v>149</v>
      </c>
      <c r="L82" s="46"/>
      <c r="M82" s="46"/>
      <c r="N82" s="46"/>
      <c r="O82" s="46"/>
      <c r="P82" s="46"/>
      <c r="Q82" s="46"/>
      <c r="R82" s="46"/>
      <c r="S82" s="46"/>
      <c r="T82" s="47"/>
      <c r="U82" s="47"/>
      <c r="V82" s="47"/>
      <c r="W82" s="47"/>
      <c r="X82" s="47"/>
      <c r="Y82" s="47"/>
      <c r="Z82" s="47"/>
      <c r="AA82" s="47"/>
      <c r="AB82" s="48"/>
    </row>
    <row r="83" spans="1:28" x14ac:dyDescent="0.25">
      <c r="A83" s="49"/>
      <c r="C83" s="46"/>
      <c r="D83" s="46" t="s">
        <v>9</v>
      </c>
      <c r="E83" s="46"/>
      <c r="F83" s="67"/>
      <c r="G83" s="68"/>
      <c r="H83" s="68"/>
      <c r="I83" s="69"/>
      <c r="J83" s="51"/>
      <c r="K83" s="46"/>
      <c r="L83" s="66"/>
      <c r="M83" s="66"/>
      <c r="N83" s="66"/>
      <c r="O83" s="66"/>
      <c r="P83" s="66"/>
      <c r="Q83" s="66"/>
      <c r="R83" s="66"/>
      <c r="S83" s="46"/>
      <c r="T83" s="47"/>
      <c r="U83" s="47"/>
      <c r="V83" s="47"/>
      <c r="W83" s="47"/>
      <c r="X83" s="47"/>
      <c r="Y83" s="47"/>
      <c r="Z83" s="47"/>
      <c r="AA83" s="47"/>
      <c r="AB83" s="48"/>
    </row>
    <row r="84" spans="1:28" x14ac:dyDescent="0.25">
      <c r="A84" s="49"/>
      <c r="C84" s="46"/>
      <c r="D84" s="52" t="s">
        <v>146</v>
      </c>
      <c r="E84" s="46"/>
      <c r="F84" s="67"/>
      <c r="G84" s="68"/>
      <c r="H84" s="68"/>
      <c r="I84" s="68"/>
      <c r="J84" s="69"/>
      <c r="K84" s="46"/>
      <c r="L84" s="66"/>
      <c r="M84" s="66"/>
      <c r="N84" s="66"/>
      <c r="O84" s="66"/>
      <c r="P84" s="66"/>
      <c r="Q84" s="66"/>
      <c r="R84" s="66"/>
      <c r="S84" s="46"/>
      <c r="T84" s="47"/>
      <c r="U84" s="47"/>
      <c r="V84" s="47"/>
      <c r="W84" s="47"/>
      <c r="X84" s="47"/>
      <c r="Y84" s="47"/>
      <c r="Z84" s="47"/>
      <c r="AA84" s="47"/>
      <c r="AB84" s="48"/>
    </row>
    <row r="85" spans="1:28" ht="7.5" customHeight="1" x14ac:dyDescent="0.25">
      <c r="A85" s="49"/>
      <c r="C85" s="46"/>
      <c r="E85" s="46"/>
      <c r="F85" s="46"/>
      <c r="G85" s="46"/>
      <c r="H85" s="46"/>
      <c r="I85" s="46"/>
      <c r="J85" s="46"/>
      <c r="K85" s="46"/>
      <c r="L85" s="46"/>
      <c r="M85" s="46"/>
      <c r="N85" s="46"/>
      <c r="O85" s="46"/>
      <c r="P85" s="46"/>
      <c r="Q85" s="46"/>
      <c r="R85" s="46"/>
      <c r="S85" s="46"/>
      <c r="T85" s="47"/>
      <c r="U85" s="47"/>
      <c r="V85" s="47"/>
      <c r="W85" s="47"/>
      <c r="X85" s="47"/>
      <c r="Y85" s="47"/>
      <c r="Z85" s="47"/>
      <c r="AA85" s="47"/>
      <c r="AB85" s="48"/>
    </row>
    <row r="86" spans="1:28" x14ac:dyDescent="0.25">
      <c r="A86" s="49"/>
      <c r="C86" s="46"/>
      <c r="E86" s="53" t="s">
        <v>144</v>
      </c>
      <c r="F86" s="67"/>
      <c r="G86" s="68"/>
      <c r="H86" s="68"/>
      <c r="I86" s="69"/>
      <c r="J86" s="46"/>
      <c r="K86" s="46" t="s">
        <v>153</v>
      </c>
      <c r="L86" s="46"/>
      <c r="M86" s="46"/>
      <c r="N86" s="46"/>
      <c r="O86" s="46"/>
      <c r="P86" s="46"/>
      <c r="Q86" s="46"/>
      <c r="R86" s="46"/>
      <c r="S86" s="46"/>
      <c r="T86" s="47"/>
      <c r="U86" s="47"/>
      <c r="V86" s="47"/>
      <c r="W86" s="47"/>
      <c r="X86" s="47"/>
      <c r="Y86" s="47"/>
      <c r="Z86" s="47"/>
      <c r="AA86" s="47"/>
      <c r="AB86" s="48"/>
    </row>
    <row r="87" spans="1:28" x14ac:dyDescent="0.25">
      <c r="A87" s="49"/>
      <c r="C87" s="46"/>
      <c r="E87" s="54" t="s">
        <v>145</v>
      </c>
      <c r="F87" s="67"/>
      <c r="G87" s="68"/>
      <c r="H87" s="68"/>
      <c r="I87" s="69"/>
      <c r="J87" s="46"/>
      <c r="K87" s="46"/>
      <c r="L87" s="66"/>
      <c r="M87" s="66"/>
      <c r="N87" s="66"/>
      <c r="O87" s="66"/>
      <c r="P87" s="66"/>
      <c r="Q87" s="66"/>
      <c r="R87" s="66"/>
      <c r="S87" s="46"/>
      <c r="T87" s="47"/>
      <c r="U87" s="47"/>
      <c r="V87" s="47"/>
      <c r="W87" s="47"/>
      <c r="X87" s="47"/>
      <c r="Y87" s="47"/>
      <c r="Z87" s="47"/>
      <c r="AA87" s="47"/>
      <c r="AB87" s="48"/>
    </row>
    <row r="88" spans="1:28" ht="7.5" customHeight="1" x14ac:dyDescent="0.25">
      <c r="A88" s="49"/>
      <c r="C88" s="46"/>
      <c r="D88" s="46"/>
      <c r="E88" s="46"/>
      <c r="F88" s="46"/>
      <c r="G88" s="46"/>
      <c r="H88" s="46"/>
      <c r="I88" s="46"/>
      <c r="J88" s="46"/>
      <c r="K88" s="46"/>
      <c r="L88" s="46"/>
      <c r="M88" s="46"/>
      <c r="N88" s="46"/>
      <c r="O88" s="46"/>
      <c r="P88" s="46"/>
      <c r="Q88" s="46"/>
      <c r="R88" s="46"/>
      <c r="S88" s="46"/>
      <c r="T88" s="47"/>
      <c r="U88" s="47"/>
      <c r="V88" s="47"/>
      <c r="W88" s="47"/>
      <c r="X88" s="47"/>
      <c r="Y88" s="47"/>
      <c r="Z88" s="47"/>
      <c r="AA88" s="47"/>
      <c r="AB88" s="48"/>
    </row>
    <row r="89" spans="1:28" x14ac:dyDescent="0.25">
      <c r="A89" s="49"/>
      <c r="B89" s="46" t="s">
        <v>152</v>
      </c>
      <c r="C89" s="46"/>
      <c r="D89" s="46"/>
      <c r="E89" s="46"/>
      <c r="F89" s="67"/>
      <c r="G89" s="69"/>
      <c r="H89" s="46"/>
      <c r="I89" s="46"/>
      <c r="J89" s="46"/>
      <c r="K89" s="46"/>
      <c r="L89" s="46"/>
      <c r="M89" s="46"/>
      <c r="N89" s="46"/>
      <c r="O89" s="46"/>
      <c r="P89" s="46"/>
      <c r="Q89" s="46"/>
      <c r="R89" s="46"/>
      <c r="S89" s="46"/>
      <c r="T89" s="47"/>
      <c r="U89" s="47"/>
      <c r="V89" s="47"/>
      <c r="W89" s="47"/>
      <c r="X89" s="47"/>
      <c r="Y89" s="47"/>
      <c r="Z89" s="47"/>
      <c r="AA89" s="47"/>
      <c r="AB89" s="48"/>
    </row>
    <row r="90" spans="1:28" x14ac:dyDescent="0.25">
      <c r="A90" s="49"/>
      <c r="B90" s="46"/>
      <c r="C90" s="46"/>
      <c r="D90" s="46"/>
      <c r="E90" s="46"/>
      <c r="F90" s="46"/>
      <c r="G90" s="46"/>
      <c r="H90" s="46"/>
      <c r="I90" s="46"/>
      <c r="J90" s="46"/>
      <c r="K90" s="46"/>
      <c r="L90" s="46"/>
      <c r="M90" s="46"/>
      <c r="N90" s="46"/>
      <c r="O90" s="46"/>
      <c r="P90" s="46"/>
      <c r="Q90" s="46"/>
      <c r="R90" s="46"/>
      <c r="S90" s="46"/>
      <c r="T90" s="47"/>
      <c r="U90" s="47"/>
      <c r="V90" s="47"/>
      <c r="W90" s="47"/>
      <c r="X90" s="47"/>
      <c r="Y90" s="47"/>
      <c r="Z90" s="47"/>
      <c r="AA90" s="47"/>
      <c r="AB90" s="48"/>
    </row>
    <row r="91" spans="1:28" ht="15.75" thickBot="1" x14ac:dyDescent="0.3">
      <c r="A91" s="55"/>
      <c r="B91" s="56"/>
      <c r="C91" s="56"/>
      <c r="D91" s="56"/>
      <c r="E91" s="56"/>
      <c r="F91" s="56"/>
      <c r="G91" s="56"/>
      <c r="H91" s="56"/>
      <c r="I91" s="56"/>
      <c r="J91" s="56"/>
      <c r="K91" s="56"/>
      <c r="L91" s="56"/>
      <c r="M91" s="56"/>
      <c r="N91" s="56"/>
      <c r="O91" s="56"/>
      <c r="P91" s="56"/>
      <c r="Q91" s="56"/>
      <c r="R91" s="56"/>
      <c r="S91" s="56"/>
      <c r="T91" s="57"/>
      <c r="U91" s="57"/>
      <c r="V91" s="57"/>
      <c r="W91" s="57"/>
      <c r="X91" s="57"/>
      <c r="Y91" s="57"/>
      <c r="Z91" s="57"/>
      <c r="AA91" s="57"/>
      <c r="AB91" s="58"/>
    </row>
    <row r="92" spans="1:28" ht="6" customHeight="1" thickBot="1" x14ac:dyDescent="0.3"/>
    <row r="93" spans="1:28" ht="6" customHeight="1" x14ac:dyDescent="0.25">
      <c r="A93" s="40"/>
      <c r="B93" s="41"/>
      <c r="C93" s="41"/>
      <c r="D93" s="41"/>
      <c r="E93" s="41"/>
      <c r="F93" s="41"/>
      <c r="G93" s="41"/>
      <c r="H93" s="41"/>
      <c r="I93" s="41"/>
      <c r="J93" s="41"/>
      <c r="K93" s="41"/>
      <c r="L93" s="41"/>
      <c r="M93" s="41"/>
      <c r="N93" s="41"/>
      <c r="O93" s="41"/>
      <c r="P93" s="41"/>
      <c r="Q93" s="41"/>
      <c r="R93" s="41"/>
      <c r="S93" s="41"/>
      <c r="T93" s="42"/>
      <c r="U93" s="42"/>
      <c r="V93" s="42"/>
      <c r="W93" s="42"/>
      <c r="X93" s="42"/>
      <c r="Y93" s="42"/>
      <c r="Z93" s="42"/>
      <c r="AA93" s="42"/>
      <c r="AB93" s="43"/>
    </row>
    <row r="94" spans="1:28" x14ac:dyDescent="0.25">
      <c r="A94" s="44" t="s">
        <v>151</v>
      </c>
      <c r="B94" s="45"/>
      <c r="C94" s="45"/>
      <c r="D94" s="45"/>
      <c r="E94" s="45"/>
      <c r="F94" s="45"/>
      <c r="G94" s="45"/>
      <c r="H94" s="46"/>
      <c r="I94" s="46"/>
      <c r="J94" s="46"/>
      <c r="K94" s="46"/>
      <c r="L94" s="46"/>
      <c r="M94" s="46"/>
      <c r="N94" s="46"/>
      <c r="O94" s="46"/>
      <c r="P94" s="46"/>
      <c r="Q94" s="46"/>
      <c r="R94" s="46"/>
      <c r="S94" s="46"/>
      <c r="T94" s="47"/>
      <c r="U94" s="47"/>
      <c r="V94" s="47"/>
      <c r="W94" s="47"/>
      <c r="X94" s="47"/>
      <c r="Y94" s="47"/>
      <c r="Z94" s="47"/>
      <c r="AA94" s="47"/>
      <c r="AB94" s="48"/>
    </row>
    <row r="95" spans="1:28" ht="7.5" customHeight="1" x14ac:dyDescent="0.25">
      <c r="A95" s="49"/>
      <c r="C95" s="46"/>
      <c r="E95" s="46"/>
      <c r="F95" s="46"/>
      <c r="G95" s="46"/>
      <c r="H95" s="46"/>
      <c r="I95" s="46"/>
      <c r="J95" s="46"/>
      <c r="K95" s="46"/>
      <c r="L95" s="46"/>
      <c r="M95" s="46"/>
      <c r="N95" s="46"/>
      <c r="O95" s="46"/>
      <c r="P95" s="46"/>
      <c r="Q95" s="46"/>
      <c r="R95" s="46"/>
      <c r="S95" s="46"/>
      <c r="T95" s="47"/>
      <c r="U95" s="47"/>
      <c r="V95" s="47"/>
      <c r="W95" s="47"/>
      <c r="X95" s="47"/>
      <c r="Y95" s="47"/>
      <c r="Z95" s="47"/>
      <c r="AA95" s="47"/>
      <c r="AB95" s="48"/>
    </row>
    <row r="96" spans="1:28" x14ac:dyDescent="0.25">
      <c r="A96" s="49"/>
      <c r="C96" s="46"/>
      <c r="E96" s="50" t="s">
        <v>147</v>
      </c>
      <c r="F96" s="67"/>
      <c r="G96" s="68"/>
      <c r="H96" s="68"/>
      <c r="I96" s="69"/>
      <c r="J96" s="46"/>
      <c r="K96" s="46" t="s">
        <v>150</v>
      </c>
      <c r="L96" s="46"/>
      <c r="M96" s="46"/>
      <c r="N96" s="46"/>
      <c r="O96" s="46"/>
      <c r="P96" s="46"/>
      <c r="Q96" s="46"/>
      <c r="R96" s="46"/>
      <c r="S96" s="46"/>
      <c r="T96" s="47"/>
      <c r="U96" s="47"/>
      <c r="V96" s="47"/>
      <c r="W96" s="47"/>
      <c r="X96" s="47"/>
      <c r="Y96" s="47"/>
      <c r="Z96" s="47"/>
      <c r="AA96" s="47"/>
      <c r="AB96" s="48"/>
    </row>
    <row r="97" spans="1:28" x14ac:dyDescent="0.25">
      <c r="A97" s="49"/>
      <c r="C97" s="46"/>
      <c r="E97" s="50" t="s">
        <v>148</v>
      </c>
      <c r="F97" s="67"/>
      <c r="G97" s="68"/>
      <c r="H97" s="68"/>
      <c r="I97" s="69"/>
      <c r="J97" s="46"/>
      <c r="K97" s="46"/>
      <c r="L97" s="66"/>
      <c r="M97" s="66"/>
      <c r="N97" s="66"/>
      <c r="O97" s="66"/>
      <c r="P97" s="66"/>
      <c r="Q97" s="66"/>
      <c r="R97" s="66"/>
      <c r="S97" s="46"/>
      <c r="T97" s="47"/>
      <c r="U97" s="47"/>
      <c r="V97" s="47"/>
      <c r="W97" s="47"/>
      <c r="X97" s="47"/>
      <c r="Y97" s="47"/>
      <c r="Z97" s="47"/>
      <c r="AA97" s="47"/>
      <c r="AB97" s="48"/>
    </row>
    <row r="98" spans="1:28" ht="7.5" customHeight="1" x14ac:dyDescent="0.25">
      <c r="A98" s="49"/>
      <c r="C98" s="46"/>
      <c r="E98" s="46"/>
      <c r="F98" s="46"/>
      <c r="G98" s="46"/>
      <c r="H98" s="46"/>
      <c r="I98" s="46"/>
      <c r="J98" s="46"/>
      <c r="K98" s="46"/>
      <c r="L98" s="46"/>
      <c r="M98" s="46"/>
      <c r="N98" s="46"/>
      <c r="O98" s="46"/>
      <c r="P98" s="46"/>
      <c r="Q98" s="46"/>
      <c r="R98" s="46"/>
      <c r="S98" s="46"/>
      <c r="T98" s="47"/>
      <c r="U98" s="47"/>
      <c r="V98" s="47"/>
      <c r="W98" s="47"/>
      <c r="X98" s="47"/>
      <c r="Y98" s="47"/>
      <c r="Z98" s="47"/>
      <c r="AA98" s="47"/>
      <c r="AB98" s="48"/>
    </row>
    <row r="99" spans="1:28" x14ac:dyDescent="0.25">
      <c r="A99" s="49"/>
      <c r="C99" s="46"/>
      <c r="D99" s="46" t="s">
        <v>91</v>
      </c>
      <c r="E99" s="46"/>
      <c r="F99" s="67"/>
      <c r="G99" s="68"/>
      <c r="H99" s="68"/>
      <c r="I99" s="69"/>
      <c r="J99" s="51"/>
      <c r="K99" s="46" t="s">
        <v>149</v>
      </c>
      <c r="L99" s="46"/>
      <c r="M99" s="46"/>
      <c r="N99" s="46"/>
      <c r="O99" s="46"/>
      <c r="P99" s="46"/>
      <c r="Q99" s="46"/>
      <c r="R99" s="46"/>
      <c r="S99" s="46"/>
      <c r="T99" s="47"/>
      <c r="U99" s="47"/>
      <c r="V99" s="47"/>
      <c r="W99" s="47"/>
      <c r="X99" s="47"/>
      <c r="Y99" s="47"/>
      <c r="Z99" s="47"/>
      <c r="AA99" s="47"/>
      <c r="AB99" s="48"/>
    </row>
    <row r="100" spans="1:28" x14ac:dyDescent="0.25">
      <c r="A100" s="49"/>
      <c r="C100" s="46"/>
      <c r="D100" s="46" t="s">
        <v>9</v>
      </c>
      <c r="E100" s="46"/>
      <c r="F100" s="67"/>
      <c r="G100" s="68"/>
      <c r="H100" s="68"/>
      <c r="I100" s="69"/>
      <c r="J100" s="51"/>
      <c r="K100" s="46"/>
      <c r="L100" s="66"/>
      <c r="M100" s="66"/>
      <c r="N100" s="66"/>
      <c r="O100" s="66"/>
      <c r="P100" s="66"/>
      <c r="Q100" s="66"/>
      <c r="R100" s="66"/>
      <c r="S100" s="46"/>
      <c r="T100" s="47"/>
      <c r="U100" s="47"/>
      <c r="V100" s="47"/>
      <c r="W100" s="47"/>
      <c r="X100" s="47"/>
      <c r="Y100" s="47"/>
      <c r="Z100" s="47"/>
      <c r="AA100" s="47"/>
      <c r="AB100" s="48"/>
    </row>
    <row r="101" spans="1:28" x14ac:dyDescent="0.25">
      <c r="A101" s="49"/>
      <c r="C101" s="46"/>
      <c r="D101" s="52" t="s">
        <v>146</v>
      </c>
      <c r="E101" s="46"/>
      <c r="F101" s="67"/>
      <c r="G101" s="68"/>
      <c r="H101" s="68"/>
      <c r="I101" s="68"/>
      <c r="J101" s="69"/>
      <c r="K101" s="46"/>
      <c r="L101" s="66"/>
      <c r="M101" s="66"/>
      <c r="N101" s="66"/>
      <c r="O101" s="66"/>
      <c r="P101" s="66"/>
      <c r="Q101" s="66"/>
      <c r="R101" s="66"/>
      <c r="S101" s="46"/>
      <c r="T101" s="47"/>
      <c r="U101" s="47"/>
      <c r="V101" s="47"/>
      <c r="W101" s="47"/>
      <c r="X101" s="47"/>
      <c r="Y101" s="47"/>
      <c r="Z101" s="47"/>
      <c r="AA101" s="47"/>
      <c r="AB101" s="48"/>
    </row>
    <row r="102" spans="1:28" ht="7.5" customHeight="1" x14ac:dyDescent="0.25">
      <c r="A102" s="49"/>
      <c r="C102" s="46"/>
      <c r="E102" s="46"/>
      <c r="F102" s="46"/>
      <c r="G102" s="46"/>
      <c r="H102" s="46"/>
      <c r="I102" s="46"/>
      <c r="J102" s="46"/>
      <c r="K102" s="46"/>
      <c r="L102" s="46"/>
      <c r="M102" s="46"/>
      <c r="N102" s="46"/>
      <c r="O102" s="46"/>
      <c r="P102" s="46"/>
      <c r="Q102" s="46"/>
      <c r="R102" s="46"/>
      <c r="S102" s="46"/>
      <c r="T102" s="47"/>
      <c r="U102" s="47"/>
      <c r="V102" s="47"/>
      <c r="W102" s="47"/>
      <c r="X102" s="47"/>
      <c r="Y102" s="47"/>
      <c r="Z102" s="47"/>
      <c r="AA102" s="47"/>
      <c r="AB102" s="48"/>
    </row>
    <row r="103" spans="1:28" x14ac:dyDescent="0.25">
      <c r="A103" s="49"/>
      <c r="C103" s="46"/>
      <c r="E103" s="53" t="s">
        <v>144</v>
      </c>
      <c r="F103" s="67"/>
      <c r="G103" s="68"/>
      <c r="H103" s="68"/>
      <c r="I103" s="69"/>
      <c r="J103" s="46"/>
      <c r="K103" s="46" t="s">
        <v>153</v>
      </c>
      <c r="L103" s="46"/>
      <c r="M103" s="46"/>
      <c r="N103" s="46"/>
      <c r="O103" s="46"/>
      <c r="P103" s="46"/>
      <c r="Q103" s="46"/>
      <c r="R103" s="46"/>
      <c r="S103" s="46"/>
      <c r="T103" s="47"/>
      <c r="U103" s="47"/>
      <c r="V103" s="47"/>
      <c r="W103" s="47"/>
      <c r="X103" s="47"/>
      <c r="Y103" s="47"/>
      <c r="Z103" s="47"/>
      <c r="AA103" s="47"/>
      <c r="AB103" s="48"/>
    </row>
    <row r="104" spans="1:28" x14ac:dyDescent="0.25">
      <c r="A104" s="49"/>
      <c r="C104" s="46"/>
      <c r="E104" s="54" t="s">
        <v>145</v>
      </c>
      <c r="F104" s="67"/>
      <c r="G104" s="68"/>
      <c r="H104" s="68"/>
      <c r="I104" s="69"/>
      <c r="J104" s="46"/>
      <c r="K104" s="46"/>
      <c r="L104" s="66"/>
      <c r="M104" s="66"/>
      <c r="N104" s="66"/>
      <c r="O104" s="66"/>
      <c r="P104" s="66"/>
      <c r="Q104" s="66"/>
      <c r="R104" s="66"/>
      <c r="S104" s="46"/>
      <c r="T104" s="47"/>
      <c r="U104" s="47"/>
      <c r="V104" s="47"/>
      <c r="W104" s="47"/>
      <c r="X104" s="47"/>
      <c r="Y104" s="47"/>
      <c r="Z104" s="47"/>
      <c r="AA104" s="47"/>
      <c r="AB104" s="48"/>
    </row>
    <row r="105" spans="1:28" ht="7.5" customHeight="1" x14ac:dyDescent="0.25">
      <c r="A105" s="49"/>
      <c r="C105" s="46"/>
      <c r="D105" s="46"/>
      <c r="E105" s="46"/>
      <c r="F105" s="46"/>
      <c r="G105" s="46"/>
      <c r="H105" s="46"/>
      <c r="I105" s="46"/>
      <c r="J105" s="46"/>
      <c r="K105" s="46"/>
      <c r="L105" s="46"/>
      <c r="M105" s="46"/>
      <c r="N105" s="46"/>
      <c r="O105" s="46"/>
      <c r="P105" s="46"/>
      <c r="Q105" s="46"/>
      <c r="R105" s="46"/>
      <c r="S105" s="46"/>
      <c r="T105" s="47"/>
      <c r="U105" s="47"/>
      <c r="V105" s="47"/>
      <c r="W105" s="47"/>
      <c r="X105" s="47"/>
      <c r="Y105" s="47"/>
      <c r="Z105" s="47"/>
      <c r="AA105" s="47"/>
      <c r="AB105" s="48"/>
    </row>
    <row r="106" spans="1:28" x14ac:dyDescent="0.25">
      <c r="A106" s="49"/>
      <c r="B106" s="46" t="s">
        <v>152</v>
      </c>
      <c r="C106" s="46"/>
      <c r="D106" s="46"/>
      <c r="E106" s="46"/>
      <c r="F106" s="67"/>
      <c r="G106" s="69"/>
      <c r="H106" s="46"/>
      <c r="I106" s="46"/>
      <c r="J106" s="46"/>
      <c r="K106" s="46"/>
      <c r="L106" s="46"/>
      <c r="M106" s="46"/>
      <c r="N106" s="46"/>
      <c r="O106" s="46"/>
      <c r="P106" s="46"/>
      <c r="Q106" s="46"/>
      <c r="R106" s="46"/>
      <c r="S106" s="46"/>
      <c r="T106" s="47"/>
      <c r="U106" s="47"/>
      <c r="V106" s="47"/>
      <c r="W106" s="47"/>
      <c r="X106" s="47"/>
      <c r="Y106" s="47"/>
      <c r="Z106" s="47"/>
      <c r="AA106" s="47"/>
      <c r="AB106" s="48"/>
    </row>
    <row r="107" spans="1:28" x14ac:dyDescent="0.25">
      <c r="A107" s="49"/>
      <c r="B107" s="46"/>
      <c r="C107" s="46"/>
      <c r="D107" s="46"/>
      <c r="E107" s="46"/>
      <c r="F107" s="46"/>
      <c r="G107" s="46"/>
      <c r="H107" s="46"/>
      <c r="I107" s="46"/>
      <c r="J107" s="46"/>
      <c r="K107" s="46"/>
      <c r="L107" s="46"/>
      <c r="M107" s="46"/>
      <c r="N107" s="46"/>
      <c r="O107" s="46"/>
      <c r="P107" s="46"/>
      <c r="Q107" s="46"/>
      <c r="R107" s="46"/>
      <c r="S107" s="46"/>
      <c r="T107" s="47"/>
      <c r="U107" s="47"/>
      <c r="V107" s="47"/>
      <c r="W107" s="47"/>
      <c r="X107" s="47"/>
      <c r="Y107" s="47"/>
      <c r="Z107" s="47"/>
      <c r="AA107" s="47"/>
      <c r="AB107" s="48"/>
    </row>
    <row r="108" spans="1:28" ht="15.75" thickBot="1" x14ac:dyDescent="0.3">
      <c r="A108" s="55"/>
      <c r="B108" s="56"/>
      <c r="C108" s="56"/>
      <c r="D108" s="56"/>
      <c r="E108" s="56"/>
      <c r="F108" s="56"/>
      <c r="G108" s="56"/>
      <c r="H108" s="56"/>
      <c r="I108" s="56"/>
      <c r="J108" s="56"/>
      <c r="K108" s="56"/>
      <c r="L108" s="56"/>
      <c r="M108" s="56"/>
      <c r="N108" s="56"/>
      <c r="O108" s="56"/>
      <c r="P108" s="56"/>
      <c r="Q108" s="56"/>
      <c r="R108" s="56"/>
      <c r="S108" s="56"/>
      <c r="T108" s="57"/>
      <c r="U108" s="57"/>
      <c r="V108" s="57"/>
      <c r="W108" s="57"/>
      <c r="X108" s="57"/>
      <c r="Y108" s="57"/>
      <c r="Z108" s="57"/>
      <c r="AA108" s="57"/>
      <c r="AB108" s="58"/>
    </row>
    <row r="109" spans="1:28" ht="6" customHeight="1" thickBot="1" x14ac:dyDescent="0.3"/>
    <row r="110" spans="1:28" ht="6" customHeight="1" x14ac:dyDescent="0.25">
      <c r="A110" s="40"/>
      <c r="B110" s="41"/>
      <c r="C110" s="41"/>
      <c r="D110" s="41"/>
      <c r="E110" s="41"/>
      <c r="F110" s="41"/>
      <c r="G110" s="41"/>
      <c r="H110" s="41"/>
      <c r="I110" s="41"/>
      <c r="J110" s="41"/>
      <c r="K110" s="41"/>
      <c r="L110" s="41"/>
      <c r="M110" s="41"/>
      <c r="N110" s="41"/>
      <c r="O110" s="41"/>
      <c r="P110" s="41"/>
      <c r="Q110" s="41"/>
      <c r="R110" s="41"/>
      <c r="S110" s="41"/>
      <c r="T110" s="42"/>
      <c r="U110" s="42"/>
      <c r="V110" s="42"/>
      <c r="W110" s="42"/>
      <c r="X110" s="42"/>
      <c r="Y110" s="42"/>
      <c r="Z110" s="42"/>
      <c r="AA110" s="42"/>
      <c r="AB110" s="43"/>
    </row>
    <row r="111" spans="1:28" x14ac:dyDescent="0.25">
      <c r="A111" s="44" t="s">
        <v>161</v>
      </c>
      <c r="B111" s="45"/>
      <c r="C111" s="45"/>
      <c r="D111" s="45"/>
      <c r="E111" s="45"/>
      <c r="F111" s="45"/>
      <c r="G111" s="45"/>
      <c r="H111" s="46"/>
      <c r="I111" s="46"/>
      <c r="J111" s="46"/>
      <c r="K111" s="46"/>
      <c r="L111" s="46"/>
      <c r="M111" s="46"/>
      <c r="N111" s="46"/>
      <c r="O111" s="46"/>
      <c r="P111" s="46"/>
      <c r="Q111" s="46"/>
      <c r="R111" s="46"/>
      <c r="S111" s="46"/>
      <c r="T111" s="47"/>
      <c r="U111" s="47"/>
      <c r="V111" s="47"/>
      <c r="W111" s="47"/>
      <c r="X111" s="47"/>
      <c r="Y111" s="47"/>
      <c r="Z111" s="47"/>
      <c r="AA111" s="47"/>
      <c r="AB111" s="48"/>
    </row>
    <row r="112" spans="1:28" ht="7.5" customHeight="1" x14ac:dyDescent="0.25">
      <c r="A112" s="49"/>
      <c r="C112" s="46"/>
      <c r="E112" s="46"/>
      <c r="F112" s="46"/>
      <c r="G112" s="46"/>
      <c r="H112" s="46"/>
      <c r="I112" s="46"/>
      <c r="J112" s="46"/>
      <c r="K112" s="46"/>
      <c r="L112" s="46"/>
      <c r="M112" s="46"/>
      <c r="N112" s="46"/>
      <c r="O112" s="46"/>
      <c r="P112" s="46"/>
      <c r="Q112" s="46"/>
      <c r="R112" s="46"/>
      <c r="S112" s="46"/>
      <c r="T112" s="47"/>
      <c r="U112" s="47"/>
      <c r="V112" s="47"/>
      <c r="W112" s="47"/>
      <c r="X112" s="47"/>
      <c r="Y112" s="47"/>
      <c r="Z112" s="47"/>
      <c r="AA112" s="47"/>
      <c r="AB112" s="48"/>
    </row>
    <row r="113" spans="1:28" x14ac:dyDescent="0.25">
      <c r="A113" s="49"/>
      <c r="C113" s="46"/>
      <c r="E113" s="50" t="s">
        <v>147</v>
      </c>
      <c r="F113" s="67"/>
      <c r="G113" s="68"/>
      <c r="H113" s="68"/>
      <c r="I113" s="69"/>
      <c r="J113" s="46"/>
      <c r="K113" s="46" t="s">
        <v>150</v>
      </c>
      <c r="L113" s="46"/>
      <c r="M113" s="46"/>
      <c r="N113" s="46"/>
      <c r="O113" s="46"/>
      <c r="P113" s="46"/>
      <c r="Q113" s="46"/>
      <c r="R113" s="46"/>
      <c r="S113" s="46"/>
      <c r="T113" s="47"/>
      <c r="U113" s="47"/>
      <c r="V113" s="47"/>
      <c r="W113" s="47"/>
      <c r="X113" s="47"/>
      <c r="Y113" s="47"/>
      <c r="Z113" s="47"/>
      <c r="AA113" s="47"/>
      <c r="AB113" s="48"/>
    </row>
    <row r="114" spans="1:28" x14ac:dyDescent="0.25">
      <c r="A114" s="49"/>
      <c r="C114" s="46"/>
      <c r="E114" s="50" t="s">
        <v>148</v>
      </c>
      <c r="F114" s="67"/>
      <c r="G114" s="68"/>
      <c r="H114" s="68"/>
      <c r="I114" s="69"/>
      <c r="J114" s="46"/>
      <c r="K114" s="46"/>
      <c r="L114" s="66"/>
      <c r="M114" s="66"/>
      <c r="N114" s="66"/>
      <c r="O114" s="66"/>
      <c r="P114" s="66"/>
      <c r="Q114" s="66"/>
      <c r="R114" s="66"/>
      <c r="S114" s="46"/>
      <c r="T114" s="47"/>
      <c r="U114" s="47"/>
      <c r="V114" s="47"/>
      <c r="W114" s="47"/>
      <c r="X114" s="47"/>
      <c r="Y114" s="47"/>
      <c r="Z114" s="47"/>
      <c r="AA114" s="47"/>
      <c r="AB114" s="48"/>
    </row>
    <row r="115" spans="1:28" ht="7.5" customHeight="1" x14ac:dyDescent="0.25">
      <c r="A115" s="49"/>
      <c r="C115" s="46"/>
      <c r="E115" s="46"/>
      <c r="F115" s="46"/>
      <c r="G115" s="46"/>
      <c r="H115" s="46"/>
      <c r="I115" s="46"/>
      <c r="J115" s="46"/>
      <c r="K115" s="46"/>
      <c r="L115" s="46"/>
      <c r="M115" s="46"/>
      <c r="N115" s="46"/>
      <c r="O115" s="46"/>
      <c r="P115" s="46"/>
      <c r="Q115" s="46"/>
      <c r="R115" s="46"/>
      <c r="S115" s="46"/>
      <c r="T115" s="47"/>
      <c r="U115" s="47"/>
      <c r="V115" s="47"/>
      <c r="W115" s="47"/>
      <c r="X115" s="47"/>
      <c r="Y115" s="47"/>
      <c r="Z115" s="47"/>
      <c r="AA115" s="47"/>
      <c r="AB115" s="48"/>
    </row>
    <row r="116" spans="1:28" x14ac:dyDescent="0.25">
      <c r="A116" s="49"/>
      <c r="C116" s="46"/>
      <c r="D116" s="46" t="s">
        <v>91</v>
      </c>
      <c r="E116" s="46"/>
      <c r="F116" s="67"/>
      <c r="G116" s="68"/>
      <c r="H116" s="68"/>
      <c r="I116" s="69"/>
      <c r="J116" s="51"/>
      <c r="K116" s="46" t="s">
        <v>149</v>
      </c>
      <c r="L116" s="46"/>
      <c r="M116" s="46"/>
      <c r="N116" s="46"/>
      <c r="O116" s="46"/>
      <c r="P116" s="46"/>
      <c r="Q116" s="46"/>
      <c r="R116" s="46"/>
      <c r="S116" s="46"/>
      <c r="T116" s="47"/>
      <c r="U116" s="47"/>
      <c r="V116" s="47"/>
      <c r="W116" s="47"/>
      <c r="X116" s="47"/>
      <c r="Y116" s="47"/>
      <c r="Z116" s="47"/>
      <c r="AA116" s="47"/>
      <c r="AB116" s="48"/>
    </row>
    <row r="117" spans="1:28" x14ac:dyDescent="0.25">
      <c r="A117" s="49"/>
      <c r="C117" s="46"/>
      <c r="D117" s="46" t="s">
        <v>9</v>
      </c>
      <c r="E117" s="46"/>
      <c r="F117" s="67"/>
      <c r="G117" s="68"/>
      <c r="H117" s="68"/>
      <c r="I117" s="69"/>
      <c r="J117" s="51"/>
      <c r="K117" s="46"/>
      <c r="L117" s="66"/>
      <c r="M117" s="66"/>
      <c r="N117" s="66"/>
      <c r="O117" s="66"/>
      <c r="P117" s="66"/>
      <c r="Q117" s="66"/>
      <c r="R117" s="66"/>
      <c r="S117" s="46"/>
      <c r="T117" s="47"/>
      <c r="U117" s="47"/>
      <c r="V117" s="47"/>
      <c r="W117" s="47"/>
      <c r="X117" s="47"/>
      <c r="Y117" s="47"/>
      <c r="Z117" s="47"/>
      <c r="AA117" s="47"/>
      <c r="AB117" s="48"/>
    </row>
    <row r="118" spans="1:28" x14ac:dyDescent="0.25">
      <c r="A118" s="49"/>
      <c r="C118" s="46"/>
      <c r="D118" s="52" t="s">
        <v>146</v>
      </c>
      <c r="E118" s="46"/>
      <c r="F118" s="67"/>
      <c r="G118" s="68"/>
      <c r="H118" s="68"/>
      <c r="I118" s="68"/>
      <c r="J118" s="69"/>
      <c r="K118" s="46"/>
      <c r="L118" s="66"/>
      <c r="M118" s="66"/>
      <c r="N118" s="66"/>
      <c r="O118" s="66"/>
      <c r="P118" s="66"/>
      <c r="Q118" s="66"/>
      <c r="R118" s="66"/>
      <c r="S118" s="46"/>
      <c r="T118" s="47"/>
      <c r="U118" s="47"/>
      <c r="V118" s="47"/>
      <c r="W118" s="47"/>
      <c r="X118" s="47"/>
      <c r="Y118" s="47"/>
      <c r="Z118" s="47"/>
      <c r="AA118" s="47"/>
      <c r="AB118" s="48"/>
    </row>
    <row r="119" spans="1:28" ht="7.5" customHeight="1" x14ac:dyDescent="0.25">
      <c r="A119" s="49"/>
      <c r="C119" s="46"/>
      <c r="E119" s="46"/>
      <c r="F119" s="46"/>
      <c r="G119" s="46"/>
      <c r="H119" s="46"/>
      <c r="I119" s="46"/>
      <c r="J119" s="46"/>
      <c r="K119" s="46"/>
      <c r="L119" s="46"/>
      <c r="M119" s="46"/>
      <c r="N119" s="46"/>
      <c r="O119" s="46"/>
      <c r="P119" s="46"/>
      <c r="Q119" s="46"/>
      <c r="R119" s="46"/>
      <c r="S119" s="46"/>
      <c r="T119" s="47"/>
      <c r="U119" s="47"/>
      <c r="V119" s="47"/>
      <c r="W119" s="47"/>
      <c r="X119" s="47"/>
      <c r="Y119" s="47"/>
      <c r="Z119" s="47"/>
      <c r="AA119" s="47"/>
      <c r="AB119" s="48"/>
    </row>
    <row r="120" spans="1:28" x14ac:dyDescent="0.25">
      <c r="A120" s="49"/>
      <c r="C120" s="46"/>
      <c r="E120" s="53" t="s">
        <v>144</v>
      </c>
      <c r="F120" s="67"/>
      <c r="G120" s="68"/>
      <c r="H120" s="68"/>
      <c r="I120" s="69"/>
      <c r="J120" s="46"/>
      <c r="K120" s="46" t="s">
        <v>153</v>
      </c>
      <c r="L120" s="46"/>
      <c r="M120" s="46"/>
      <c r="N120" s="46"/>
      <c r="O120" s="46"/>
      <c r="P120" s="46"/>
      <c r="Q120" s="46"/>
      <c r="R120" s="46"/>
      <c r="S120" s="46"/>
      <c r="T120" s="47"/>
      <c r="U120" s="47"/>
      <c r="V120" s="47"/>
      <c r="W120" s="47"/>
      <c r="X120" s="47"/>
      <c r="Y120" s="47"/>
      <c r="Z120" s="47"/>
      <c r="AA120" s="47"/>
      <c r="AB120" s="48"/>
    </row>
    <row r="121" spans="1:28" x14ac:dyDescent="0.25">
      <c r="A121" s="49"/>
      <c r="C121" s="46"/>
      <c r="E121" s="54" t="s">
        <v>145</v>
      </c>
      <c r="F121" s="67"/>
      <c r="G121" s="68"/>
      <c r="H121" s="68"/>
      <c r="I121" s="69"/>
      <c r="J121" s="46"/>
      <c r="K121" s="46"/>
      <c r="L121" s="66"/>
      <c r="M121" s="66"/>
      <c r="N121" s="66"/>
      <c r="O121" s="66"/>
      <c r="P121" s="66"/>
      <c r="Q121" s="66"/>
      <c r="R121" s="66"/>
      <c r="S121" s="46"/>
      <c r="T121" s="47"/>
      <c r="U121" s="47"/>
      <c r="V121" s="47"/>
      <c r="W121" s="47"/>
      <c r="X121" s="47"/>
      <c r="Y121" s="47"/>
      <c r="Z121" s="47"/>
      <c r="AA121" s="47"/>
      <c r="AB121" s="48"/>
    </row>
    <row r="122" spans="1:28" ht="7.5" customHeight="1" x14ac:dyDescent="0.25">
      <c r="A122" s="49"/>
      <c r="C122" s="46"/>
      <c r="D122" s="46"/>
      <c r="E122" s="46"/>
      <c r="F122" s="46"/>
      <c r="G122" s="46"/>
      <c r="H122" s="46"/>
      <c r="I122" s="46"/>
      <c r="J122" s="46"/>
      <c r="K122" s="46"/>
      <c r="L122" s="46"/>
      <c r="M122" s="46"/>
      <c r="N122" s="46"/>
      <c r="O122" s="46"/>
      <c r="P122" s="46"/>
      <c r="Q122" s="46"/>
      <c r="R122" s="46"/>
      <c r="S122" s="46"/>
      <c r="T122" s="47"/>
      <c r="U122" s="47"/>
      <c r="V122" s="47"/>
      <c r="W122" s="47"/>
      <c r="X122" s="47"/>
      <c r="Y122" s="47"/>
      <c r="Z122" s="47"/>
      <c r="AA122" s="47"/>
      <c r="AB122" s="48"/>
    </row>
    <row r="123" spans="1:28" x14ac:dyDescent="0.25">
      <c r="A123" s="49"/>
      <c r="B123" s="46" t="s">
        <v>152</v>
      </c>
      <c r="C123" s="46"/>
      <c r="D123" s="46"/>
      <c r="E123" s="46"/>
      <c r="F123" s="67"/>
      <c r="G123" s="69"/>
      <c r="H123" s="46"/>
      <c r="I123" s="46"/>
      <c r="J123" s="46"/>
      <c r="K123" s="46"/>
      <c r="L123" s="46"/>
      <c r="M123" s="46"/>
      <c r="N123" s="46"/>
      <c r="O123" s="46"/>
      <c r="P123" s="46"/>
      <c r="Q123" s="46"/>
      <c r="R123" s="46"/>
      <c r="S123" s="46"/>
      <c r="T123" s="47"/>
      <c r="U123" s="47"/>
      <c r="V123" s="47"/>
      <c r="W123" s="47"/>
      <c r="X123" s="47"/>
      <c r="Y123" s="47"/>
      <c r="Z123" s="47"/>
      <c r="AA123" s="47"/>
      <c r="AB123" s="48"/>
    </row>
    <row r="124" spans="1:28" x14ac:dyDescent="0.25">
      <c r="A124" s="49"/>
      <c r="B124" s="46"/>
      <c r="C124" s="46"/>
      <c r="D124" s="46"/>
      <c r="E124" s="46"/>
      <c r="F124" s="46"/>
      <c r="G124" s="46"/>
      <c r="H124" s="46"/>
      <c r="I124" s="46"/>
      <c r="J124" s="46"/>
      <c r="K124" s="46"/>
      <c r="L124" s="46"/>
      <c r="M124" s="46"/>
      <c r="N124" s="46"/>
      <c r="O124" s="46"/>
      <c r="P124" s="46"/>
      <c r="Q124" s="46"/>
      <c r="R124" s="46"/>
      <c r="S124" s="46"/>
      <c r="T124" s="47"/>
      <c r="U124" s="47"/>
      <c r="V124" s="47"/>
      <c r="W124" s="47"/>
      <c r="X124" s="47"/>
      <c r="Y124" s="47"/>
      <c r="Z124" s="47"/>
      <c r="AA124" s="47"/>
      <c r="AB124" s="48"/>
    </row>
    <row r="125" spans="1:28" ht="15.75" thickBot="1" x14ac:dyDescent="0.3">
      <c r="A125" s="55"/>
      <c r="B125" s="56"/>
      <c r="C125" s="56"/>
      <c r="D125" s="56"/>
      <c r="E125" s="56"/>
      <c r="F125" s="56"/>
      <c r="G125" s="56"/>
      <c r="H125" s="56"/>
      <c r="I125" s="56"/>
      <c r="J125" s="56"/>
      <c r="K125" s="56"/>
      <c r="L125" s="56"/>
      <c r="M125" s="56"/>
      <c r="N125" s="56"/>
      <c r="O125" s="56"/>
      <c r="P125" s="56"/>
      <c r="Q125" s="56"/>
      <c r="R125" s="56"/>
      <c r="S125" s="56"/>
      <c r="T125" s="57"/>
      <c r="U125" s="57"/>
      <c r="V125" s="57"/>
      <c r="W125" s="57"/>
      <c r="X125" s="57"/>
      <c r="Y125" s="57"/>
      <c r="Z125" s="57"/>
      <c r="AA125" s="57"/>
      <c r="AB125" s="58"/>
    </row>
    <row r="126" spans="1:28" ht="6" customHeight="1" thickBot="1" x14ac:dyDescent="0.3"/>
    <row r="127" spans="1:28" ht="6" customHeight="1" x14ac:dyDescent="0.25">
      <c r="A127" s="40"/>
      <c r="B127" s="41"/>
      <c r="C127" s="41"/>
      <c r="D127" s="41"/>
      <c r="E127" s="41"/>
      <c r="F127" s="41"/>
      <c r="G127" s="41"/>
      <c r="H127" s="41"/>
      <c r="I127" s="41"/>
      <c r="J127" s="41"/>
      <c r="K127" s="41"/>
      <c r="L127" s="41"/>
      <c r="M127" s="41"/>
      <c r="N127" s="41"/>
      <c r="O127" s="41"/>
      <c r="P127" s="41"/>
      <c r="Q127" s="41"/>
      <c r="R127" s="41"/>
      <c r="S127" s="41"/>
      <c r="T127" s="42"/>
      <c r="U127" s="42"/>
      <c r="V127" s="42"/>
      <c r="W127" s="42"/>
      <c r="X127" s="42"/>
      <c r="Y127" s="42"/>
      <c r="Z127" s="42"/>
      <c r="AA127" s="42"/>
      <c r="AB127" s="43"/>
    </row>
    <row r="128" spans="1:28" x14ac:dyDescent="0.25">
      <c r="A128" s="44" t="s">
        <v>166</v>
      </c>
      <c r="B128" s="45"/>
      <c r="C128" s="45"/>
      <c r="D128" s="45"/>
      <c r="E128" s="45"/>
      <c r="F128" s="45"/>
      <c r="G128" s="45"/>
      <c r="H128" s="46"/>
      <c r="I128" s="46"/>
      <c r="J128" s="46"/>
      <c r="K128" s="46"/>
      <c r="L128" s="46"/>
      <c r="M128" s="46"/>
      <c r="N128" s="46"/>
      <c r="O128" s="46"/>
      <c r="P128" s="46"/>
      <c r="Q128" s="46"/>
      <c r="R128" s="46"/>
      <c r="S128" s="46"/>
      <c r="T128" s="47"/>
      <c r="U128" s="47"/>
      <c r="V128" s="47"/>
      <c r="W128" s="47"/>
      <c r="X128" s="47"/>
      <c r="Y128" s="47"/>
      <c r="Z128" s="47"/>
      <c r="AA128" s="47"/>
      <c r="AB128" s="48"/>
    </row>
    <row r="129" spans="1:28" ht="7.5" customHeight="1" x14ac:dyDescent="0.25">
      <c r="A129" s="49"/>
      <c r="C129" s="46"/>
      <c r="E129" s="46"/>
      <c r="F129" s="46"/>
      <c r="G129" s="46"/>
      <c r="H129" s="46"/>
      <c r="I129" s="46"/>
      <c r="J129" s="46"/>
      <c r="K129" s="46"/>
      <c r="L129" s="46"/>
      <c r="M129" s="46"/>
      <c r="N129" s="46"/>
      <c r="O129" s="46"/>
      <c r="P129" s="46"/>
      <c r="Q129" s="46"/>
      <c r="R129" s="46"/>
      <c r="S129" s="46"/>
      <c r="T129" s="47"/>
      <c r="U129" s="47"/>
      <c r="V129" s="47"/>
      <c r="W129" s="47"/>
      <c r="X129" s="47"/>
      <c r="Y129" s="47"/>
      <c r="Z129" s="47"/>
      <c r="AA129" s="47"/>
      <c r="AB129" s="48"/>
    </row>
    <row r="130" spans="1:28" x14ac:dyDescent="0.25">
      <c r="A130" s="49"/>
      <c r="C130" s="46"/>
      <c r="E130" s="50" t="s">
        <v>147</v>
      </c>
      <c r="F130" s="67"/>
      <c r="G130" s="68"/>
      <c r="H130" s="68"/>
      <c r="I130" s="69"/>
      <c r="J130" s="46"/>
      <c r="K130" s="46" t="s">
        <v>150</v>
      </c>
      <c r="L130" s="46"/>
      <c r="M130" s="46"/>
      <c r="N130" s="46"/>
      <c r="O130" s="46"/>
      <c r="P130" s="46"/>
      <c r="Q130" s="46"/>
      <c r="R130" s="46"/>
      <c r="S130" s="46"/>
      <c r="T130" s="47"/>
      <c r="U130" s="47"/>
      <c r="V130" s="47"/>
      <c r="W130" s="47"/>
      <c r="X130" s="47"/>
      <c r="Y130" s="47"/>
      <c r="Z130" s="47"/>
      <c r="AA130" s="47"/>
      <c r="AB130" s="48"/>
    </row>
    <row r="131" spans="1:28" x14ac:dyDescent="0.25">
      <c r="A131" s="49"/>
      <c r="C131" s="46"/>
      <c r="E131" s="50" t="s">
        <v>148</v>
      </c>
      <c r="F131" s="67"/>
      <c r="G131" s="68"/>
      <c r="H131" s="68"/>
      <c r="I131" s="69"/>
      <c r="J131" s="46"/>
      <c r="K131" s="46"/>
      <c r="L131" s="66"/>
      <c r="M131" s="66"/>
      <c r="N131" s="66"/>
      <c r="O131" s="66"/>
      <c r="P131" s="66"/>
      <c r="Q131" s="66"/>
      <c r="R131" s="66"/>
      <c r="S131" s="46"/>
      <c r="T131" s="47"/>
      <c r="U131" s="47"/>
      <c r="V131" s="47"/>
      <c r="W131" s="47"/>
      <c r="X131" s="47"/>
      <c r="Y131" s="47"/>
      <c r="Z131" s="47"/>
      <c r="AA131" s="47"/>
      <c r="AB131" s="48"/>
    </row>
    <row r="132" spans="1:28" ht="7.5" customHeight="1" x14ac:dyDescent="0.25">
      <c r="A132" s="49"/>
      <c r="C132" s="46"/>
      <c r="E132" s="46"/>
      <c r="F132" s="46"/>
      <c r="G132" s="46"/>
      <c r="H132" s="46"/>
      <c r="I132" s="46"/>
      <c r="J132" s="46"/>
      <c r="K132" s="46"/>
      <c r="L132" s="46"/>
      <c r="M132" s="46"/>
      <c r="N132" s="46"/>
      <c r="O132" s="46"/>
      <c r="P132" s="46"/>
      <c r="Q132" s="46"/>
      <c r="R132" s="46"/>
      <c r="S132" s="46"/>
      <c r="T132" s="47"/>
      <c r="U132" s="47"/>
      <c r="V132" s="47"/>
      <c r="W132" s="47"/>
      <c r="X132" s="47"/>
      <c r="Y132" s="47"/>
      <c r="Z132" s="47"/>
      <c r="AA132" s="47"/>
      <c r="AB132" s="48"/>
    </row>
    <row r="133" spans="1:28" x14ac:dyDescent="0.25">
      <c r="A133" s="49"/>
      <c r="C133" s="46"/>
      <c r="D133" s="46" t="s">
        <v>91</v>
      </c>
      <c r="E133" s="46"/>
      <c r="F133" s="67"/>
      <c r="G133" s="68"/>
      <c r="H133" s="68"/>
      <c r="I133" s="69"/>
      <c r="J133" s="51"/>
      <c r="K133" s="46" t="s">
        <v>149</v>
      </c>
      <c r="L133" s="46"/>
      <c r="M133" s="46"/>
      <c r="N133" s="46"/>
      <c r="O133" s="46"/>
      <c r="P133" s="46"/>
      <c r="Q133" s="46"/>
      <c r="R133" s="46"/>
      <c r="S133" s="46"/>
      <c r="T133" s="47"/>
      <c r="U133" s="47"/>
      <c r="V133" s="47"/>
      <c r="W133" s="47"/>
      <c r="X133" s="47"/>
      <c r="Y133" s="47"/>
      <c r="Z133" s="47"/>
      <c r="AA133" s="47"/>
      <c r="AB133" s="48"/>
    </row>
    <row r="134" spans="1:28" x14ac:dyDescent="0.25">
      <c r="A134" s="49"/>
      <c r="C134" s="46"/>
      <c r="D134" s="46" t="s">
        <v>9</v>
      </c>
      <c r="E134" s="46"/>
      <c r="F134" s="67"/>
      <c r="G134" s="68"/>
      <c r="H134" s="68"/>
      <c r="I134" s="69"/>
      <c r="J134" s="51"/>
      <c r="K134" s="46"/>
      <c r="L134" s="66"/>
      <c r="M134" s="66"/>
      <c r="N134" s="66"/>
      <c r="O134" s="66"/>
      <c r="P134" s="66"/>
      <c r="Q134" s="66"/>
      <c r="R134" s="66"/>
      <c r="S134" s="46"/>
      <c r="T134" s="47"/>
      <c r="U134" s="47"/>
      <c r="V134" s="47"/>
      <c r="W134" s="47"/>
      <c r="X134" s="47"/>
      <c r="Y134" s="47"/>
      <c r="Z134" s="47"/>
      <c r="AA134" s="47"/>
      <c r="AB134" s="48"/>
    </row>
    <row r="135" spans="1:28" x14ac:dyDescent="0.25">
      <c r="A135" s="49"/>
      <c r="C135" s="46"/>
      <c r="D135" s="52" t="s">
        <v>146</v>
      </c>
      <c r="E135" s="46"/>
      <c r="F135" s="67"/>
      <c r="G135" s="68"/>
      <c r="H135" s="68"/>
      <c r="I135" s="68"/>
      <c r="J135" s="69"/>
      <c r="K135" s="46"/>
      <c r="L135" s="66"/>
      <c r="M135" s="66"/>
      <c r="N135" s="66"/>
      <c r="O135" s="66"/>
      <c r="P135" s="66"/>
      <c r="Q135" s="66"/>
      <c r="R135" s="66"/>
      <c r="S135" s="46"/>
      <c r="T135" s="47"/>
      <c r="U135" s="47"/>
      <c r="V135" s="47"/>
      <c r="W135" s="47"/>
      <c r="X135" s="47"/>
      <c r="Y135" s="47"/>
      <c r="Z135" s="47"/>
      <c r="AA135" s="47"/>
      <c r="AB135" s="48"/>
    </row>
    <row r="136" spans="1:28" ht="7.5" customHeight="1" x14ac:dyDescent="0.25">
      <c r="A136" s="49"/>
      <c r="C136" s="46"/>
      <c r="E136" s="46"/>
      <c r="F136" s="46"/>
      <c r="G136" s="46"/>
      <c r="H136" s="46"/>
      <c r="I136" s="46"/>
      <c r="J136" s="46"/>
      <c r="K136" s="46"/>
      <c r="L136" s="46"/>
      <c r="M136" s="46"/>
      <c r="N136" s="46"/>
      <c r="O136" s="46"/>
      <c r="P136" s="46"/>
      <c r="Q136" s="46"/>
      <c r="R136" s="46"/>
      <c r="S136" s="46"/>
      <c r="T136" s="47"/>
      <c r="U136" s="47"/>
      <c r="V136" s="47"/>
      <c r="W136" s="47"/>
      <c r="X136" s="47"/>
      <c r="Y136" s="47"/>
      <c r="Z136" s="47"/>
      <c r="AA136" s="47"/>
      <c r="AB136" s="48"/>
    </row>
    <row r="137" spans="1:28" x14ac:dyDescent="0.25">
      <c r="A137" s="49"/>
      <c r="C137" s="46"/>
      <c r="E137" s="53" t="s">
        <v>144</v>
      </c>
      <c r="F137" s="67"/>
      <c r="G137" s="68"/>
      <c r="H137" s="68"/>
      <c r="I137" s="69"/>
      <c r="J137" s="46"/>
      <c r="K137" s="46" t="s">
        <v>153</v>
      </c>
      <c r="L137" s="46"/>
      <c r="M137" s="46"/>
      <c r="N137" s="46"/>
      <c r="O137" s="46"/>
      <c r="P137" s="46"/>
      <c r="Q137" s="46"/>
      <c r="R137" s="46"/>
      <c r="S137" s="46"/>
      <c r="T137" s="47"/>
      <c r="U137" s="47"/>
      <c r="V137" s="47"/>
      <c r="W137" s="47"/>
      <c r="X137" s="47"/>
      <c r="Y137" s="47"/>
      <c r="Z137" s="47"/>
      <c r="AA137" s="47"/>
      <c r="AB137" s="48"/>
    </row>
    <row r="138" spans="1:28" x14ac:dyDescent="0.25">
      <c r="A138" s="49"/>
      <c r="C138" s="46"/>
      <c r="E138" s="54" t="s">
        <v>145</v>
      </c>
      <c r="F138" s="67"/>
      <c r="G138" s="68"/>
      <c r="H138" s="68"/>
      <c r="I138" s="69"/>
      <c r="J138" s="46"/>
      <c r="K138" s="46"/>
      <c r="L138" s="66"/>
      <c r="M138" s="66"/>
      <c r="N138" s="66"/>
      <c r="O138" s="66"/>
      <c r="P138" s="66"/>
      <c r="Q138" s="66"/>
      <c r="R138" s="66"/>
      <c r="S138" s="46"/>
      <c r="T138" s="47"/>
      <c r="U138" s="47"/>
      <c r="V138" s="47"/>
      <c r="W138" s="47"/>
      <c r="X138" s="47"/>
      <c r="Y138" s="47"/>
      <c r="Z138" s="47"/>
      <c r="AA138" s="47"/>
      <c r="AB138" s="48"/>
    </row>
    <row r="139" spans="1:28" ht="7.5" customHeight="1" x14ac:dyDescent="0.25">
      <c r="A139" s="49"/>
      <c r="C139" s="46"/>
      <c r="D139" s="46"/>
      <c r="E139" s="46"/>
      <c r="F139" s="46"/>
      <c r="G139" s="46"/>
      <c r="H139" s="46"/>
      <c r="I139" s="46"/>
      <c r="J139" s="46"/>
      <c r="K139" s="46"/>
      <c r="L139" s="46"/>
      <c r="M139" s="46"/>
      <c r="N139" s="46"/>
      <c r="O139" s="46"/>
      <c r="P139" s="46"/>
      <c r="Q139" s="46"/>
      <c r="R139" s="46"/>
      <c r="S139" s="46"/>
      <c r="T139" s="47"/>
      <c r="U139" s="47"/>
      <c r="V139" s="47"/>
      <c r="W139" s="47"/>
      <c r="X139" s="47"/>
      <c r="Y139" s="47"/>
      <c r="Z139" s="47"/>
      <c r="AA139" s="47"/>
      <c r="AB139" s="48"/>
    </row>
    <row r="140" spans="1:28" x14ac:dyDescent="0.25">
      <c r="A140" s="49"/>
      <c r="B140" s="46" t="s">
        <v>152</v>
      </c>
      <c r="C140" s="46"/>
      <c r="D140" s="46"/>
      <c r="E140" s="46"/>
      <c r="F140" s="67"/>
      <c r="G140" s="69"/>
      <c r="H140" s="46"/>
      <c r="I140" s="46"/>
      <c r="J140" s="46"/>
      <c r="K140" s="46"/>
      <c r="L140" s="46"/>
      <c r="M140" s="46"/>
      <c r="N140" s="46"/>
      <c r="O140" s="46"/>
      <c r="P140" s="46"/>
      <c r="Q140" s="46"/>
      <c r="R140" s="46"/>
      <c r="S140" s="46"/>
      <c r="T140" s="47"/>
      <c r="U140" s="47"/>
      <c r="V140" s="47"/>
      <c r="W140" s="47"/>
      <c r="X140" s="47"/>
      <c r="Y140" s="47"/>
      <c r="Z140" s="47"/>
      <c r="AA140" s="47"/>
      <c r="AB140" s="48"/>
    </row>
    <row r="141" spans="1:28" x14ac:dyDescent="0.25">
      <c r="A141" s="49"/>
      <c r="B141" s="46"/>
      <c r="C141" s="46"/>
      <c r="D141" s="46"/>
      <c r="E141" s="46"/>
      <c r="F141" s="46"/>
      <c r="G141" s="46"/>
      <c r="H141" s="46"/>
      <c r="I141" s="46"/>
      <c r="J141" s="46"/>
      <c r="K141" s="46"/>
      <c r="L141" s="46"/>
      <c r="M141" s="46"/>
      <c r="N141" s="46"/>
      <c r="O141" s="46"/>
      <c r="P141" s="46"/>
      <c r="Q141" s="46"/>
      <c r="R141" s="46"/>
      <c r="S141" s="46"/>
      <c r="T141" s="47"/>
      <c r="U141" s="47"/>
      <c r="V141" s="47"/>
      <c r="W141" s="47"/>
      <c r="X141" s="47"/>
      <c r="Y141" s="47"/>
      <c r="Z141" s="47"/>
      <c r="AA141" s="47"/>
      <c r="AB141" s="48"/>
    </row>
    <row r="142" spans="1:28" ht="15.75" thickBot="1" x14ac:dyDescent="0.3">
      <c r="A142" s="55"/>
      <c r="B142" s="56"/>
      <c r="C142" s="56"/>
      <c r="D142" s="56"/>
      <c r="E142" s="56"/>
      <c r="F142" s="56"/>
      <c r="G142" s="56"/>
      <c r="H142" s="56"/>
      <c r="I142" s="56"/>
      <c r="J142" s="56"/>
      <c r="K142" s="56"/>
      <c r="L142" s="56"/>
      <c r="M142" s="56"/>
      <c r="N142" s="56"/>
      <c r="O142" s="56"/>
      <c r="P142" s="56"/>
      <c r="Q142" s="56"/>
      <c r="R142" s="56"/>
      <c r="S142" s="56"/>
      <c r="T142" s="57"/>
      <c r="U142" s="57"/>
      <c r="V142" s="57"/>
      <c r="W142" s="57"/>
      <c r="X142" s="57"/>
      <c r="Y142" s="57"/>
      <c r="Z142" s="57"/>
      <c r="AA142" s="57"/>
      <c r="AB142" s="58"/>
    </row>
    <row r="143" spans="1:28" ht="6" customHeight="1" thickBot="1" x14ac:dyDescent="0.3"/>
    <row r="144" spans="1:28" ht="6" customHeight="1" x14ac:dyDescent="0.25">
      <c r="A144" s="40"/>
      <c r="B144" s="41"/>
      <c r="C144" s="41"/>
      <c r="D144" s="41"/>
      <c r="E144" s="41"/>
      <c r="F144" s="41"/>
      <c r="G144" s="41"/>
      <c r="H144" s="41"/>
      <c r="I144" s="41"/>
      <c r="J144" s="41"/>
      <c r="K144" s="41"/>
      <c r="L144" s="41"/>
      <c r="M144" s="41"/>
      <c r="N144" s="41"/>
      <c r="O144" s="41"/>
      <c r="P144" s="41"/>
      <c r="Q144" s="41"/>
      <c r="R144" s="41"/>
      <c r="S144" s="41"/>
      <c r="T144" s="42"/>
      <c r="U144" s="42"/>
      <c r="V144" s="42"/>
      <c r="W144" s="42"/>
      <c r="X144" s="42"/>
      <c r="Y144" s="42"/>
      <c r="Z144" s="42"/>
      <c r="AA144" s="42"/>
      <c r="AB144" s="43"/>
    </row>
    <row r="145" spans="1:28" x14ac:dyDescent="0.25">
      <c r="A145" s="44" t="s">
        <v>164</v>
      </c>
      <c r="B145" s="45"/>
      <c r="C145" s="45"/>
      <c r="D145" s="45"/>
      <c r="E145" s="45"/>
      <c r="F145" s="45"/>
      <c r="G145" s="45"/>
      <c r="H145" s="46"/>
      <c r="I145" s="46"/>
      <c r="J145" s="46"/>
      <c r="K145" s="46"/>
      <c r="L145" s="46"/>
      <c r="M145" s="46"/>
      <c r="N145" s="46"/>
      <c r="O145" s="46"/>
      <c r="P145" s="46"/>
      <c r="Q145" s="46"/>
      <c r="R145" s="46"/>
      <c r="S145" s="46"/>
      <c r="T145" s="47"/>
      <c r="U145" s="47"/>
      <c r="V145" s="47"/>
      <c r="W145" s="47"/>
      <c r="X145" s="47"/>
      <c r="Y145" s="47"/>
      <c r="Z145" s="47"/>
      <c r="AA145" s="47"/>
      <c r="AB145" s="48"/>
    </row>
    <row r="146" spans="1:28" ht="7.5" customHeight="1" x14ac:dyDescent="0.25">
      <c r="A146" s="49"/>
      <c r="C146" s="46"/>
      <c r="E146" s="46"/>
      <c r="F146" s="46"/>
      <c r="G146" s="46"/>
      <c r="H146" s="46"/>
      <c r="I146" s="46"/>
      <c r="J146" s="46"/>
      <c r="K146" s="46"/>
      <c r="L146" s="46"/>
      <c r="M146" s="46"/>
      <c r="N146" s="46"/>
      <c r="O146" s="46"/>
      <c r="P146" s="46"/>
      <c r="Q146" s="46"/>
      <c r="R146" s="46"/>
      <c r="S146" s="46"/>
      <c r="T146" s="47"/>
      <c r="U146" s="47"/>
      <c r="V146" s="47"/>
      <c r="W146" s="47"/>
      <c r="X146" s="47"/>
      <c r="Y146" s="47"/>
      <c r="Z146" s="47"/>
      <c r="AA146" s="47"/>
      <c r="AB146" s="48"/>
    </row>
    <row r="147" spans="1:28" x14ac:dyDescent="0.25">
      <c r="A147" s="49"/>
      <c r="C147" s="46"/>
      <c r="E147" s="50" t="s">
        <v>147</v>
      </c>
      <c r="F147" s="67"/>
      <c r="G147" s="68"/>
      <c r="H147" s="68"/>
      <c r="I147" s="69"/>
      <c r="J147" s="46"/>
      <c r="K147" s="46" t="s">
        <v>150</v>
      </c>
      <c r="L147" s="46"/>
      <c r="M147" s="46"/>
      <c r="N147" s="46"/>
      <c r="O147" s="46"/>
      <c r="P147" s="46"/>
      <c r="Q147" s="46"/>
      <c r="R147" s="46"/>
      <c r="S147" s="46"/>
      <c r="T147" s="47"/>
      <c r="U147" s="47"/>
      <c r="V147" s="47"/>
      <c r="W147" s="47"/>
      <c r="X147" s="47"/>
      <c r="Y147" s="47"/>
      <c r="Z147" s="47"/>
      <c r="AA147" s="47"/>
      <c r="AB147" s="48"/>
    </row>
    <row r="148" spans="1:28" x14ac:dyDescent="0.25">
      <c r="A148" s="49"/>
      <c r="C148" s="46"/>
      <c r="E148" s="50" t="s">
        <v>148</v>
      </c>
      <c r="F148" s="67"/>
      <c r="G148" s="68"/>
      <c r="H148" s="68"/>
      <c r="I148" s="69"/>
      <c r="J148" s="46"/>
      <c r="K148" s="46"/>
      <c r="L148" s="66"/>
      <c r="M148" s="66"/>
      <c r="N148" s="66"/>
      <c r="O148" s="66"/>
      <c r="P148" s="66"/>
      <c r="Q148" s="66"/>
      <c r="R148" s="66"/>
      <c r="S148" s="46"/>
      <c r="T148" s="47"/>
      <c r="U148" s="47"/>
      <c r="V148" s="47"/>
      <c r="W148" s="47"/>
      <c r="X148" s="47"/>
      <c r="Y148" s="47"/>
      <c r="Z148" s="47"/>
      <c r="AA148" s="47"/>
      <c r="AB148" s="48"/>
    </row>
    <row r="149" spans="1:28" ht="7.5" customHeight="1" x14ac:dyDescent="0.25">
      <c r="A149" s="49"/>
      <c r="C149" s="46"/>
      <c r="E149" s="46"/>
      <c r="F149" s="46"/>
      <c r="G149" s="46"/>
      <c r="H149" s="46"/>
      <c r="I149" s="46"/>
      <c r="J149" s="46"/>
      <c r="K149" s="46"/>
      <c r="L149" s="46"/>
      <c r="M149" s="46"/>
      <c r="N149" s="46"/>
      <c r="O149" s="46"/>
      <c r="P149" s="46"/>
      <c r="Q149" s="46"/>
      <c r="R149" s="46"/>
      <c r="S149" s="46"/>
      <c r="T149" s="47"/>
      <c r="U149" s="47"/>
      <c r="V149" s="47"/>
      <c r="W149" s="47"/>
      <c r="X149" s="47"/>
      <c r="Y149" s="47"/>
      <c r="Z149" s="47"/>
      <c r="AA149" s="47"/>
      <c r="AB149" s="48"/>
    </row>
    <row r="150" spans="1:28" x14ac:dyDescent="0.25">
      <c r="A150" s="49"/>
      <c r="C150" s="46"/>
      <c r="D150" s="46" t="s">
        <v>91</v>
      </c>
      <c r="E150" s="46"/>
      <c r="F150" s="67"/>
      <c r="G150" s="68"/>
      <c r="H150" s="68"/>
      <c r="I150" s="69"/>
      <c r="J150" s="51"/>
      <c r="K150" s="46" t="s">
        <v>149</v>
      </c>
      <c r="L150" s="46"/>
      <c r="M150" s="46"/>
      <c r="N150" s="46"/>
      <c r="O150" s="46"/>
      <c r="P150" s="46"/>
      <c r="Q150" s="46"/>
      <c r="R150" s="46"/>
      <c r="S150" s="46"/>
      <c r="T150" s="47"/>
      <c r="U150" s="47"/>
      <c r="V150" s="47"/>
      <c r="W150" s="47"/>
      <c r="X150" s="47"/>
      <c r="Y150" s="47"/>
      <c r="Z150" s="47"/>
      <c r="AA150" s="47"/>
      <c r="AB150" s="48"/>
    </row>
    <row r="151" spans="1:28" x14ac:dyDescent="0.25">
      <c r="A151" s="49"/>
      <c r="C151" s="46"/>
      <c r="D151" s="46" t="s">
        <v>9</v>
      </c>
      <c r="E151" s="46"/>
      <c r="F151" s="67"/>
      <c r="G151" s="68"/>
      <c r="H151" s="68"/>
      <c r="I151" s="69"/>
      <c r="J151" s="51"/>
      <c r="K151" s="46"/>
      <c r="L151" s="66"/>
      <c r="M151" s="66"/>
      <c r="N151" s="66"/>
      <c r="O151" s="66"/>
      <c r="P151" s="66"/>
      <c r="Q151" s="66"/>
      <c r="R151" s="66"/>
      <c r="S151" s="46"/>
      <c r="T151" s="47"/>
      <c r="U151" s="47"/>
      <c r="V151" s="47"/>
      <c r="W151" s="47"/>
      <c r="X151" s="47"/>
      <c r="Y151" s="47"/>
      <c r="Z151" s="47"/>
      <c r="AA151" s="47"/>
      <c r="AB151" s="48"/>
    </row>
    <row r="152" spans="1:28" x14ac:dyDescent="0.25">
      <c r="A152" s="49"/>
      <c r="C152" s="46"/>
      <c r="D152" s="52" t="s">
        <v>146</v>
      </c>
      <c r="E152" s="46"/>
      <c r="F152" s="67"/>
      <c r="G152" s="68"/>
      <c r="H152" s="68"/>
      <c r="I152" s="68"/>
      <c r="J152" s="69"/>
      <c r="K152" s="46"/>
      <c r="L152" s="66"/>
      <c r="M152" s="66"/>
      <c r="N152" s="66"/>
      <c r="O152" s="66"/>
      <c r="P152" s="66"/>
      <c r="Q152" s="66"/>
      <c r="R152" s="66"/>
      <c r="S152" s="46"/>
      <c r="T152" s="47"/>
      <c r="U152" s="47"/>
      <c r="V152" s="47"/>
      <c r="W152" s="47"/>
      <c r="X152" s="47"/>
      <c r="Y152" s="47"/>
      <c r="Z152" s="47"/>
      <c r="AA152" s="47"/>
      <c r="AB152" s="48"/>
    </row>
    <row r="153" spans="1:28" ht="7.5" customHeight="1" x14ac:dyDescent="0.25">
      <c r="A153" s="49"/>
      <c r="C153" s="46"/>
      <c r="E153" s="46"/>
      <c r="F153" s="46"/>
      <c r="G153" s="46"/>
      <c r="H153" s="46"/>
      <c r="I153" s="46"/>
      <c r="J153" s="46"/>
      <c r="K153" s="46"/>
      <c r="L153" s="46"/>
      <c r="M153" s="46"/>
      <c r="N153" s="46"/>
      <c r="O153" s="46"/>
      <c r="P153" s="46"/>
      <c r="Q153" s="46"/>
      <c r="R153" s="46"/>
      <c r="S153" s="46"/>
      <c r="T153" s="47"/>
      <c r="U153" s="47"/>
      <c r="V153" s="47"/>
      <c r="W153" s="47"/>
      <c r="X153" s="47"/>
      <c r="Y153" s="47"/>
      <c r="Z153" s="47"/>
      <c r="AA153" s="47"/>
      <c r="AB153" s="48"/>
    </row>
    <row r="154" spans="1:28" x14ac:dyDescent="0.25">
      <c r="A154" s="49"/>
      <c r="C154" s="46"/>
      <c r="E154" s="53" t="s">
        <v>144</v>
      </c>
      <c r="F154" s="67"/>
      <c r="G154" s="68"/>
      <c r="H154" s="68"/>
      <c r="I154" s="69"/>
      <c r="J154" s="46"/>
      <c r="K154" s="46" t="s">
        <v>153</v>
      </c>
      <c r="L154" s="46"/>
      <c r="M154" s="46"/>
      <c r="N154" s="46"/>
      <c r="O154" s="46"/>
      <c r="P154" s="46"/>
      <c r="Q154" s="46"/>
      <c r="R154" s="46"/>
      <c r="S154" s="46"/>
      <c r="T154" s="47"/>
      <c r="U154" s="47"/>
      <c r="V154" s="47"/>
      <c r="W154" s="47"/>
      <c r="X154" s="47"/>
      <c r="Y154" s="47"/>
      <c r="Z154" s="47"/>
      <c r="AA154" s="47"/>
      <c r="AB154" s="48"/>
    </row>
    <row r="155" spans="1:28" x14ac:dyDescent="0.25">
      <c r="A155" s="49"/>
      <c r="C155" s="46"/>
      <c r="E155" s="54" t="s">
        <v>145</v>
      </c>
      <c r="F155" s="67"/>
      <c r="G155" s="68"/>
      <c r="H155" s="68"/>
      <c r="I155" s="69"/>
      <c r="J155" s="46"/>
      <c r="K155" s="46"/>
      <c r="L155" s="66"/>
      <c r="M155" s="66"/>
      <c r="N155" s="66"/>
      <c r="O155" s="66"/>
      <c r="P155" s="66"/>
      <c r="Q155" s="66"/>
      <c r="R155" s="66"/>
      <c r="S155" s="46"/>
      <c r="T155" s="47"/>
      <c r="U155" s="47"/>
      <c r="V155" s="47"/>
      <c r="W155" s="47"/>
      <c r="X155" s="47"/>
      <c r="Y155" s="47"/>
      <c r="Z155" s="47"/>
      <c r="AA155" s="47"/>
      <c r="AB155" s="48"/>
    </row>
    <row r="156" spans="1:28" ht="7.5" customHeight="1" x14ac:dyDescent="0.25">
      <c r="A156" s="49"/>
      <c r="C156" s="46"/>
      <c r="D156" s="46"/>
      <c r="E156" s="46"/>
      <c r="F156" s="46"/>
      <c r="G156" s="46"/>
      <c r="H156" s="46"/>
      <c r="I156" s="46"/>
      <c r="J156" s="46"/>
      <c r="K156" s="46"/>
      <c r="L156" s="46"/>
      <c r="M156" s="46"/>
      <c r="N156" s="46"/>
      <c r="O156" s="46"/>
      <c r="P156" s="46"/>
      <c r="Q156" s="46"/>
      <c r="R156" s="46"/>
      <c r="S156" s="46"/>
      <c r="T156" s="47"/>
      <c r="U156" s="47"/>
      <c r="V156" s="47"/>
      <c r="W156" s="47"/>
      <c r="X156" s="47"/>
      <c r="Y156" s="47"/>
      <c r="Z156" s="47"/>
      <c r="AA156" s="47"/>
      <c r="AB156" s="48"/>
    </row>
    <row r="157" spans="1:28" x14ac:dyDescent="0.25">
      <c r="A157" s="49"/>
      <c r="B157" s="46" t="s">
        <v>152</v>
      </c>
      <c r="C157" s="46"/>
      <c r="D157" s="46"/>
      <c r="E157" s="46"/>
      <c r="F157" s="67"/>
      <c r="G157" s="69"/>
      <c r="H157" s="46"/>
      <c r="I157" s="46"/>
      <c r="J157" s="46"/>
      <c r="K157" s="46"/>
      <c r="L157" s="46"/>
      <c r="M157" s="46"/>
      <c r="N157" s="46"/>
      <c r="O157" s="46"/>
      <c r="P157" s="46"/>
      <c r="Q157" s="46"/>
      <c r="R157" s="46"/>
      <c r="S157" s="46"/>
      <c r="T157" s="47"/>
      <c r="U157" s="47"/>
      <c r="V157" s="47"/>
      <c r="W157" s="47"/>
      <c r="X157" s="47"/>
      <c r="Y157" s="47"/>
      <c r="Z157" s="47"/>
      <c r="AA157" s="47"/>
      <c r="AB157" s="48"/>
    </row>
    <row r="158" spans="1:28" x14ac:dyDescent="0.25">
      <c r="A158" s="49"/>
      <c r="B158" s="46"/>
      <c r="C158" s="46"/>
      <c r="D158" s="46"/>
      <c r="E158" s="46"/>
      <c r="F158" s="46"/>
      <c r="G158" s="46"/>
      <c r="H158" s="46"/>
      <c r="I158" s="46"/>
      <c r="J158" s="46"/>
      <c r="K158" s="46"/>
      <c r="L158" s="46"/>
      <c r="M158" s="46"/>
      <c r="N158" s="46"/>
      <c r="O158" s="46"/>
      <c r="P158" s="46"/>
      <c r="Q158" s="46"/>
      <c r="R158" s="46"/>
      <c r="S158" s="46"/>
      <c r="T158" s="47"/>
      <c r="U158" s="47"/>
      <c r="V158" s="47"/>
      <c r="W158" s="47"/>
      <c r="X158" s="47"/>
      <c r="Y158" s="47"/>
      <c r="Z158" s="47"/>
      <c r="AA158" s="47"/>
      <c r="AB158" s="48"/>
    </row>
    <row r="159" spans="1:28" ht="15.75" thickBot="1" x14ac:dyDescent="0.3">
      <c r="A159" s="55"/>
      <c r="B159" s="56"/>
      <c r="C159" s="56"/>
      <c r="D159" s="56"/>
      <c r="E159" s="56"/>
      <c r="F159" s="56"/>
      <c r="G159" s="56"/>
      <c r="H159" s="56"/>
      <c r="I159" s="56"/>
      <c r="J159" s="56"/>
      <c r="K159" s="56"/>
      <c r="L159" s="56"/>
      <c r="M159" s="56"/>
      <c r="N159" s="56"/>
      <c r="O159" s="56"/>
      <c r="P159" s="56"/>
      <c r="Q159" s="56"/>
      <c r="R159" s="56"/>
      <c r="S159" s="56"/>
      <c r="T159" s="57"/>
      <c r="U159" s="57"/>
      <c r="V159" s="57"/>
      <c r="W159" s="57"/>
      <c r="X159" s="57"/>
      <c r="Y159" s="57"/>
      <c r="Z159" s="57"/>
      <c r="AA159" s="57"/>
      <c r="AB159" s="58"/>
    </row>
    <row r="160" spans="1:28" ht="6" customHeight="1" thickBot="1" x14ac:dyDescent="0.3"/>
    <row r="161" spans="1:28" ht="6" customHeight="1" x14ac:dyDescent="0.25">
      <c r="A161" s="40"/>
      <c r="B161" s="41"/>
      <c r="C161" s="41"/>
      <c r="D161" s="41"/>
      <c r="E161" s="41"/>
      <c r="F161" s="41"/>
      <c r="G161" s="41"/>
      <c r="H161" s="41"/>
      <c r="I161" s="41"/>
      <c r="J161" s="41"/>
      <c r="K161" s="41"/>
      <c r="L161" s="41"/>
      <c r="M161" s="41"/>
      <c r="N161" s="41"/>
      <c r="O161" s="41"/>
      <c r="P161" s="41"/>
      <c r="Q161" s="41"/>
      <c r="R161" s="41"/>
      <c r="S161" s="41"/>
      <c r="T161" s="42"/>
      <c r="U161" s="42"/>
      <c r="V161" s="42"/>
      <c r="W161" s="42"/>
      <c r="X161" s="42"/>
      <c r="Y161" s="42"/>
      <c r="Z161" s="42"/>
      <c r="AA161" s="42"/>
      <c r="AB161" s="43"/>
    </row>
    <row r="162" spans="1:28" x14ac:dyDescent="0.25">
      <c r="A162" s="44" t="s">
        <v>165</v>
      </c>
      <c r="B162" s="45"/>
      <c r="C162" s="45"/>
      <c r="D162" s="45"/>
      <c r="E162" s="45"/>
      <c r="F162" s="45"/>
      <c r="G162" s="45"/>
      <c r="H162" s="46"/>
      <c r="I162" s="46"/>
      <c r="J162" s="46"/>
      <c r="K162" s="46"/>
      <c r="L162" s="46"/>
      <c r="M162" s="46"/>
      <c r="N162" s="46"/>
      <c r="O162" s="46"/>
      <c r="P162" s="46"/>
      <c r="Q162" s="46"/>
      <c r="R162" s="46"/>
      <c r="S162" s="46"/>
      <c r="T162" s="47"/>
      <c r="U162" s="47"/>
      <c r="V162" s="47"/>
      <c r="W162" s="47"/>
      <c r="X162" s="47"/>
      <c r="Y162" s="47"/>
      <c r="Z162" s="47"/>
      <c r="AA162" s="47"/>
      <c r="AB162" s="48"/>
    </row>
    <row r="163" spans="1:28" ht="7.5" customHeight="1" x14ac:dyDescent="0.25">
      <c r="A163" s="49"/>
      <c r="C163" s="46"/>
      <c r="E163" s="46"/>
      <c r="F163" s="46"/>
      <c r="G163" s="46"/>
      <c r="H163" s="46"/>
      <c r="I163" s="46"/>
      <c r="J163" s="46"/>
      <c r="K163" s="46"/>
      <c r="L163" s="46"/>
      <c r="M163" s="46"/>
      <c r="N163" s="46"/>
      <c r="O163" s="46"/>
      <c r="P163" s="46"/>
      <c r="Q163" s="46"/>
      <c r="R163" s="46"/>
      <c r="S163" s="46"/>
      <c r="T163" s="47"/>
      <c r="U163" s="47"/>
      <c r="V163" s="47"/>
      <c r="W163" s="47"/>
      <c r="X163" s="47"/>
      <c r="Y163" s="47"/>
      <c r="Z163" s="47"/>
      <c r="AA163" s="47"/>
      <c r="AB163" s="48"/>
    </row>
    <row r="164" spans="1:28" x14ac:dyDescent="0.25">
      <c r="A164" s="49"/>
      <c r="C164" s="46"/>
      <c r="E164" s="50" t="s">
        <v>147</v>
      </c>
      <c r="F164" s="67"/>
      <c r="G164" s="68"/>
      <c r="H164" s="68"/>
      <c r="I164" s="69"/>
      <c r="J164" s="46"/>
      <c r="K164" s="46" t="s">
        <v>150</v>
      </c>
      <c r="L164" s="46"/>
      <c r="M164" s="46"/>
      <c r="N164" s="46"/>
      <c r="O164" s="46"/>
      <c r="P164" s="46"/>
      <c r="Q164" s="46"/>
      <c r="R164" s="46"/>
      <c r="S164" s="46"/>
      <c r="T164" s="47"/>
      <c r="U164" s="47"/>
      <c r="V164" s="47"/>
      <c r="W164" s="47"/>
      <c r="X164" s="47"/>
      <c r="Y164" s="47"/>
      <c r="Z164" s="47"/>
      <c r="AA164" s="47"/>
      <c r="AB164" s="48"/>
    </row>
    <row r="165" spans="1:28" x14ac:dyDescent="0.25">
      <c r="A165" s="49"/>
      <c r="C165" s="46"/>
      <c r="E165" s="50" t="s">
        <v>148</v>
      </c>
      <c r="F165" s="67"/>
      <c r="G165" s="68"/>
      <c r="H165" s="68"/>
      <c r="I165" s="69"/>
      <c r="J165" s="46"/>
      <c r="K165" s="46"/>
      <c r="L165" s="66"/>
      <c r="M165" s="66"/>
      <c r="N165" s="66"/>
      <c r="O165" s="66"/>
      <c r="P165" s="66"/>
      <c r="Q165" s="66"/>
      <c r="R165" s="66"/>
      <c r="S165" s="46"/>
      <c r="T165" s="47"/>
      <c r="U165" s="47"/>
      <c r="V165" s="47"/>
      <c r="W165" s="47"/>
      <c r="X165" s="47"/>
      <c r="Y165" s="47"/>
      <c r="Z165" s="47"/>
      <c r="AA165" s="47"/>
      <c r="AB165" s="48"/>
    </row>
    <row r="166" spans="1:28" ht="7.5" customHeight="1" x14ac:dyDescent="0.25">
      <c r="A166" s="49"/>
      <c r="C166" s="46"/>
      <c r="E166" s="46"/>
      <c r="F166" s="46"/>
      <c r="G166" s="46"/>
      <c r="H166" s="46"/>
      <c r="I166" s="46"/>
      <c r="J166" s="46"/>
      <c r="K166" s="46"/>
      <c r="L166" s="46"/>
      <c r="M166" s="46"/>
      <c r="N166" s="46"/>
      <c r="O166" s="46"/>
      <c r="P166" s="46"/>
      <c r="Q166" s="46"/>
      <c r="R166" s="46"/>
      <c r="S166" s="46"/>
      <c r="T166" s="47"/>
      <c r="U166" s="47"/>
      <c r="V166" s="47"/>
      <c r="W166" s="47"/>
      <c r="X166" s="47"/>
      <c r="Y166" s="47"/>
      <c r="Z166" s="47"/>
      <c r="AA166" s="47"/>
      <c r="AB166" s="48"/>
    </row>
    <row r="167" spans="1:28" x14ac:dyDescent="0.25">
      <c r="A167" s="49"/>
      <c r="C167" s="46"/>
      <c r="D167" s="46" t="s">
        <v>91</v>
      </c>
      <c r="E167" s="46"/>
      <c r="F167" s="67"/>
      <c r="G167" s="68"/>
      <c r="H167" s="68"/>
      <c r="I167" s="69"/>
      <c r="J167" s="51"/>
      <c r="K167" s="46" t="s">
        <v>149</v>
      </c>
      <c r="L167" s="46"/>
      <c r="M167" s="46"/>
      <c r="N167" s="46"/>
      <c r="O167" s="46"/>
      <c r="P167" s="46"/>
      <c r="Q167" s="46"/>
      <c r="R167" s="46"/>
      <c r="S167" s="46"/>
      <c r="T167" s="47"/>
      <c r="U167" s="47"/>
      <c r="V167" s="47"/>
      <c r="W167" s="47"/>
      <c r="X167" s="47"/>
      <c r="Y167" s="47"/>
      <c r="Z167" s="47"/>
      <c r="AA167" s="47"/>
      <c r="AB167" s="48"/>
    </row>
    <row r="168" spans="1:28" x14ac:dyDescent="0.25">
      <c r="A168" s="49"/>
      <c r="C168" s="46"/>
      <c r="D168" s="46" t="s">
        <v>9</v>
      </c>
      <c r="E168" s="46"/>
      <c r="F168" s="67"/>
      <c r="G168" s="68"/>
      <c r="H168" s="68"/>
      <c r="I168" s="69"/>
      <c r="J168" s="51"/>
      <c r="K168" s="46"/>
      <c r="L168" s="66"/>
      <c r="M168" s="66"/>
      <c r="N168" s="66"/>
      <c r="O168" s="66"/>
      <c r="P168" s="66"/>
      <c r="Q168" s="66"/>
      <c r="R168" s="66"/>
      <c r="S168" s="46"/>
      <c r="T168" s="47"/>
      <c r="U168" s="47"/>
      <c r="V168" s="47"/>
      <c r="W168" s="47"/>
      <c r="X168" s="47"/>
      <c r="Y168" s="47"/>
      <c r="Z168" s="47"/>
      <c r="AA168" s="47"/>
      <c r="AB168" s="48"/>
    </row>
    <row r="169" spans="1:28" x14ac:dyDescent="0.25">
      <c r="A169" s="49"/>
      <c r="C169" s="46"/>
      <c r="D169" s="52" t="s">
        <v>146</v>
      </c>
      <c r="E169" s="46"/>
      <c r="F169" s="67"/>
      <c r="G169" s="68"/>
      <c r="H169" s="68"/>
      <c r="I169" s="68"/>
      <c r="J169" s="69"/>
      <c r="K169" s="46"/>
      <c r="L169" s="66"/>
      <c r="M169" s="66"/>
      <c r="N169" s="66"/>
      <c r="O169" s="66"/>
      <c r="P169" s="66"/>
      <c r="Q169" s="66"/>
      <c r="R169" s="66"/>
      <c r="S169" s="46"/>
      <c r="T169" s="47"/>
      <c r="U169" s="47"/>
      <c r="V169" s="47"/>
      <c r="W169" s="47"/>
      <c r="X169" s="47"/>
      <c r="Y169" s="47"/>
      <c r="Z169" s="47"/>
      <c r="AA169" s="47"/>
      <c r="AB169" s="48"/>
    </row>
    <row r="170" spans="1:28" ht="7.5" customHeight="1" x14ac:dyDescent="0.25">
      <c r="A170" s="49"/>
      <c r="C170" s="46"/>
      <c r="E170" s="46"/>
      <c r="F170" s="46"/>
      <c r="G170" s="46"/>
      <c r="H170" s="46"/>
      <c r="I170" s="46"/>
      <c r="J170" s="46"/>
      <c r="K170" s="46"/>
      <c r="L170" s="46"/>
      <c r="M170" s="46"/>
      <c r="N170" s="46"/>
      <c r="O170" s="46"/>
      <c r="P170" s="46"/>
      <c r="Q170" s="46"/>
      <c r="R170" s="46"/>
      <c r="S170" s="46"/>
      <c r="T170" s="47"/>
      <c r="U170" s="47"/>
      <c r="V170" s="47"/>
      <c r="W170" s="47"/>
      <c r="X170" s="47"/>
      <c r="Y170" s="47"/>
      <c r="Z170" s="47"/>
      <c r="AA170" s="47"/>
      <c r="AB170" s="48"/>
    </row>
    <row r="171" spans="1:28" x14ac:dyDescent="0.25">
      <c r="A171" s="49"/>
      <c r="C171" s="46"/>
      <c r="E171" s="53" t="s">
        <v>144</v>
      </c>
      <c r="F171" s="67"/>
      <c r="G171" s="68"/>
      <c r="H171" s="68"/>
      <c r="I171" s="69"/>
      <c r="J171" s="46"/>
      <c r="K171" s="46" t="s">
        <v>153</v>
      </c>
      <c r="L171" s="46"/>
      <c r="M171" s="46"/>
      <c r="N171" s="46"/>
      <c r="O171" s="46"/>
      <c r="P171" s="46"/>
      <c r="Q171" s="46"/>
      <c r="R171" s="46"/>
      <c r="S171" s="46"/>
      <c r="T171" s="47"/>
      <c r="U171" s="47"/>
      <c r="V171" s="47"/>
      <c r="W171" s="47"/>
      <c r="X171" s="47"/>
      <c r="Y171" s="47"/>
      <c r="Z171" s="47"/>
      <c r="AA171" s="47"/>
      <c r="AB171" s="48"/>
    </row>
    <row r="172" spans="1:28" x14ac:dyDescent="0.25">
      <c r="A172" s="49"/>
      <c r="C172" s="46"/>
      <c r="E172" s="54" t="s">
        <v>145</v>
      </c>
      <c r="F172" s="67"/>
      <c r="G172" s="68"/>
      <c r="H172" s="68"/>
      <c r="I172" s="69"/>
      <c r="J172" s="46"/>
      <c r="K172" s="46"/>
      <c r="L172" s="66"/>
      <c r="M172" s="66"/>
      <c r="N172" s="66"/>
      <c r="O172" s="66"/>
      <c r="P172" s="66"/>
      <c r="Q172" s="66"/>
      <c r="R172" s="66"/>
      <c r="S172" s="46"/>
      <c r="T172" s="47"/>
      <c r="U172" s="47"/>
      <c r="V172" s="47"/>
      <c r="W172" s="47"/>
      <c r="X172" s="47"/>
      <c r="Y172" s="47"/>
      <c r="Z172" s="47"/>
      <c r="AA172" s="47"/>
      <c r="AB172" s="48"/>
    </row>
    <row r="173" spans="1:28" ht="7.5" customHeight="1" x14ac:dyDescent="0.25">
      <c r="A173" s="49"/>
      <c r="C173" s="46"/>
      <c r="D173" s="46"/>
      <c r="E173" s="46"/>
      <c r="F173" s="46"/>
      <c r="G173" s="46"/>
      <c r="H173" s="46"/>
      <c r="I173" s="46"/>
      <c r="J173" s="46"/>
      <c r="K173" s="46"/>
      <c r="L173" s="46"/>
      <c r="M173" s="46"/>
      <c r="N173" s="46"/>
      <c r="O173" s="46"/>
      <c r="P173" s="46"/>
      <c r="Q173" s="46"/>
      <c r="R173" s="46"/>
      <c r="S173" s="46"/>
      <c r="T173" s="47"/>
      <c r="U173" s="47"/>
      <c r="V173" s="47"/>
      <c r="W173" s="47"/>
      <c r="X173" s="47"/>
      <c r="Y173" s="47"/>
      <c r="Z173" s="47"/>
      <c r="AA173" s="47"/>
      <c r="AB173" s="48"/>
    </row>
    <row r="174" spans="1:28" x14ac:dyDescent="0.25">
      <c r="A174" s="49"/>
      <c r="B174" s="46" t="s">
        <v>152</v>
      </c>
      <c r="C174" s="46"/>
      <c r="D174" s="46"/>
      <c r="E174" s="46"/>
      <c r="F174" s="67"/>
      <c r="G174" s="69"/>
      <c r="H174" s="46"/>
      <c r="I174" s="46"/>
      <c r="J174" s="46"/>
      <c r="K174" s="46"/>
      <c r="L174" s="46"/>
      <c r="M174" s="46"/>
      <c r="N174" s="46"/>
      <c r="O174" s="46"/>
      <c r="P174" s="46"/>
      <c r="Q174" s="46"/>
      <c r="R174" s="46"/>
      <c r="S174" s="46"/>
      <c r="T174" s="47"/>
      <c r="U174" s="47"/>
      <c r="V174" s="47"/>
      <c r="W174" s="47"/>
      <c r="X174" s="47"/>
      <c r="Y174" s="47"/>
      <c r="Z174" s="47"/>
      <c r="AA174" s="47"/>
      <c r="AB174" s="48"/>
    </row>
    <row r="175" spans="1:28" x14ac:dyDescent="0.25">
      <c r="A175" s="49"/>
      <c r="B175" s="46"/>
      <c r="C175" s="46"/>
      <c r="D175" s="46"/>
      <c r="E175" s="46"/>
      <c r="F175" s="46"/>
      <c r="G175" s="46"/>
      <c r="H175" s="46"/>
      <c r="I175" s="46"/>
      <c r="J175" s="46"/>
      <c r="K175" s="46"/>
      <c r="L175" s="46"/>
      <c r="M175" s="46"/>
      <c r="N175" s="46"/>
      <c r="O175" s="46"/>
      <c r="P175" s="46"/>
      <c r="Q175" s="46"/>
      <c r="R175" s="46"/>
      <c r="S175" s="46"/>
      <c r="T175" s="47"/>
      <c r="U175" s="47"/>
      <c r="V175" s="47"/>
      <c r="W175" s="47"/>
      <c r="X175" s="47"/>
      <c r="Y175" s="47"/>
      <c r="Z175" s="47"/>
      <c r="AA175" s="47"/>
      <c r="AB175" s="48"/>
    </row>
    <row r="176" spans="1:28" ht="15.75" thickBot="1" x14ac:dyDescent="0.3">
      <c r="A176" s="55"/>
      <c r="B176" s="56"/>
      <c r="C176" s="56"/>
      <c r="D176" s="56"/>
      <c r="E176" s="56"/>
      <c r="F176" s="56"/>
      <c r="G176" s="56"/>
      <c r="H176" s="56"/>
      <c r="I176" s="56"/>
      <c r="J176" s="56"/>
      <c r="K176" s="56"/>
      <c r="L176" s="56"/>
      <c r="M176" s="56"/>
      <c r="N176" s="56"/>
      <c r="O176" s="56"/>
      <c r="P176" s="56"/>
      <c r="Q176" s="56"/>
      <c r="R176" s="56"/>
      <c r="S176" s="56"/>
      <c r="T176" s="57"/>
      <c r="U176" s="57"/>
      <c r="V176" s="57"/>
      <c r="W176" s="57"/>
      <c r="X176" s="57"/>
      <c r="Y176" s="57"/>
      <c r="Z176" s="57"/>
      <c r="AA176" s="57"/>
      <c r="AB176" s="58"/>
    </row>
  </sheetData>
  <mergeCells count="116">
    <mergeCell ref="X6:AA6"/>
    <mergeCell ref="L15:R16"/>
    <mergeCell ref="L12:R12"/>
    <mergeCell ref="F18:I18"/>
    <mergeCell ref="F19:I19"/>
    <mergeCell ref="F16:J16"/>
    <mergeCell ref="F14:I14"/>
    <mergeCell ref="F15:I15"/>
    <mergeCell ref="F29:I29"/>
    <mergeCell ref="L29:R29"/>
    <mergeCell ref="D2:H2"/>
    <mergeCell ref="F3:H3"/>
    <mergeCell ref="F4:H4"/>
    <mergeCell ref="F5:H5"/>
    <mergeCell ref="F28:I28"/>
    <mergeCell ref="F11:I11"/>
    <mergeCell ref="F12:I12"/>
    <mergeCell ref="F21:G21"/>
    <mergeCell ref="L19:R19"/>
    <mergeCell ref="I3:T4"/>
    <mergeCell ref="F35:I35"/>
    <mergeCell ref="F36:I36"/>
    <mergeCell ref="L36:R36"/>
    <mergeCell ref="F38:G38"/>
    <mergeCell ref="F45:I45"/>
    <mergeCell ref="F46:I46"/>
    <mergeCell ref="L46:R46"/>
    <mergeCell ref="F31:I31"/>
    <mergeCell ref="F32:I32"/>
    <mergeCell ref="L32:R33"/>
    <mergeCell ref="F33:J33"/>
    <mergeCell ref="F55:G55"/>
    <mergeCell ref="F62:I62"/>
    <mergeCell ref="F63:I63"/>
    <mergeCell ref="L63:R63"/>
    <mergeCell ref="F65:I65"/>
    <mergeCell ref="F66:I66"/>
    <mergeCell ref="L66:R67"/>
    <mergeCell ref="F67:J67"/>
    <mergeCell ref="F48:I48"/>
    <mergeCell ref="F49:I49"/>
    <mergeCell ref="L49:R50"/>
    <mergeCell ref="F50:J50"/>
    <mergeCell ref="F52:I52"/>
    <mergeCell ref="F53:I53"/>
    <mergeCell ref="L53:R53"/>
    <mergeCell ref="F100:I100"/>
    <mergeCell ref="L100:R101"/>
    <mergeCell ref="F101:J101"/>
    <mergeCell ref="F104:I104"/>
    <mergeCell ref="F69:I69"/>
    <mergeCell ref="F70:I70"/>
    <mergeCell ref="L70:R70"/>
    <mergeCell ref="F72:G72"/>
    <mergeCell ref="F79:I79"/>
    <mergeCell ref="F80:I80"/>
    <mergeCell ref="L80:R80"/>
    <mergeCell ref="F89:G89"/>
    <mergeCell ref="F96:I96"/>
    <mergeCell ref="F99:I99"/>
    <mergeCell ref="F82:I82"/>
    <mergeCell ref="F83:I83"/>
    <mergeCell ref="L83:R84"/>
    <mergeCell ref="F84:J84"/>
    <mergeCell ref="F86:I86"/>
    <mergeCell ref="F87:I87"/>
    <mergeCell ref="L87:R87"/>
    <mergeCell ref="F97:I97"/>
    <mergeCell ref="L97:R97"/>
    <mergeCell ref="F103:I103"/>
    <mergeCell ref="F113:I113"/>
    <mergeCell ref="L104:R104"/>
    <mergeCell ref="L131:R131"/>
    <mergeCell ref="F164:I164"/>
    <mergeCell ref="F167:I167"/>
    <mergeCell ref="F157:G157"/>
    <mergeCell ref="F165:I165"/>
    <mergeCell ref="F150:I150"/>
    <mergeCell ref="F154:I154"/>
    <mergeCell ref="F137:I137"/>
    <mergeCell ref="F147:I147"/>
    <mergeCell ref="F140:G140"/>
    <mergeCell ref="F106:G106"/>
    <mergeCell ref="F134:I134"/>
    <mergeCell ref="L134:R135"/>
    <mergeCell ref="F135:J135"/>
    <mergeCell ref="F138:I138"/>
    <mergeCell ref="L138:R138"/>
    <mergeCell ref="F114:I114"/>
    <mergeCell ref="L114:R114"/>
    <mergeCell ref="F117:I117"/>
    <mergeCell ref="L117:R118"/>
    <mergeCell ref="F118:J118"/>
    <mergeCell ref="F121:I121"/>
    <mergeCell ref="L121:R121"/>
    <mergeCell ref="F130:I130"/>
    <mergeCell ref="F133:I133"/>
    <mergeCell ref="F123:G123"/>
    <mergeCell ref="F131:I131"/>
    <mergeCell ref="F116:I116"/>
    <mergeCell ref="F120:I120"/>
    <mergeCell ref="F174:G174"/>
    <mergeCell ref="L165:R165"/>
    <mergeCell ref="F168:I168"/>
    <mergeCell ref="L168:R169"/>
    <mergeCell ref="F169:J169"/>
    <mergeCell ref="F172:I172"/>
    <mergeCell ref="L172:R172"/>
    <mergeCell ref="F148:I148"/>
    <mergeCell ref="L148:R148"/>
    <mergeCell ref="F151:I151"/>
    <mergeCell ref="L151:R152"/>
    <mergeCell ref="F152:J152"/>
    <mergeCell ref="F155:I155"/>
    <mergeCell ref="L155:R155"/>
    <mergeCell ref="F171:I171"/>
  </mergeCells>
  <printOptions horizontalCentered="1"/>
  <pageMargins left="0.56000000000000005" right="0.46" top="0.2" bottom="0.11" header="0.3" footer="0.15"/>
  <pageSetup paperSize="9" scale="86"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2:A11"/>
  <sheetViews>
    <sheetView zoomScale="85" zoomScaleNormal="85" workbookViewId="0">
      <selection sqref="A1:AR3"/>
    </sheetView>
  </sheetViews>
  <sheetFormatPr defaultRowHeight="15" x14ac:dyDescent="0.25"/>
  <cols>
    <col min="1" max="1" width="5.140625" bestFit="1" customWidth="1"/>
    <col min="2" max="2" width="11.5703125" bestFit="1" customWidth="1"/>
    <col min="3" max="3" width="6" bestFit="1" customWidth="1"/>
    <col min="4" max="4" width="7.7109375" bestFit="1" customWidth="1"/>
    <col min="5" max="5" width="11.28515625" bestFit="1" customWidth="1"/>
    <col min="6" max="6" width="7.85546875" bestFit="1" customWidth="1"/>
    <col min="7" max="7" width="12.5703125" bestFit="1" customWidth="1"/>
    <col min="8" max="8" width="7.28515625" bestFit="1" customWidth="1"/>
    <col min="9" max="9" width="9.7109375" bestFit="1" customWidth="1"/>
    <col min="10" max="10" width="8.85546875" bestFit="1" customWidth="1"/>
    <col min="11" max="11" width="9.85546875" bestFit="1" customWidth="1"/>
    <col min="12" max="12" width="17.85546875" bestFit="1" customWidth="1"/>
    <col min="13" max="13" width="19.140625" bestFit="1" customWidth="1"/>
    <col min="14" max="14" width="8.85546875" bestFit="1" customWidth="1"/>
    <col min="15" max="15" width="11" bestFit="1" customWidth="1"/>
    <col min="16" max="16" width="95.5703125" bestFit="1" customWidth="1"/>
    <col min="17" max="17" width="95" bestFit="1" customWidth="1"/>
    <col min="18" max="18" width="14.42578125" bestFit="1" customWidth="1"/>
    <col min="19" max="19" width="12.140625" bestFit="1" customWidth="1"/>
    <col min="20" max="21" width="8" bestFit="1" customWidth="1"/>
    <col min="22" max="22" width="8.85546875" bestFit="1" customWidth="1"/>
    <col min="23" max="23" width="4.5703125" bestFit="1" customWidth="1"/>
    <col min="24" max="24" width="4.28515625" bestFit="1" customWidth="1"/>
    <col min="25" max="25" width="3.85546875" bestFit="1" customWidth="1"/>
    <col min="26" max="26" width="10.7109375" bestFit="1" customWidth="1"/>
    <col min="27" max="27" width="13.5703125" bestFit="1" customWidth="1"/>
    <col min="28" max="28" width="8.5703125" bestFit="1" customWidth="1"/>
    <col min="29" max="29" width="11.28515625" bestFit="1" customWidth="1"/>
    <col min="30" max="30" width="10.42578125" bestFit="1" customWidth="1"/>
    <col min="31" max="31" width="7.5703125" bestFit="1" customWidth="1"/>
    <col min="32" max="32" width="16" bestFit="1" customWidth="1"/>
    <col min="33" max="33" width="14.140625" bestFit="1" customWidth="1"/>
    <col min="34" max="34" width="11" bestFit="1" customWidth="1"/>
    <col min="35" max="35" width="19" bestFit="1" customWidth="1"/>
    <col min="36" max="36" width="15" bestFit="1" customWidth="1"/>
    <col min="37" max="37" width="19.28515625" bestFit="1" customWidth="1"/>
    <col min="38" max="38" width="8" bestFit="1" customWidth="1"/>
    <col min="39" max="39" width="10.5703125" bestFit="1" customWidth="1"/>
    <col min="40" max="44" width="4.7109375" bestFit="1" customWidth="1"/>
  </cols>
  <sheetData>
    <row r="2" ht="150" customHeight="1" x14ac:dyDescent="0.25"/>
    <row r="3" ht="150" customHeight="1" x14ac:dyDescent="0.25"/>
    <row r="4" ht="150" customHeight="1" x14ac:dyDescent="0.25"/>
    <row r="5" ht="150" customHeight="1" x14ac:dyDescent="0.25"/>
    <row r="6" ht="150" customHeight="1" x14ac:dyDescent="0.25"/>
    <row r="7" ht="150" customHeight="1" x14ac:dyDescent="0.25"/>
    <row r="8" ht="150" customHeight="1" x14ac:dyDescent="0.25"/>
    <row r="9" ht="150" customHeight="1" x14ac:dyDescent="0.25"/>
    <row r="10" ht="150" customHeight="1" x14ac:dyDescent="0.25"/>
    <row r="11" ht="150" customHeight="1" x14ac:dyDescent="0.25"/>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34998626667073579"/>
  </sheetPr>
  <dimension ref="A2:A30"/>
  <sheetViews>
    <sheetView workbookViewId="0">
      <selection activeCell="E12" sqref="E12"/>
    </sheetView>
  </sheetViews>
  <sheetFormatPr defaultRowHeight="15" x14ac:dyDescent="0.25"/>
  <cols>
    <col min="12" max="13" width="15.5703125" customWidth="1"/>
    <col min="16" max="17" width="22.7109375" customWidth="1"/>
  </cols>
  <sheetData>
    <row r="2" ht="99.95" customHeight="1" x14ac:dyDescent="0.25"/>
    <row r="3" ht="99.95" customHeight="1" x14ac:dyDescent="0.25"/>
    <row r="4" ht="99.95" customHeight="1" x14ac:dyDescent="0.25"/>
    <row r="5" ht="99.95" customHeight="1" x14ac:dyDescent="0.25"/>
    <row r="6" ht="99.95" customHeight="1" x14ac:dyDescent="0.25"/>
    <row r="7" ht="99.95" customHeight="1" x14ac:dyDescent="0.25"/>
    <row r="8" ht="99.95" customHeight="1" x14ac:dyDescent="0.25"/>
    <row r="9" ht="99.95" customHeight="1" x14ac:dyDescent="0.25"/>
    <row r="10" ht="99.95" customHeight="1" x14ac:dyDescent="0.25"/>
    <row r="11" ht="99.95" customHeight="1" x14ac:dyDescent="0.25"/>
    <row r="12" ht="99.95" customHeight="1" x14ac:dyDescent="0.25"/>
    <row r="13" ht="99.95" customHeight="1" x14ac:dyDescent="0.25"/>
    <row r="14" ht="99.95" customHeight="1" x14ac:dyDescent="0.25"/>
    <row r="15" ht="99.95" customHeight="1" x14ac:dyDescent="0.25"/>
    <row r="16" ht="99.95" customHeight="1" x14ac:dyDescent="0.25"/>
    <row r="17" ht="99.95" customHeight="1" x14ac:dyDescent="0.25"/>
    <row r="18" ht="99.95" customHeight="1" x14ac:dyDescent="0.25"/>
    <row r="19" ht="99.95" customHeight="1" x14ac:dyDescent="0.25"/>
    <row r="20" ht="99.95" customHeight="1" x14ac:dyDescent="0.25"/>
    <row r="21" ht="99.95" customHeight="1" x14ac:dyDescent="0.25"/>
    <row r="22" ht="99.95" customHeight="1" x14ac:dyDescent="0.25"/>
    <row r="23" ht="99.95" customHeight="1" x14ac:dyDescent="0.25"/>
    <row r="24" ht="99.95" customHeight="1" x14ac:dyDescent="0.25"/>
    <row r="25" ht="99.95" customHeight="1" x14ac:dyDescent="0.25"/>
    <row r="26" ht="99.95" customHeight="1" x14ac:dyDescent="0.25"/>
    <row r="27" ht="99.95" customHeight="1" x14ac:dyDescent="0.25"/>
    <row r="28" ht="99.95" customHeight="1" x14ac:dyDescent="0.25"/>
    <row r="29" ht="99.95" customHeight="1" x14ac:dyDescent="0.25"/>
    <row r="30" ht="99.9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
  <sheetViews>
    <sheetView showFormulas="1" showGridLines="0" workbookViewId="0">
      <selection activeCell="D24" sqref="D24"/>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Temp1</vt:lpstr>
      <vt:lpstr>Temp2</vt:lpstr>
      <vt:lpstr>RPT1</vt:lpstr>
      <vt:lpstr>Ref1</vt:lpstr>
      <vt:lpstr>Ref2</vt:lpstr>
      <vt:lpstr>Ref3</vt:lpstr>
      <vt:lpstr>Ref4</vt:lpstr>
      <vt:lpstr>Ref5</vt:lpstr>
      <vt:lpstr>Main</vt:lpstr>
      <vt:lpstr>'Ref3'!Print_Titles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Jestine Pham</dc:creator>
  <cp:lastModifiedBy>Ha Thi Hoan</cp:lastModifiedBy>
  <cp:lastPrinted>2020-07-06T13:14:41Z</cp:lastPrinted>
  <dcterms:created xsi:type="dcterms:W3CDTF">2020-07-03T04:27:14Z</dcterms:created>
  <dcterms:modified xsi:type="dcterms:W3CDTF">2021-08-14T06:19:42Z</dcterms:modified>
</cp:coreProperties>
</file>